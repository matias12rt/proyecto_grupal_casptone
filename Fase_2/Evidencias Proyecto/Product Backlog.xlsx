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un\AppData\Local\Temp\claude\C--Users-Sun-Desktop-GGHHH-main-GGHHH-main\d7d19966-2f55-4006-bd23-cc8001a43008\scratchpad\repo_profe\corregidos\"/>
    </mc:Choice>
  </mc:AlternateContent>
  <xr:revisionPtr revIDLastSave="0" documentId="13_ncr:1_{33F806A4-D797-42F2-B99F-929BD0E3D0BE}" xr6:coauthVersionLast="47" xr6:coauthVersionMax="47" xr10:uidLastSave="{00000000-0000-0000-0000-000000000000}"/>
  <bookViews>
    <workbookView xWindow="780" yWindow="780" windowWidth="21600" windowHeight="12645" xr2:uid="{00000000-000D-0000-FFFF-FFFF00000000}"/>
  </bookViews>
  <sheets>
    <sheet name="Product Backlog" sheetId="1" r:id="rId1"/>
    <sheet name="Historias de usuario" sheetId="2" r:id="rId2"/>
    <sheet name="Épicas y funciones" sheetId="3" r:id="rId3"/>
    <sheet name="Product Goal" sheetId="4" r:id="rId4"/>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nRSEmfI6IbPGk2shJZUMwsAgDUARWRe9NpgUIFzOgr8="/>
    </ext>
  </extLst>
</workbook>
</file>

<file path=xl/calcChain.xml><?xml version="1.0" encoding="utf-8"?>
<calcChain xmlns="http://schemas.openxmlformats.org/spreadsheetml/2006/main">
  <c r="H25" i="2" l="1"/>
  <c r="H24" i="2"/>
  <c r="H23" i="2"/>
  <c r="H22" i="2"/>
  <c r="H21" i="2"/>
  <c r="H20" i="2"/>
  <c r="H19" i="2"/>
  <c r="H18" i="2"/>
  <c r="H17" i="2"/>
  <c r="H16" i="2"/>
  <c r="H15" i="2"/>
  <c r="H14" i="2"/>
  <c r="H13" i="2"/>
  <c r="F15" i="1" s="1"/>
  <c r="H12" i="2"/>
  <c r="H11" i="2"/>
  <c r="F11" i="1" s="1"/>
  <c r="H10" i="2"/>
  <c r="H9" i="2"/>
  <c r="F9" i="1" s="1"/>
  <c r="H8" i="2"/>
  <c r="F8" i="1" s="1"/>
  <c r="H7" i="2"/>
  <c r="F7" i="1" s="1"/>
  <c r="H6" i="2"/>
  <c r="F6" i="1" s="1"/>
  <c r="M25" i="1"/>
  <c r="L25" i="1"/>
  <c r="K25" i="1"/>
  <c r="J25" i="1"/>
  <c r="I25" i="1"/>
  <c r="H25" i="1"/>
  <c r="G25" i="1"/>
  <c r="F25" i="1"/>
  <c r="E25" i="1"/>
  <c r="D25" i="1"/>
  <c r="C25" i="1"/>
  <c r="M24" i="1"/>
  <c r="L24" i="1"/>
  <c r="K24" i="1"/>
  <c r="J24" i="1"/>
  <c r="I24" i="1"/>
  <c r="H24" i="1"/>
  <c r="G24" i="1"/>
  <c r="F24" i="1"/>
  <c r="E24" i="1"/>
  <c r="D24" i="1"/>
  <c r="C24" i="1"/>
  <c r="M23" i="1"/>
  <c r="L23" i="1"/>
  <c r="K23" i="1"/>
  <c r="J23" i="1"/>
  <c r="I23" i="1"/>
  <c r="H23" i="1"/>
  <c r="G23" i="1"/>
  <c r="F23" i="1"/>
  <c r="E23" i="1"/>
  <c r="D23" i="1"/>
  <c r="C23" i="1"/>
  <c r="M22" i="1"/>
  <c r="L22" i="1"/>
  <c r="K22" i="1"/>
  <c r="J22" i="1"/>
  <c r="I22" i="1"/>
  <c r="H22" i="1"/>
  <c r="G22" i="1"/>
  <c r="F22" i="1"/>
  <c r="E22" i="1"/>
  <c r="D22" i="1"/>
  <c r="C22" i="1"/>
  <c r="M21" i="1"/>
  <c r="L21" i="1"/>
  <c r="K21" i="1"/>
  <c r="J21" i="1"/>
  <c r="I21" i="1"/>
  <c r="H21" i="1"/>
  <c r="G21" i="1"/>
  <c r="F21" i="1"/>
  <c r="E21" i="1"/>
  <c r="D21" i="1"/>
  <c r="C21" i="1"/>
  <c r="M20" i="1"/>
  <c r="L20" i="1"/>
  <c r="K20" i="1"/>
  <c r="J20" i="1"/>
  <c r="I20" i="1"/>
  <c r="H20" i="1"/>
  <c r="G20" i="1"/>
  <c r="F20" i="1"/>
  <c r="E20" i="1"/>
  <c r="D20" i="1"/>
  <c r="C20" i="1"/>
  <c r="M19" i="1"/>
  <c r="L19" i="1"/>
  <c r="K19" i="1"/>
  <c r="J19" i="1"/>
  <c r="I19" i="1"/>
  <c r="H19" i="1"/>
  <c r="G19" i="1"/>
  <c r="F19" i="1"/>
  <c r="E19" i="1"/>
  <c r="D19" i="1"/>
  <c r="C19" i="1"/>
  <c r="M18" i="1"/>
  <c r="L18" i="1"/>
  <c r="K18" i="1"/>
  <c r="J18" i="1"/>
  <c r="I18" i="1"/>
  <c r="H18" i="1"/>
  <c r="G18" i="1"/>
  <c r="F18" i="1"/>
  <c r="E18" i="1"/>
  <c r="D18" i="1"/>
  <c r="C18" i="1"/>
  <c r="M17" i="1"/>
  <c r="L17" i="1"/>
  <c r="K17" i="1"/>
  <c r="J17" i="1"/>
  <c r="I17" i="1"/>
  <c r="H17" i="1"/>
  <c r="G17" i="1"/>
  <c r="F17" i="1"/>
  <c r="E17" i="1"/>
  <c r="D17" i="1"/>
  <c r="C17" i="1"/>
  <c r="M16" i="1"/>
  <c r="L16" i="1"/>
  <c r="K16" i="1"/>
  <c r="J16" i="1"/>
  <c r="I16" i="1"/>
  <c r="H16" i="1"/>
  <c r="G16" i="1"/>
  <c r="F16" i="1"/>
  <c r="E16" i="1"/>
  <c r="D16" i="1"/>
  <c r="C16" i="1"/>
  <c r="M15" i="1"/>
  <c r="L15" i="1"/>
  <c r="K15" i="1"/>
  <c r="J15" i="1"/>
  <c r="I15" i="1"/>
  <c r="H15" i="1"/>
  <c r="G15" i="1"/>
  <c r="E15" i="1"/>
  <c r="D15" i="1"/>
  <c r="C15" i="1"/>
  <c r="M14" i="1"/>
  <c r="L14" i="1"/>
  <c r="K14" i="1"/>
  <c r="J14" i="1"/>
  <c r="I14" i="1"/>
  <c r="H14" i="1"/>
  <c r="G14" i="1"/>
  <c r="F14" i="1"/>
  <c r="E14" i="1"/>
  <c r="D14" i="1"/>
  <c r="C14" i="1"/>
  <c r="M13" i="1"/>
  <c r="L13" i="1"/>
  <c r="K13" i="1"/>
  <c r="J13" i="1"/>
  <c r="I13" i="1"/>
  <c r="H13" i="1"/>
  <c r="G13" i="1"/>
  <c r="F13" i="1"/>
  <c r="E13" i="1"/>
  <c r="D13" i="1"/>
  <c r="C13" i="1"/>
  <c r="M12" i="1"/>
  <c r="L12" i="1"/>
  <c r="K12" i="1"/>
  <c r="J12" i="1"/>
  <c r="I12" i="1"/>
  <c r="H12" i="1"/>
  <c r="G12" i="1"/>
  <c r="F12" i="1"/>
  <c r="E12" i="1"/>
  <c r="D12" i="1"/>
  <c r="C12" i="1"/>
  <c r="M11" i="1"/>
  <c r="L11" i="1"/>
  <c r="K11" i="1"/>
  <c r="J11" i="1"/>
  <c r="I11" i="1"/>
  <c r="H11" i="1"/>
  <c r="G11" i="1"/>
  <c r="E11" i="1"/>
  <c r="D11" i="1"/>
  <c r="C11" i="1"/>
  <c r="M10" i="1"/>
  <c r="L10" i="1"/>
  <c r="K10" i="1"/>
  <c r="J10" i="1"/>
  <c r="I10" i="1"/>
  <c r="H10" i="1"/>
  <c r="G10" i="1"/>
  <c r="F10" i="1"/>
  <c r="E10" i="1"/>
  <c r="D10" i="1"/>
  <c r="C10" i="1"/>
  <c r="M9" i="1"/>
  <c r="L9" i="1"/>
  <c r="K9" i="1"/>
  <c r="J9" i="1"/>
  <c r="I9" i="1"/>
  <c r="H9" i="1"/>
  <c r="G9" i="1"/>
  <c r="E9" i="1"/>
  <c r="D9" i="1"/>
  <c r="C9" i="1"/>
  <c r="M8" i="1"/>
  <c r="L8" i="1"/>
  <c r="K8" i="1"/>
  <c r="J8" i="1"/>
  <c r="I8" i="1"/>
  <c r="H8" i="1"/>
  <c r="G8" i="1"/>
  <c r="E8" i="1"/>
  <c r="D8" i="1"/>
  <c r="C8" i="1"/>
  <c r="M7" i="1"/>
  <c r="L7" i="1"/>
  <c r="K7" i="1"/>
  <c r="J7" i="1"/>
  <c r="I7" i="1"/>
  <c r="H7" i="1"/>
  <c r="G7" i="1"/>
  <c r="E7" i="1"/>
  <c r="D7" i="1"/>
  <c r="C7" i="1"/>
  <c r="M6" i="1"/>
  <c r="L6" i="1"/>
  <c r="K6" i="1"/>
  <c r="J6" i="1"/>
  <c r="I6" i="1"/>
  <c r="H6" i="1"/>
  <c r="G6" i="1"/>
  <c r="E6" i="1"/>
  <c r="D6" i="1"/>
  <c r="C6" i="1"/>
</calcChain>
</file>

<file path=xl/sharedStrings.xml><?xml version="1.0" encoding="utf-8"?>
<sst xmlns="http://schemas.openxmlformats.org/spreadsheetml/2006/main" count="502" uniqueCount="337">
  <si>
    <t>Product Goal</t>
  </si>
  <si>
    <t>Defina el objetivo de largo plazo que orientará y ordenará el Product Backlog.</t>
  </si>
  <si>
    <t>Identificación del producto</t>
  </si>
  <si>
    <t>Producto</t>
  </si>
  <si>
    <t>Plataforma Integrada de Gestión GGH</t>
  </si>
  <si>
    <t>Organización</t>
  </si>
  <si>
    <t>Grupo Gómez Hermanos</t>
  </si>
  <si>
    <t>Product Backlog</t>
  </si>
  <si>
    <t>Historias de usuario</t>
  </si>
  <si>
    <t>Product Owner</t>
  </si>
  <si>
    <t>Responsable rotativo del equipo por sprint</t>
  </si>
  <si>
    <t>Versión</t>
  </si>
  <si>
    <t>v1.0</t>
  </si>
  <si>
    <t>Vista priorizada de las historias de usuario, ordenada mediante la columna Orden.</t>
  </si>
  <si>
    <t>Registre una historia por fila. La frase completa se construye automáticamente con Como, Quiero y Para.</t>
  </si>
  <si>
    <t>Orden</t>
  </si>
  <si>
    <t>Fecha de revisión</t>
  </si>
  <si>
    <t>ID HU</t>
  </si>
  <si>
    <t>Épicas y funcionalidades</t>
  </si>
  <si>
    <t>Estado</t>
  </si>
  <si>
    <t>Cada épica representa un bloque grande de valor y agrupa funcionalidades e historias relacionadas.</t>
  </si>
  <si>
    <t>En revisión</t>
  </si>
  <si>
    <t>Épica</t>
  </si>
  <si>
    <t>ID Épica</t>
  </si>
  <si>
    <t>Funcionalidad</t>
  </si>
  <si>
    <t>Título</t>
  </si>
  <si>
    <t>Definición del Product Goal</t>
  </si>
  <si>
    <t>Historia de usuario</t>
  </si>
  <si>
    <t>Épica o módulo</t>
  </si>
  <si>
    <t>Criterios de aceptación</t>
  </si>
  <si>
    <t>Como</t>
  </si>
  <si>
    <t>Prioridad</t>
  </si>
  <si>
    <t>Problema u oportunidad</t>
  </si>
  <si>
    <t>Quiero</t>
  </si>
  <si>
    <t>Estimación SP</t>
  </si>
  <si>
    <t>Para</t>
  </si>
  <si>
    <t>Objetivo y valor esperado</t>
  </si>
  <si>
    <t>Dependencias</t>
  </si>
  <si>
    <t>Problema que resuelve</t>
  </si>
  <si>
    <t>Historia completa</t>
  </si>
  <si>
    <t>Usuarios</t>
  </si>
  <si>
    <t>Sprint</t>
  </si>
  <si>
    <t>Procesos internos distribuidos entre SAP Business One, correos, planillas y tareas manuales generan reprocesos, demoras y visibilidad fragmentada. Además, las consultas y gestiones repetitivas deben canalizarse de forma controlada para preservar el rendimiento y la integridad del ERP.</t>
  </si>
  <si>
    <t>Funcionalidades incluidas</t>
  </si>
  <si>
    <t>Responsable</t>
  </si>
  <si>
    <t>Fuera de alcance</t>
  </si>
  <si>
    <t>HU-001</t>
  </si>
  <si>
    <t>Tamaño</t>
  </si>
  <si>
    <t>Usuarios principales</t>
  </si>
  <si>
    <t>Criterio de término</t>
  </si>
  <si>
    <t>Administradores, vendedores, asistentes de vendedor, autorizadores, jefaturas, personal de posventa y bodega; clientes y proveedores se benefician indirectamente del seguimiento de los procesos.</t>
  </si>
  <si>
    <t>Observaciones</t>
  </si>
  <si>
    <t>Valor organizacional esperado</t>
  </si>
  <si>
    <t>Centralización de gestiones, reducción de interacciones directas repetitivas con el ERP, decisiones más rápidas, control por roles, menor reproceso y trazabilidad completa de solicitudes, documentos y casos.</t>
  </si>
  <si>
    <t>EP-01</t>
  </si>
  <si>
    <t>Acceso seguro</t>
  </si>
  <si>
    <t>Autenticarse en la plataforma</t>
  </si>
  <si>
    <t>Estado futuro del producto</t>
  </si>
  <si>
    <t>Gestión de usuarios roles y permisos</t>
  </si>
  <si>
    <t>usuario habilitado</t>
  </si>
  <si>
    <t>Los usuarios operan desde una plataforma web interna que valida datos, permisos y autorizaciones antes de consultar o enviar información a SAP Business One. El ERP continúa como fuente oficial y cada proceso conserva su historial verificable.</t>
  </si>
  <si>
    <t>iniciar sesión de forma segura y mantener una sesión controlada</t>
  </si>
  <si>
    <t>acceder únicamente a las funciones autorizadas</t>
  </si>
  <si>
    <t>Los accesos deben corresponder a la responsabilidad y empresa de cada trabajador.</t>
  </si>
  <si>
    <t>Consolidar una plataforma web interna para gestionar los seis módulos definidos, canalizando de forma segura las consultas y operaciones con SAP Business One y manteniendo trazabilidad completa de usuarios, decisiones, estados y resultados.</t>
  </si>
  <si>
    <t>Proteger la plataforma y asegurar que cada usuario opere con el perfil, empresa y vendedor correctos.</t>
  </si>
  <si>
    <t>Administrador, vendedores, asistentes, autorizadores y jefatura</t>
  </si>
  <si>
    <t>Indicadores de éxito</t>
  </si>
  <si>
    <t>Autenticación; usuarios; áreas; cargos; roles; permisos; grupos autorizadores; SlpCode; escalas; selector de empresa</t>
  </si>
  <si>
    <t>• Flujos principales completados con permisos correctos.
• Procesos con usuario, fecha, estado y comentario trazables.
• Consultas normales al ERP bajo 3 segundos.
• Envíos sin duplicidad ni registros parciales.
• Errores y reintentos registrados.
• Casos de prueba y criterios de aceptación aprobados por historia.</t>
  </si>
  <si>
    <t>Inicio de sesión externo, Active Directory y administración de SAP</t>
  </si>
  <si>
    <t>1. Con credenciales válidas, el usuario activo ingresa a la plataforma.
2. Las credenciales inválidas o de un usuario desactivado impiden el acceso y muestran un mensaje claro.
3. La contraseña se almacena mediante hash, la sesión expira por inactividad y los intentos fallidos quedan auditados.</t>
  </si>
  <si>
    <t>Restricciones y dependencias</t>
  </si>
  <si>
    <t>Alta</t>
  </si>
  <si>
    <t>Disponibilidad de SAP HANA y Service Layer; licenciamiento y accesos autorizados; operación dentro de la red corporativa; Windows Server 2016; datos maestros gestionados por SAP; acceso al ambiente real sujeto a disponibilidad; credenciales fuera del código.</t>
  </si>
  <si>
    <t>Definiciones organizacionales de perfiles, empresas y escalas</t>
  </si>
  <si>
    <t>Ninguna</t>
  </si>
  <si>
    <t>Supuestos</t>
  </si>
  <si>
    <t>Propuesto</t>
  </si>
  <si>
    <t>La organización valida reglas, perfiles y límites de autorización; SAP Business One permanece como fuente oficial; las consultas a HANA son de solo lectura; las escrituras se realizan por Service Layer; si el ambiente real no está disponible, se usan servicios simulados con respuestas equivalentes.</t>
  </si>
  <si>
    <t>Sprint 1 · 2 sem.</t>
  </si>
  <si>
    <t>L</t>
  </si>
  <si>
    <t>Matías y Alexssander</t>
  </si>
  <si>
    <t>HU-001 a HU-004 aceptadas; permisos validados en servidor y trazabilidad de accesos comprobada.</t>
  </si>
  <si>
    <t>Cubre RF-01; RN-02; RNF-01, RNF-04 y RNF-05.</t>
  </si>
  <si>
    <t>Relación entre los elementos</t>
  </si>
  <si>
    <t>En análisis</t>
  </si>
  <si>
    <t>HU-002</t>
  </si>
  <si>
    <t>Nivel</t>
  </si>
  <si>
    <t>Código</t>
  </si>
  <si>
    <t>Qué representa</t>
  </si>
  <si>
    <t>Ejemplo GGH</t>
  </si>
  <si>
    <t>Se divide en</t>
  </si>
  <si>
    <t>Quién prioriza</t>
  </si>
  <si>
    <t>Dónde se registra</t>
  </si>
  <si>
    <t>Resultado</t>
  </si>
  <si>
    <t>Administración de usuarios</t>
  </si>
  <si>
    <t>EP-02</t>
  </si>
  <si>
    <t>1</t>
  </si>
  <si>
    <t>Administrar usuarios y perfiles</t>
  </si>
  <si>
    <t>PG</t>
  </si>
  <si>
    <t>Solicitudes y autorizaciones</t>
  </si>
  <si>
    <t>Objetivo de largo plazo</t>
  </si>
  <si>
    <t>administrador</t>
  </si>
  <si>
    <t>Mejorar la gestión previa y complementaria a SAP</t>
  </si>
  <si>
    <t>Épicas</t>
  </si>
  <si>
    <t>Las solicitudes de códigos requieren respaldos, revisión y seguimiento centralizados.</t>
  </si>
  <si>
    <t>Dirección común</t>
  </si>
  <si>
    <t>2</t>
  </si>
  <si>
    <t>EP</t>
  </si>
  <si>
    <t>Bloque grande de valor</t>
  </si>
  <si>
    <t>Gestión de Posventa</t>
  </si>
  <si>
    <t>Funcionalidades e historias</t>
  </si>
  <si>
    <t>mantener los accesos alineados con las responsabilidades de cada trabajador</t>
  </si>
  <si>
    <t>Épicas y funciones</t>
  </si>
  <si>
    <t>Reducir reprocesos y hacer visible la creación, activación o modificación de artículos desde su envío hasta la resolución.</t>
  </si>
  <si>
    <t>Agrupación</t>
  </si>
  <si>
    <t>3</t>
  </si>
  <si>
    <t>HU</t>
  </si>
  <si>
    <t>Necesidad de un usuario</t>
  </si>
  <si>
    <t>Registrar una solicitud de devolución</t>
  </si>
  <si>
    <t>Tareas técnicas</t>
  </si>
  <si>
    <t>Product Owner con el equipo</t>
  </si>
  <si>
    <t>Valor verificable</t>
  </si>
  <si>
    <t>Vendedores, asistentes, grupos autorizadores y jefatura</t>
  </si>
  <si>
    <t>4</t>
  </si>
  <si>
    <t>PB</t>
  </si>
  <si>
    <t>Lista ordenada de trabajo</t>
  </si>
  <si>
    <t>HU priorizadas y estimadas</t>
  </si>
  <si>
    <t>Ítems de Sprint</t>
  </si>
  <si>
    <t>Orden de ejecución</t>
  </si>
  <si>
    <t>Creación; adjuntos; bandeja; aprobación/rechazo; corrección; reenvío; búsqueda; seguimiento</t>
  </si>
  <si>
    <t>Referencias</t>
  </si>
  <si>
    <t>Solicitudes distintas de códigos de artículo</t>
  </si>
  <si>
    <t>EP-01, EP-04 y escritura controlada de EP-05</t>
  </si>
  <si>
    <t>Scrum Guide 2020: https://scrumguides.org/scrum-guide.html</t>
  </si>
  <si>
    <t/>
  </si>
  <si>
    <t>HU-005 a HU-007 aceptadas; estados, reglas de adjuntos, permisos y resolución trazable verificados.</t>
  </si>
  <si>
    <t>Cubre RF-02 y RF-04; RN-01, RN-02 y RN-04.</t>
  </si>
  <si>
    <t>HU-003</t>
  </si>
  <si>
    <t>Millaray y Matías</t>
  </si>
  <si>
    <t>EP-03</t>
  </si>
  <si>
    <t>Permisos y autorizadores</t>
  </si>
  <si>
    <t>Gestión comercial cotizaciones y órdenes de venta</t>
  </si>
  <si>
    <t>Configurar permisos y grupos de autorización</t>
  </si>
  <si>
    <t>La gestión comercial necesita datos vigentes y documentos consistentes sin repetir ingresos.</t>
  </si>
  <si>
    <t>Centralizar consultas, cotizaciones y órdenes de venta, aplicando vendedor, comisión, autorización e integración correctos.</t>
  </si>
  <si>
    <t>controlar qué funciones, datos y decisiones corresponden a cada usuario</t>
  </si>
  <si>
    <t>Vendedores, asistentes, autorizadores comerciales y jefatura</t>
  </si>
  <si>
    <t>Productos; stock; clientes; crédito; cotizaciones; descarga; conversión; órdenes; comisiones; trazabilidad SAP</t>
  </si>
  <si>
    <t>Contabilidad completa, facturación, compras y logística integral</t>
  </si>
  <si>
    <t>EP-01, EP-04 y EP-05</t>
  </si>
  <si>
    <t>XL</t>
  </si>
  <si>
    <t>Cubre RF-03, RF-05 y RF-29; RN-03 a RN-05; RNF-02.</t>
  </si>
  <si>
    <t>HU-008 a HU-011 aceptadas; documentos y restricciones comerciales probados de extremo a extremo.</t>
  </si>
  <si>
    <t>HU-004</t>
  </si>
  <si>
    <t>Alexssander y Millaray</t>
  </si>
  <si>
    <t>Contexto de empresa y vendedor</t>
  </si>
  <si>
    <t>Configurar empresas, vendedores y comisiones</t>
  </si>
  <si>
    <t>EP-04</t>
  </si>
  <si>
    <t>Notificaciones y trazabilidad</t>
  </si>
  <si>
    <t>asociar SlpCode y escala de comisión por empresa a vendedores y asistentes</t>
  </si>
  <si>
    <t>asegurar que cada operación use la empresa y el vendedor correctos</t>
  </si>
  <si>
    <t>Los participantes necesitan conocer pendientes, decisiones y responsables sin depender de correos separados.</t>
  </si>
  <si>
    <t>Entregar avisos oportunos y una trazabilidad común para todos los procesos incorporados.</t>
  </si>
  <si>
    <t>Solicitantes, autorizadores, jefatura y demás participantes</t>
  </si>
  <si>
    <t>1. Cada SlpCode queda asociado a Marsella o Asland y a los usuarios autorizados.
2. Se asigna una escala de comisión o se usa la escala predeterminada.
3. El selector de empresa solo aparece a usuarios con códigos en ambas empresas.
4. Al cambiar la empresa activa, consultas, documentos, solicitudes y casos usan ese contexto y su color identificador.</t>
  </si>
  <si>
    <t>Campanas; página de notificaciones; recordatorios; enlaces; lectura/eliminación; historial de estados</t>
  </si>
  <si>
    <t>Correo, SMS y notificaciones fuera de la plataforma</t>
  </si>
  <si>
    <t>Eventos generados por EP-02, EP-03 y EP-06; permisos de EP-01</t>
  </si>
  <si>
    <t>HU-002, HU-003</t>
  </si>
  <si>
    <t>M</t>
  </si>
  <si>
    <t>HU-012 a HU-014 aceptadas; privacidad, recordatorios e historial verificados en los procesos integrados.</t>
  </si>
  <si>
    <t>Cubre RF-35, RF-36 y RF-37; RN-35 a RN-38.</t>
  </si>
  <si>
    <t>HU-005</t>
  </si>
  <si>
    <t>Solicitud de códigos</t>
  </si>
  <si>
    <t>EP-05</t>
  </si>
  <si>
    <t>Crear y enviar solicitudes de código</t>
  </si>
  <si>
    <t>Integración con SAP Business One</t>
  </si>
  <si>
    <t>vendedor autorizado</t>
  </si>
  <si>
    <t>crear solicitudes de creación, activación o modificación de artículos con sus respaldos</t>
  </si>
  <si>
    <t>La plataforma debe consultar y escribir en SAP por vías controladas, seguras y trazables.</t>
  </si>
  <si>
    <t>enviar información completa al grupo autorizador correspondiente</t>
  </si>
  <si>
    <t>Canalizar lecturas por API sobre HANA y escrituras autorizadas por Service Layer sin duplicidad ni operaciones parciales.</t>
  </si>
  <si>
    <t>Usuarios de negocio, responsables de operación y administradores</t>
  </si>
  <si>
    <t>API de lectura; firma; paginación; Service Layer; registro de resultados; errores; reintentos</t>
  </si>
  <si>
    <t>Escritura directa en HANA, exposición a Internet y reemplazo de SAP</t>
  </si>
  <si>
    <t>SAP HANA; Service Layer; red corporativa; licenciamiento y credenciales autorizadas</t>
  </si>
  <si>
    <t>HU-003, HU-004</t>
  </si>
  <si>
    <t>Sprint 2 · 2 sem.</t>
  </si>
  <si>
    <t>HU-015 a HU-017 aceptadas; seguridad, rendimiento, integridad e idempotencia comprobados.</t>
  </si>
  <si>
    <t>Cubre RF-06 y RF-39; RN-06, RN-07, RN-11 y RN-40.</t>
  </si>
  <si>
    <t>HU-006</t>
  </si>
  <si>
    <t>Alexssander y Matías</t>
  </si>
  <si>
    <t>Resolución de solicitudes</t>
  </si>
  <si>
    <t>EP-06</t>
  </si>
  <si>
    <t>Aprobar o rechazar solicitudes</t>
  </si>
  <si>
    <t>autorizador</t>
  </si>
  <si>
    <t>Los casos posteriores a la venta necesitan evidencias, evaluación, autorización y seguimiento hasta su cierre.</t>
  </si>
  <si>
    <t>resolverla con un responsable y una decisión trazable</t>
  </si>
  <si>
    <t>Centralizar la posventa y ofrecer visibilidad de cada caso, comprobante y decisión a los participantes autorizados.</t>
  </si>
  <si>
    <t>Vendedores, asistentes, autorizador de posventa, bodega y jefatura</t>
  </si>
  <si>
    <t>Tipos de caso; respaldo; evidencias; condiciones; rechazo/corrección; QR; estados; recepción; rutas; cierre</t>
  </si>
  <si>
    <t>Portal externo de clientes/proveedores y contabilización directa de notas de crédito o débito</t>
  </si>
  <si>
    <t>EP-01, EP-04, API de lectura de EP-05 y documentos de referencia de SAP</t>
  </si>
  <si>
    <t>HU-018 a HU-020 aceptadas; rutas por guía o factura, QR, permisos, notificaciones y cierre verificados.</t>
  </si>
  <si>
    <t>Cubre RF-07; RN-07, RN-08 y RN-10. El envío posterior al ERP depende de HU-016.</t>
  </si>
  <si>
    <t>HU-007</t>
  </si>
  <si>
    <t>Millaray y Alexssander</t>
  </si>
  <si>
    <t>Seguimiento de solicitudes</t>
  </si>
  <si>
    <t>Corregir, reenviar y consultar solicitudes</t>
  </si>
  <si>
    <t>vendedor solicitante</t>
  </si>
  <si>
    <t>corregir y reenviar solicitudes rechazadas, además de consultar y filtrar su seguimiento</t>
  </si>
  <si>
    <t>resolver observaciones y conocer el estado de cada gestión</t>
  </si>
  <si>
    <t>1. Solo el creador puede corregir y reenviar una solicitud rechazada.
2. El reenvío vuelve a estado Pendiente y a la bandeja del grupo autorizador.
3. El usuario consulta estado, responsable, fecha y comentario.
4. Los filtros por estado, fecha, área y responsable devuelven resultados acordes con sus permisos.</t>
  </si>
  <si>
    <t>Cubre RF-08, RF-09 y RF-10; RN-08 a RN-10.</t>
  </si>
  <si>
    <t>HU-008</t>
  </si>
  <si>
    <t>Consultas comerciales</t>
  </si>
  <si>
    <t>Consultar productos, stock y clientes</t>
  </si>
  <si>
    <t>vendedor o asistente de vendedor</t>
  </si>
  <si>
    <t>consultar productos, stock, clientes, crédito y bloqueo en la empresa activa</t>
  </si>
  <si>
    <t>tomar decisiones comerciales con información vigente del ERP</t>
  </si>
  <si>
    <t>1. Las consultas muestran datos vigentes del ERP para la empresa activa.
2. El vendedor ve sus clientes y el asistente los de los vendedores asignados.
3. Stock, precios, crédito y bloqueo son de solo lectura y no se duplican como maestros locales.
4. Un cliente bloqueado queda identificado antes de solicitar una orden de venta.</t>
  </si>
  <si>
    <t>HU-004, HU-015</t>
  </si>
  <si>
    <t>Sprint 3 · 2 sem.</t>
  </si>
  <si>
    <t>Cubre RF-11 y RF-12; RN-13, RN-16 y RN-17; RNF-13.</t>
  </si>
  <si>
    <t>HU-009</t>
  </si>
  <si>
    <t>Cotizaciones</t>
  </si>
  <si>
    <t>Crear y administrar cotizaciones</t>
  </si>
  <si>
    <t>crear cotizaciones con varias líneas y el vendedor correspondiente</t>
  </si>
  <si>
    <t>presentar una oferta comercial consistente con la empresa activa</t>
  </si>
  <si>
    <t>1. La cotización exige un cliente y al menos una línea de producto.
2. El vendedor usa su SlpCode; el asistente elige solo entre los vendedores asignados en la empresa activa.
3. Se registra tanto al creador como al vendedor del documento.
4. La comisión se calcula con la escala del vendedor o con la predeterminada si no tiene una asignada.</t>
  </si>
  <si>
    <t>HU-004, HU-008</t>
  </si>
  <si>
    <t>Cubre RF-13 y RF-38; RN-12, RN-16 y RN-37 a RN-39.</t>
  </si>
  <si>
    <t>HU-010</t>
  </si>
  <si>
    <t>Conversión comercial</t>
  </si>
  <si>
    <t>Emitir la cotización y solicitar la orden de venta</t>
  </si>
  <si>
    <t>vendedor</t>
  </si>
  <si>
    <t>descargar la cotización y convertir una cotización aceptada en solicitud de orden de venta</t>
  </si>
  <si>
    <t>continuar el proceso comercial sin volver a ingresar sus datos</t>
  </si>
  <si>
    <t>1. La cotización puede generarse en un formato imprimible o descargable.
2. Solo una cotización abierta y aceptada puede convertirse.
3. La solicitud hereda cliente, líneas y condiciones, y conserva el vínculo con la cotización.
4. Se impide continuar si el cliente está bloqueado.</t>
  </si>
  <si>
    <t>Sprint 4 · 2 sem.</t>
  </si>
  <si>
    <t>Cubre RF-14 y RF-16; RN-13 a RN-15.</t>
  </si>
  <si>
    <t>HU-011</t>
  </si>
  <si>
    <t>Órdenes de venta</t>
  </si>
  <si>
    <t>Autorizar, enviar y seguir órdenes de venta</t>
  </si>
  <si>
    <t>autorizador comercial</t>
  </si>
  <si>
    <t>aprobar las solicitudes que correspondan y enviar la orden de venta al ERP</t>
  </si>
  <si>
    <t>crear únicamente documentos validados y mantener su trazabilidad</t>
  </si>
  <si>
    <t>HU-010, HU-016, HU-017</t>
  </si>
  <si>
    <t>Cubre RF-15 y RF-31; RN-18, RN-25 y RNF-14.</t>
  </si>
  <si>
    <t>HU-012</t>
  </si>
  <si>
    <t>Avisos a autorizadores</t>
  </si>
  <si>
    <t>Notificar pendientes y recordatorios</t>
  </si>
  <si>
    <t>recibir avisos de los procesos pendientes y recordatorios cuando superen una hora</t>
  </si>
  <si>
    <t>atender oportunamente las decisiones que me corresponden</t>
  </si>
  <si>
    <t>1. Al enviar un proceso, se notifica únicamente a los destinatarios autorizados.
2. La notificación identifica categoría, emisor, nivel y enlace al proceso.
3. Después de una hora pendiente se genera un recordatorio automático.
4. El usuario no puede ver notificaciones ajenas.</t>
  </si>
  <si>
    <t>HU-005, HU-006</t>
  </si>
  <si>
    <t>Cubre RF-17; RN-20, RN-21 y RN-22.</t>
  </si>
  <si>
    <t>HU-013</t>
  </si>
  <si>
    <t>Avisos al solicitante</t>
  </si>
  <si>
    <t>Informar cambios de estado al solicitante</t>
  </si>
  <si>
    <t>participante de un proceso</t>
  </si>
  <si>
    <t>recibir y administrar notificaciones de aprobaciones, rechazos, observaciones y cambios de estado</t>
  </si>
  <si>
    <t>saber cuándo debo actuar y acceder directamente al proceso</t>
  </si>
  <si>
    <t>1. Cada cambio relevante genera una notificación al participante correspondiente.
2. Las campanas diferencian avisos generales y autorizaciones de órdenes de venta.
3. La página de notificaciones permite abrir, marcar como leída, marcar todas y eliminar una o todas.
4. Se registra la fecha de lectura y cada enlace abre el proceso de origen.</t>
  </si>
  <si>
    <t>HU-006, HU-012</t>
  </si>
  <si>
    <t>Cubre RF-18; RN-20 a RN-22.</t>
  </si>
  <si>
    <t>HU-014</t>
  </si>
  <si>
    <t>Trazabilidad transversal</t>
  </si>
  <si>
    <t>Consultar la trazabilidad de los procesos</t>
  </si>
  <si>
    <t>usuario participante o jefatura autorizada</t>
  </si>
  <si>
    <t>consultar el estado y el historial de cada proceso</t>
  </si>
  <si>
    <t>conocer quién realizó cada acción, cuándo y con qué resultado</t>
  </si>
  <si>
    <t>1. Cada cambio registra estado, usuario, fecha, hora y comentario.
2. La consulta muestra el estado actual, responsable y secuencia histórica.
3. Las respuestas resueltas no pueden editarse.
4. El usuario ve solo procesos propios, asignados o permitidos por su rol.</t>
  </si>
  <si>
    <t>HU-006, HU-011, HU-019</t>
  </si>
  <si>
    <t>Sprint 5 · 2 sem.</t>
  </si>
  <si>
    <t>Cubre RF-19 y RF-20; RN-19; RNF-14.</t>
  </si>
  <si>
    <t>HU-015</t>
  </si>
  <si>
    <t>Lectura desde SAP</t>
  </si>
  <si>
    <t>Consultar SAP mediante una API segura</t>
  </si>
  <si>
    <t>usuario autorizado de la plataforma</t>
  </si>
  <si>
    <t>obtener productos, clientes, stock y datos permitidos mediante la API de lectura</t>
  </si>
  <si>
    <t>trabajar desde la web sin modificar directamente la información oficial del ERP</t>
  </si>
  <si>
    <t>1. La API consulta SAP HANA exclusivamente con un usuario de solo lectura y responde JSON.
2. Cada petición exige una firma válida; una firma inválida se rechaza.
3. Las credenciales se mantienen fuera del código.
4. Los listados se paginan, aplican tiempo límite y reintentos acotados, y las consultas normales responden en menos de 3 segundos.</t>
  </si>
  <si>
    <t>Cubre RF-26; RN-24; RNF-03, RNF-06, RNF-07, RNF-09 y RNF-22.</t>
  </si>
  <si>
    <t>HU-016</t>
  </si>
  <si>
    <t>Escritura controlada en SAP</t>
  </si>
  <si>
    <t>Crear documentos mediante Service Layer</t>
  </si>
  <si>
    <t>usuario autorizado</t>
  </si>
  <si>
    <t>enviar al ERP solo operaciones previamente validadas mediante Service Layer</t>
  </si>
  <si>
    <t>mantener la integridad y las reglas oficiales de SAP Business One</t>
  </si>
  <si>
    <t>1. Ninguna escritura se ejecuta directamente sobre SAP HANA.
2. Solo se envían documentos con autorización registrada cuando corresponda.
3. Service Layer aplica sus validaciones y devuelve el resultado de la operación.
4. La plataforma conserva el documento exactamente como fue autorizado y respeta las autorizaciones de acceso y licenciamiento vigentes.</t>
  </si>
  <si>
    <t>Cubre RF-27; RN-23, RN-25 y RN-27; X-04 a X-06.</t>
  </si>
  <si>
    <t>HU-017</t>
  </si>
  <si>
    <t>Control de integraciones</t>
  </si>
  <si>
    <t>Registrar y reintentar operaciones fallidas</t>
  </si>
  <si>
    <t>responsable de operación</t>
  </si>
  <si>
    <t>consultar el resultado de cada envío y reintentar los fallidos de forma segura</t>
  </si>
  <si>
    <t>resolver errores sin duplicar documentos ni líneas en el ERP</t>
  </si>
  <si>
    <t>1. Cada envío registra documento, resultado, identificador y mensaje de error.
2. Los mensajes indican claramente qué ocurrió.
3. Un reintento reutiliza el documento autorizado y evita duplicar líneas o resultados ya creados.
4. Ante error, la operación queda completa o no se registra parcialmente.</t>
  </si>
  <si>
    <t>Cubre RF-28 y RF-32; RN-26; RNF-12 y RNF-16.</t>
  </si>
  <si>
    <t>HU-018</t>
  </si>
  <si>
    <t>Registro de casos</t>
  </si>
  <si>
    <t>Registrar un caso de posventa</t>
  </si>
  <si>
    <t>registrar un caso de posventa con cliente, productos, respaldo y evidencias</t>
  </si>
  <si>
    <t>iniciar formalmente su evaluación y seguimiento</t>
  </si>
  <si>
    <t>1. Permite devolución, cambio, servicio técnico, producto faltante, desistimiento y nota de crédito.
2. Registra cliente, vendedor, empresa, productos y guía de despacho o factura de reserva.
3. Exige evidencias autorizadas salvo las excepciones de factura de reserva.
4. Solo los participantes autorizados pueden consultar las evidencias del caso.</t>
  </si>
  <si>
    <t>HU-003, HU-004, HU-015</t>
  </si>
  <si>
    <t>Cubre RF-22 y RF-23; RN-28 y RN-29.</t>
  </si>
  <si>
    <t>HU-019</t>
  </si>
  <si>
    <t>Evaluación y autorización</t>
  </si>
  <si>
    <t>Evaluar, resolver y emitir comprobante QR</t>
  </si>
  <si>
    <t>autorizador de posventa</t>
  </si>
  <si>
    <t>evaluar las condiciones, aprobar o rechazar el caso y liberar su comprobante QR</t>
  </si>
  <si>
    <t>respaldar la decisión y continuar el flujo con el cliente</t>
  </si>
  <si>
    <t>HU-018, HU-012, HU-013</t>
  </si>
  <si>
    <t>Cubre RF-24, RF-25 y RF-33; RN-29, RN-30 y RN-33.</t>
  </si>
  <si>
    <t>HU-020</t>
  </si>
  <si>
    <t>Seguimiento y cierre</t>
  </si>
  <si>
    <t>Gestionar el avance y cierre de posventa</t>
  </si>
  <si>
    <t>actualizar el caso por sus estados y registrar su resolución final</t>
  </si>
  <si>
    <t>mantener el seguimiento hasta un cierre controlado</t>
  </si>
  <si>
    <t>1. El flujo con guía contempla Pendiente, Autorizado, QR enviado, Recepcionado y la ruta de stock o proveedor hasta cierre.
2. El caso con factura de reserva sigue la ruta sin QR ni recepción.
3. Cada cambio notifica al vendedor y autorizador y admite observaciones visibles.
4. Solo el autorizador cierra el caso; un caso cerrado no acepta nuevos cambios.</t>
  </si>
  <si>
    <t>HU-019, HU-014</t>
  </si>
  <si>
    <t>Sprint 6 · 1 sem.</t>
  </si>
  <si>
    <t>Cubre RF-30 y RF-34; RN-31, RN-32 y RN-34.</t>
  </si>
  <si>
    <t>1. El administrador crea y edita usuarios con área y cargo obligatorios.
2. Un usuario se desactiva o reactiva sin eliminar su historial.
3. Solo el administrador puede ejecutar estas operaciones y un usuario desactivado no puede iniciar sesión.</t>
  </si>
  <si>
    <t>1. Los permisos efectivos suman los permisos directos, del área y del cargo.
2. Cada operación valida los permisos en el servidor.
3. Es posible modificar los integrantes de los grupos de cada proceso, siempre con al menos un integrante activo.
4. Solo el administrador gestiona permisos y grupos.</t>
  </si>
  <si>
    <t>1. La solicitud se crea en estado Pendiente y queda asociada al usuario y empresa activa.
2. Permite incluir uno o más productos según el tipo de solicitud.
3. Exige el respaldo de cotización según su tipo y permite, para creaciones, un documento y una imagen por producto en los formatos permitidos.
4. Al enviarla, ingresa a la bandeja del grupo autorizador correcto.</t>
  </si>
  <si>
    <t>1. Solo el grupo autorizador del tipo de solicitud puede verla y resolverla.
2. Quien resuelve la solicitud queda registrado como responsable.
3. El rechazo exige un motivo visible para el solicitante.
4. La solicitud aprobada no admite edición y conserva usuario, fecha, hora y comentario de la resolución.</t>
  </si>
  <si>
    <t>1. El vendedor registra la evaluación de producto, accesorios, manual y embalaje al crear el caso y el autorizador puede ajustarla mientras el caso está Pendiente; solo se aceptan los valores definidos, salvo la excepción aplicable.
2. El rechazo exige motivo y permite al creador corregir y reenviar a Pendiente.
3. Solo el autorizador de posventa aprueba y libera el comprobante QR.
4. El comprobante contiene los datos del caso; el solicitante puede descargarlo y marcarlo como enviado al cliente.</t>
  </si>
  <si>
    <t>crear, editar, desactivar y reactivar usuarios asignándoles área, cargo, grupos de autorizadores y permisos directos</t>
  </si>
  <si>
    <t>definir permisos por área, por cargo y directos por usuario, además de los integrantes de los grupos de autorizadores de cada proceso</t>
  </si>
  <si>
    <t>aprobar, rechazar o pedir corrección de una solicitud de la bandeja compartida</t>
  </si>
  <si>
    <t>1. Toda orden requiere autorización previa y, si alguna línea tiene un margen inferior al mínimo definido, también la de Gerencia.
2. Solo un rol autorizado puede aprobar el envío.
3. El ERP recibe exactamente el documento autorizado y devuelve un resultado e identificador.
4. El usuario consulta el estado, vínculo y trazabilidad del documento enviado.</t>
  </si>
  <si>
    <t xml:space="preserve">Terminado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</si>
</sst>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rgb="FF000000"/>
      <name val="Carlito"/>
      <scheme val="minor"/>
    </font>
    <font>
      <b/>
      <sz val="16"/>
      <color rgb="FF000000"/>
      <name val="Aptos"/>
    </font>
    <font>
      <sz val="11"/>
      <color theme="1"/>
      <name val="Aptos"/>
    </font>
    <font>
      <i/>
      <sz val="10"/>
      <color rgb="FF5F6B73"/>
      <name val="Aptos"/>
    </font>
    <font>
      <b/>
      <sz val="11"/>
      <color rgb="FF000000"/>
      <name val="Aptos"/>
    </font>
    <font>
      <sz val="11"/>
      <name val="Carlito"/>
    </font>
    <font>
      <b/>
      <sz val="10"/>
      <color rgb="FF1F2937"/>
      <name val="Aptos"/>
    </font>
    <font>
      <sz val="10"/>
      <color rgb="FF1F2937"/>
      <name val="Aptos"/>
    </font>
    <font>
      <sz val="10"/>
      <color rgb="FF1F2937"/>
      <name val="Arial"/>
    </font>
    <font>
      <b/>
      <sz val="10"/>
      <color rgb="FFFFFFFF"/>
      <name val="Aptos"/>
    </font>
    <font>
      <sz val="10"/>
      <color rgb="FF6B7280"/>
      <name val="Aptos"/>
    </font>
    <font>
      <sz val="9"/>
      <color rgb="FF365F91"/>
      <name val="Aptos"/>
    </font>
  </fonts>
  <fills count="7">
    <fill>
      <patternFill patternType="none"/>
    </fill>
    <fill>
      <patternFill patternType="gray125"/>
    </fill>
    <fill>
      <patternFill patternType="solid">
        <fgColor rgb="FFDDEBF7"/>
        <bgColor rgb="FFDDEBF7"/>
      </patternFill>
    </fill>
    <fill>
      <patternFill patternType="solid">
        <fgColor rgb="FFFFF2CC"/>
        <bgColor rgb="FFFFF2CC"/>
      </patternFill>
    </fill>
    <fill>
      <patternFill patternType="solid">
        <fgColor rgb="FF1F4E78"/>
        <bgColor rgb="FF1F4E78"/>
      </patternFill>
    </fill>
    <fill>
      <patternFill patternType="solid">
        <fgColor rgb="FFEEF5FA"/>
        <bgColor rgb="FFEEF5FA"/>
      </patternFill>
    </fill>
    <fill>
      <patternFill patternType="solid">
        <fgColor rgb="FFFFFFFF"/>
        <bgColor rgb="FFFFFFFF"/>
      </patternFill>
    </fill>
  </fills>
  <borders count="12">
    <border>
      <left/>
      <right/>
      <top/>
      <bottom/>
      <diagonal/>
    </border>
    <border>
      <left/>
      <right/>
      <top/>
      <bottom style="thin">
        <color rgb="FF5B9BD5"/>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30">
    <xf numFmtId="0" fontId="0" fillId="0" borderId="0" xfId="0"/>
    <xf numFmtId="0" fontId="2" fillId="0" borderId="1" xfId="0" applyFont="1" applyBorder="1" applyAlignment="1">
      <alignment vertical="center"/>
    </xf>
    <xf numFmtId="0" fontId="2" fillId="0" borderId="0" xfId="0" applyFont="1" applyAlignment="1">
      <alignment vertical="center"/>
    </xf>
    <xf numFmtId="0" fontId="6" fillId="2" borderId="5" xfId="0" applyFont="1" applyFill="1" applyBorder="1" applyAlignment="1">
      <alignment vertical="center"/>
    </xf>
    <xf numFmtId="0" fontId="9" fillId="4" borderId="5" xfId="0" applyFont="1" applyFill="1" applyBorder="1" applyAlignment="1">
      <alignment horizontal="center" vertical="center" wrapText="1"/>
    </xf>
    <xf numFmtId="0" fontId="7" fillId="3" borderId="5" xfId="0" applyFont="1" applyFill="1" applyBorder="1" applyAlignment="1">
      <alignment horizontal="center" vertical="top" wrapText="1"/>
    </xf>
    <xf numFmtId="0" fontId="2" fillId="0" borderId="0" xfId="0" applyFont="1" applyAlignment="1">
      <alignment vertical="top" wrapText="1"/>
    </xf>
    <xf numFmtId="0" fontId="7" fillId="2" borderId="5" xfId="0" applyFont="1" applyFill="1" applyBorder="1" applyAlignment="1">
      <alignment horizontal="center" vertical="top" wrapText="1"/>
    </xf>
    <xf numFmtId="0" fontId="7" fillId="3" borderId="5" xfId="0" applyFont="1" applyFill="1" applyBorder="1" applyAlignment="1">
      <alignment vertical="top" wrapText="1"/>
    </xf>
    <xf numFmtId="0" fontId="7" fillId="5" borderId="5" xfId="0" applyFont="1" applyFill="1" applyBorder="1" applyAlignment="1">
      <alignment vertical="top" wrapText="1"/>
    </xf>
    <xf numFmtId="0" fontId="7" fillId="2" borderId="5" xfId="0" applyFont="1" applyFill="1" applyBorder="1" applyAlignment="1">
      <alignment vertical="top" wrapText="1"/>
    </xf>
    <xf numFmtId="0" fontId="7" fillId="6" borderId="5" xfId="0" applyFont="1" applyFill="1" applyBorder="1" applyAlignment="1">
      <alignment horizontal="center" vertical="center" wrapText="1"/>
    </xf>
    <xf numFmtId="0" fontId="7" fillId="5" borderId="5" xfId="0" applyFont="1" applyFill="1" applyBorder="1" applyAlignment="1">
      <alignment horizontal="center" vertical="top" wrapText="1"/>
    </xf>
    <xf numFmtId="0" fontId="7" fillId="6" borderId="5" xfId="0" applyFont="1" applyFill="1" applyBorder="1" applyAlignment="1">
      <alignment vertical="center" wrapText="1"/>
    </xf>
    <xf numFmtId="0" fontId="1" fillId="0" borderId="0" xfId="0" applyFont="1" applyAlignment="1">
      <alignment vertical="center"/>
    </xf>
    <xf numFmtId="0" fontId="0" fillId="0" borderId="0" xfId="0"/>
    <xf numFmtId="0" fontId="3" fillId="0" borderId="0" xfId="0" applyFont="1" applyAlignment="1">
      <alignment vertical="center"/>
    </xf>
    <xf numFmtId="0" fontId="4" fillId="2" borderId="2" xfId="0" applyFont="1" applyFill="1" applyBorder="1" applyAlignment="1">
      <alignment vertical="center"/>
    </xf>
    <xf numFmtId="0" fontId="5" fillId="0" borderId="3" xfId="0" applyFont="1" applyBorder="1"/>
    <xf numFmtId="0" fontId="5" fillId="0" borderId="4" xfId="0" applyFont="1" applyBorder="1"/>
    <xf numFmtId="0" fontId="11" fillId="0" borderId="0" xfId="0" applyFont="1" applyAlignment="1">
      <alignment vertical="center"/>
    </xf>
    <xf numFmtId="0" fontId="6" fillId="2" borderId="2" xfId="0" applyFont="1" applyFill="1" applyBorder="1" applyAlignment="1">
      <alignment vertical="center"/>
    </xf>
    <xf numFmtId="0" fontId="10" fillId="3" borderId="6" xfId="0" applyFont="1" applyFill="1" applyBorder="1" applyAlignment="1">
      <alignment vertical="top" wrapText="1"/>
    </xf>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7" fillId="3" borderId="2" xfId="0" applyFont="1" applyFill="1" applyBorder="1" applyAlignment="1">
      <alignment vertical="center"/>
    </xf>
    <xf numFmtId="14" fontId="8" fillId="3" borderId="2" xfId="0" applyNumberFormat="1" applyFont="1" applyFill="1" applyBorder="1" applyAlignment="1">
      <alignment horizontal="left" vertical="center"/>
    </xf>
  </cellXfs>
  <cellStyles count="1">
    <cellStyle name="Normal" xfId="0" builtinId="0"/>
  </cellStyles>
  <dxfs count="16">
    <dxf>
      <font>
        <b/>
        <color rgb="FF9C0006"/>
      </font>
      <fill>
        <patternFill patternType="solid">
          <fgColor rgb="FFFCE8E6"/>
          <bgColor rgb="FFFCE8E6"/>
        </patternFill>
      </fill>
    </dxf>
    <dxf>
      <font>
        <b/>
        <color rgb="FF375623"/>
      </font>
      <fill>
        <patternFill patternType="solid">
          <fgColor rgb="FFE2F0D9"/>
          <bgColor rgb="FFE2F0D9"/>
        </patternFill>
      </fill>
    </dxf>
    <dxf>
      <font>
        <b/>
        <color rgb="FF9C0006"/>
      </font>
      <fill>
        <patternFill patternType="solid">
          <fgColor rgb="FFFCE8E6"/>
          <bgColor rgb="FFFCE8E6"/>
        </patternFill>
      </fill>
    </dxf>
    <dxf>
      <font>
        <b/>
        <color rgb="FF375623"/>
      </font>
      <fill>
        <patternFill patternType="solid">
          <fgColor rgb="FFE2F0D9"/>
          <bgColor rgb="FFE2F0D9"/>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tableStyle name="Product Backlog-style" pivot="0" count="4" xr9:uid="{00000000-0011-0000-FFFF-FFFF00000000}">
      <tableStyleElement type="wholeTable" size="0" dxfId="15"/>
      <tableStyleElement type="headerRow" dxfId="14"/>
      <tableStyleElement type="firstRowStripe" dxfId="13"/>
      <tableStyleElement type="secondRowStripe" dxfId="12"/>
    </tableStyle>
    <tableStyle name="Historias de usuario-style" pivot="0" count="4" xr9:uid="{00000000-0011-0000-FFFF-FFFF01000000}">
      <tableStyleElement type="wholeTable" size="0" dxfId="11"/>
      <tableStyleElement type="headerRow" dxfId="10"/>
      <tableStyleElement type="firstRowStripe" dxfId="9"/>
      <tableStyleElement type="secondRowStripe" dxfId="8"/>
    </tableStyle>
    <tableStyle name="Épicas y funciones-style" pivot="0" count="4" xr9:uid="{00000000-0011-0000-FFFF-FFFF02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roductBacklogTable" displayName="ProductBacklogTable" ref="A5:M25">
  <tableColumns count="13">
    <tableColumn id="1" xr3:uid="{00000000-0010-0000-0000-000001000000}" name="Orden"/>
    <tableColumn id="2" xr3:uid="{00000000-0010-0000-0000-000002000000}" name="ID HU"/>
    <tableColumn id="3" xr3:uid="{00000000-0010-0000-0000-000003000000}" name="Épica"/>
    <tableColumn id="4" xr3:uid="{00000000-0010-0000-0000-000004000000}" name="Funcionalidad"/>
    <tableColumn id="5" xr3:uid="{00000000-0010-0000-0000-000005000000}" name="Título"/>
    <tableColumn id="6" xr3:uid="{00000000-0010-0000-0000-000006000000}" name="Historia de usuario"/>
    <tableColumn id="7" xr3:uid="{00000000-0010-0000-0000-000007000000}" name="Criterios de aceptación"/>
    <tableColumn id="8" xr3:uid="{00000000-0010-0000-0000-000008000000}" name="Prioridad"/>
    <tableColumn id="9" xr3:uid="{00000000-0010-0000-0000-000009000000}" name="Estimación SP"/>
    <tableColumn id="10" xr3:uid="{00000000-0010-0000-0000-00000A000000}" name="Dependencias"/>
    <tableColumn id="11" xr3:uid="{00000000-0010-0000-0000-00000B000000}" name="Estado"/>
    <tableColumn id="12" xr3:uid="{00000000-0010-0000-0000-00000C000000}" name="Sprint"/>
    <tableColumn id="13" xr3:uid="{00000000-0010-0000-0000-00000D000000}" name="Responsable"/>
  </tableColumns>
  <tableStyleInfo name="Product Backlog-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UserStoriesTable" displayName="UserStoriesTable" ref="A5:P25">
  <tableColumns count="16">
    <tableColumn id="1" xr3:uid="{00000000-0010-0000-0100-000001000000}" name="ID HU"/>
    <tableColumn id="2" xr3:uid="{00000000-0010-0000-0100-000002000000}" name="ID Épica"/>
    <tableColumn id="3" xr3:uid="{00000000-0010-0000-0100-000003000000}" name="Funcionalidad"/>
    <tableColumn id="4" xr3:uid="{00000000-0010-0000-0100-000004000000}" name="Título"/>
    <tableColumn id="5" xr3:uid="{00000000-0010-0000-0100-000005000000}" name="Como"/>
    <tableColumn id="6" xr3:uid="{00000000-0010-0000-0100-000006000000}" name="Quiero"/>
    <tableColumn id="7" xr3:uid="{00000000-0010-0000-0100-000007000000}" name="Para"/>
    <tableColumn id="8" xr3:uid="{00000000-0010-0000-0100-000008000000}" name="Historia completa"/>
    <tableColumn id="9" xr3:uid="{00000000-0010-0000-0100-000009000000}" name="Criterios de aceptación"/>
    <tableColumn id="10" xr3:uid="{00000000-0010-0000-0100-00000A000000}" name="Prioridad"/>
    <tableColumn id="11" xr3:uid="{00000000-0010-0000-0100-00000B000000}" name="Estimación SP"/>
    <tableColumn id="12" xr3:uid="{00000000-0010-0000-0100-00000C000000}" name="Dependencias"/>
    <tableColumn id="13" xr3:uid="{00000000-0010-0000-0100-00000D000000}" name="Estado"/>
    <tableColumn id="14" xr3:uid="{00000000-0010-0000-0100-00000E000000}" name="Sprint"/>
    <tableColumn id="15" xr3:uid="{00000000-0010-0000-0100-00000F000000}" name="Responsable"/>
    <tableColumn id="16" xr3:uid="{00000000-0010-0000-0100-000010000000}" name="Observaciones"/>
  </tableColumns>
  <tableStyleInfo name="Historias de usuario-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picsTable" displayName="EpicsTable" ref="A5:M11">
  <tableColumns count="13">
    <tableColumn id="1" xr3:uid="{00000000-0010-0000-0200-000001000000}" name="ID Épica"/>
    <tableColumn id="2" xr3:uid="{00000000-0010-0000-0200-000002000000}" name="Épica o módulo"/>
    <tableColumn id="3" xr3:uid="{00000000-0010-0000-0200-000003000000}" name="Problema u oportunidad"/>
    <tableColumn id="4" xr3:uid="{00000000-0010-0000-0200-000004000000}" name="Objetivo y valor esperado"/>
    <tableColumn id="5" xr3:uid="{00000000-0010-0000-0200-000005000000}" name="Usuarios"/>
    <tableColumn id="6" xr3:uid="{00000000-0010-0000-0200-000006000000}" name="Funcionalidades incluidas"/>
    <tableColumn id="7" xr3:uid="{00000000-0010-0000-0200-000007000000}" name="Fuera de alcance"/>
    <tableColumn id="8" xr3:uid="{00000000-0010-0000-0200-000008000000}" name="Dependencias"/>
    <tableColumn id="9" xr3:uid="{00000000-0010-0000-0200-000009000000}" name="Prioridad"/>
    <tableColumn id="10" xr3:uid="{00000000-0010-0000-0200-00000A000000}" name="Tamaño"/>
    <tableColumn id="11" xr3:uid="{00000000-0010-0000-0200-00000B000000}" name="Criterio de término"/>
    <tableColumn id="12" xr3:uid="{00000000-0010-0000-0200-00000C000000}" name="Estado"/>
    <tableColumn id="13" xr3:uid="{00000000-0010-0000-0200-00000D000000}" name="Responsable"/>
  </tableColumns>
  <tableStyleInfo name="Épicas y funcion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M1000"/>
  <sheetViews>
    <sheetView showGridLines="0" tabSelected="1"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2.625" defaultRowHeight="15" customHeight="1"/>
  <cols>
    <col min="1" max="1" width="8" customWidth="1"/>
    <col min="2" max="2" width="11" customWidth="1"/>
    <col min="3" max="3" width="12" customWidth="1"/>
    <col min="4" max="4" width="20" customWidth="1"/>
    <col min="5" max="5" width="23" customWidth="1"/>
    <col min="6" max="7" width="42" customWidth="1"/>
    <col min="8" max="9" width="12" customWidth="1"/>
    <col min="10" max="10" width="20" customWidth="1"/>
    <col min="11" max="11" width="14" customWidth="1"/>
    <col min="12" max="12" width="11" customWidth="1"/>
    <col min="13" max="13" width="18" customWidth="1"/>
    <col min="14" max="26" width="9" customWidth="1"/>
  </cols>
  <sheetData>
    <row r="1" spans="1:13" ht="14.25" customHeight="1"/>
    <row r="2" spans="1:13" ht="27.75" customHeight="1">
      <c r="A2" s="14" t="s">
        <v>7</v>
      </c>
      <c r="B2" s="15"/>
      <c r="C2" s="15"/>
      <c r="D2" s="15"/>
      <c r="E2" s="15"/>
      <c r="F2" s="15"/>
      <c r="G2" s="15"/>
      <c r="H2" s="15"/>
      <c r="I2" s="15"/>
      <c r="J2" s="15"/>
      <c r="K2" s="15"/>
      <c r="L2" s="15"/>
      <c r="M2" s="15"/>
    </row>
    <row r="3" spans="1:13" ht="14.25" customHeight="1">
      <c r="A3" s="1"/>
      <c r="B3" s="1"/>
      <c r="C3" s="1"/>
      <c r="D3" s="1"/>
      <c r="E3" s="1"/>
      <c r="F3" s="1"/>
      <c r="G3" s="1"/>
      <c r="H3" s="1"/>
      <c r="I3" s="1"/>
      <c r="J3" s="1"/>
      <c r="K3" s="1"/>
      <c r="L3" s="1"/>
      <c r="M3" s="1"/>
    </row>
    <row r="4" spans="1:13" ht="14.25" customHeight="1">
      <c r="A4" s="16" t="s">
        <v>13</v>
      </c>
      <c r="B4" s="15"/>
      <c r="C4" s="15"/>
      <c r="D4" s="15"/>
      <c r="E4" s="15"/>
      <c r="F4" s="15"/>
      <c r="G4" s="15"/>
      <c r="H4" s="15"/>
      <c r="I4" s="15"/>
      <c r="J4" s="15"/>
      <c r="K4" s="15"/>
      <c r="L4" s="15"/>
      <c r="M4" s="15"/>
    </row>
    <row r="5" spans="1:13" ht="33.75" customHeight="1">
      <c r="A5" s="4" t="s">
        <v>15</v>
      </c>
      <c r="B5" s="4" t="s">
        <v>17</v>
      </c>
      <c r="C5" s="4" t="s">
        <v>22</v>
      </c>
      <c r="D5" s="4" t="s">
        <v>24</v>
      </c>
      <c r="E5" s="4" t="s">
        <v>25</v>
      </c>
      <c r="F5" s="4" t="s">
        <v>27</v>
      </c>
      <c r="G5" s="4" t="s">
        <v>29</v>
      </c>
      <c r="H5" s="4" t="s">
        <v>31</v>
      </c>
      <c r="I5" s="4" t="s">
        <v>34</v>
      </c>
      <c r="J5" s="4" t="s">
        <v>37</v>
      </c>
      <c r="K5" s="4" t="s">
        <v>19</v>
      </c>
      <c r="L5" s="4" t="s">
        <v>41</v>
      </c>
      <c r="M5" s="4" t="s">
        <v>44</v>
      </c>
    </row>
    <row r="6" spans="1:13" ht="103.5" customHeight="1">
      <c r="A6" s="5">
        <v>1</v>
      </c>
      <c r="B6" s="5" t="s">
        <v>46</v>
      </c>
      <c r="C6" s="9" t="str">
        <f>IF($B6="","",IFERROR(IF(VLOOKUP($B6,'Historias de usuario'!$A$6:$P$25,2,FALSE)="","",VLOOKUP($B6,'Historias de usuario'!$A$6:$P$25,2,FALSE)),""))</f>
        <v>EP-01</v>
      </c>
      <c r="D6" s="9" t="str">
        <f>IF($B6="","",IFERROR(IF(VLOOKUP($B6,'Historias de usuario'!$A$6:$P$25,3,FALSE)="","",VLOOKUP($B6,'Historias de usuario'!$A$6:$P$25,3,FALSE)),""))</f>
        <v>Acceso seguro</v>
      </c>
      <c r="E6" s="9" t="str">
        <f>IF($B6="","",IFERROR(IF(VLOOKUP($B6,'Historias de usuario'!$A$6:$P$25,4,FALSE)="","",VLOOKUP($B6,'Historias de usuario'!$A$6:$P$25,4,FALSE)),""))</f>
        <v>Autenticarse en la plataforma</v>
      </c>
      <c r="F6" s="9" t="str">
        <f>IF($B6="","",IFERROR(IF(VLOOKUP($B6,'Historias de usuario'!$A$6:$P$25,8,FALSE)="","",VLOOKUP($B6,'Historias de usuario'!$A$6:$P$25,8,FALSE)),""))</f>
        <v>Como usuario habilitado, quiero iniciar sesión de forma segura y mantener una sesión controlada, para acceder únicamente a las funciones autorizadas</v>
      </c>
      <c r="G6" s="9" t="str">
        <f>IF($B6="","",IFERROR(IF(VLOOKUP($B6,'Historias de usuario'!$A$6:$P$25,9,FALSE)="","",VLOOKUP($B6,'Historias de usuario'!$A$6:$P$25,9,FALSE)),""))</f>
        <v>1. Con credenciales válidas, el usuario activo ingresa a la plataforma.
2. Las credenciales inválidas o de un usuario desactivado impiden el acceso y muestran un mensaje claro.
3. La contraseña se almacena mediante hash, la sesión expira por inactividad y los intentos fallidos quedan auditados.</v>
      </c>
      <c r="H6" s="12" t="str">
        <f>IF($B6="","",IFERROR(IF(VLOOKUP($B6,'Historias de usuario'!$A$6:$P$25,10,FALSE)="","",VLOOKUP($B6,'Historias de usuario'!$A$6:$P$25,10,FALSE)),""))</f>
        <v>Alta</v>
      </c>
      <c r="I6" s="12">
        <f>IF($B6="","",IFERROR(IF(VLOOKUP($B6,'Historias de usuario'!$A$6:$P$25,11,FALSE)="","",VLOOKUP($B6,'Historias de usuario'!$A$6:$P$25,11,FALSE)),""))</f>
        <v>5</v>
      </c>
      <c r="J6" s="9" t="str">
        <f>IF($B6="","",IFERROR(IF(VLOOKUP($B6,'Historias de usuario'!$A$6:$P$25,12,FALSE)="","",VLOOKUP($B6,'Historias de usuario'!$A$6:$P$25,12,FALSE)),""))</f>
        <v>Ninguna</v>
      </c>
      <c r="K6" s="9" t="str">
        <f>IF($B6="","",IFERROR(IF(VLOOKUP($B6,'Historias de usuario'!$A$6:$P$25,13,FALSE)="","",VLOOKUP($B6,'Historias de usuario'!$A$6:$P$25,13,FALSE)),""))</f>
        <v>Propuesto</v>
      </c>
      <c r="L6" s="9" t="str">
        <f>IF($B6="","",IFERROR(IF(VLOOKUP($B6,'Historias de usuario'!$A$6:$P$25,14,FALSE)="","",VLOOKUP($B6,'Historias de usuario'!$A$6:$P$25,14,FALSE)),""))</f>
        <v>Sprint 1 · 2 sem.</v>
      </c>
      <c r="M6" s="9" t="str">
        <f>IF($B6="","",IFERROR(IF(VLOOKUP($B6,'Historias de usuario'!$A$6:$P$25,15,FALSE)="","",VLOOKUP($B6,'Historias de usuario'!$A$6:$P$25,15,FALSE)),""))</f>
        <v>Matías y Alexssander</v>
      </c>
    </row>
    <row r="7" spans="1:13" ht="103.5" customHeight="1">
      <c r="A7" s="5">
        <v>2</v>
      </c>
      <c r="B7" s="5" t="s">
        <v>87</v>
      </c>
      <c r="C7" s="9" t="str">
        <f>IF($B7="","",IFERROR(IF(VLOOKUP($B7,'Historias de usuario'!$A$6:$P$25,2,FALSE)="","",VLOOKUP($B7,'Historias de usuario'!$A$6:$P$25,2,FALSE)),""))</f>
        <v>EP-01</v>
      </c>
      <c r="D7" s="9" t="str">
        <f>IF($B7="","",IFERROR(IF(VLOOKUP($B7,'Historias de usuario'!$A$6:$P$25,3,FALSE)="","",VLOOKUP($B7,'Historias de usuario'!$A$6:$P$25,3,FALSE)),""))</f>
        <v>Administración de usuarios</v>
      </c>
      <c r="E7" s="9" t="str">
        <f>IF($B7="","",IFERROR(IF(VLOOKUP($B7,'Historias de usuario'!$A$6:$P$25,4,FALSE)="","",VLOOKUP($B7,'Historias de usuario'!$A$6:$P$25,4,FALSE)),""))</f>
        <v>Administrar usuarios y perfiles</v>
      </c>
      <c r="F7" s="9" t="str">
        <f>IF($B7="","",IFERROR(IF(VLOOKUP($B7,'Historias de usuario'!$A$6:$P$25,8,FALSE)="","",VLOOKUP($B7,'Historias de usuario'!$A$6:$P$25,8,FALSE)),""))</f>
        <v>Como administrador, quiero crear, editar, desactivar y reactivar usuarios asignándoles área, cargo, grupos de autorizadores y permisos directos, para mantener los accesos alineados con las responsabilidades de cada trabajador</v>
      </c>
      <c r="G7" s="9" t="str">
        <f>IF($B7="","",IFERROR(IF(VLOOKUP($B7,'Historias de usuario'!$A$6:$P$25,9,FALSE)="","",VLOOKUP($B7,'Historias de usuario'!$A$6:$P$25,9,FALSE)),""))</f>
        <v>1. El administrador crea y edita usuarios con área y cargo obligatorios.
2. Un usuario se desactiva o reactiva sin eliminar su historial.
3. Solo el administrador puede ejecutar estas operaciones y un usuario desactivado no puede iniciar sesión.</v>
      </c>
      <c r="H7" s="12" t="str">
        <f>IF($B7="","",IFERROR(IF(VLOOKUP($B7,'Historias de usuario'!$A$6:$P$25,10,FALSE)="","",VLOOKUP($B7,'Historias de usuario'!$A$6:$P$25,10,FALSE)),""))</f>
        <v>Alta</v>
      </c>
      <c r="I7" s="12">
        <f>IF($B7="","",IFERROR(IF(VLOOKUP($B7,'Historias de usuario'!$A$6:$P$25,11,FALSE)="","",VLOOKUP($B7,'Historias de usuario'!$A$6:$P$25,11,FALSE)),""))</f>
        <v>8</v>
      </c>
      <c r="J7" s="9" t="str">
        <f>IF($B7="","",IFERROR(IF(VLOOKUP($B7,'Historias de usuario'!$A$6:$P$25,12,FALSE)="","",VLOOKUP($B7,'Historias de usuario'!$A$6:$P$25,12,FALSE)),""))</f>
        <v>HU-001</v>
      </c>
      <c r="K7" s="9" t="str">
        <f>IF($B7="","",IFERROR(IF(VLOOKUP($B7,'Historias de usuario'!$A$6:$P$25,13,FALSE)="","",VLOOKUP($B7,'Historias de usuario'!$A$6:$P$25,13,FALSE)),""))</f>
        <v>Propuesto</v>
      </c>
      <c r="L7" s="9" t="str">
        <f>IF($B7="","",IFERROR(IF(VLOOKUP($B7,'Historias de usuario'!$A$6:$P$25,14,FALSE)="","",VLOOKUP($B7,'Historias de usuario'!$A$6:$P$25,14,FALSE)),""))</f>
        <v>Sprint 1 · 2 sem.</v>
      </c>
      <c r="M7" s="9" t="str">
        <f>IF($B7="","",IFERROR(IF(VLOOKUP($B7,'Historias de usuario'!$A$6:$P$25,15,FALSE)="","",VLOOKUP($B7,'Historias de usuario'!$A$6:$P$25,15,FALSE)),""))</f>
        <v>Matías y Alexssander</v>
      </c>
    </row>
    <row r="8" spans="1:13" ht="103.5" customHeight="1">
      <c r="A8" s="5">
        <v>3</v>
      </c>
      <c r="B8" s="5" t="s">
        <v>139</v>
      </c>
      <c r="C8" s="9" t="str">
        <f>IF($B8="","",IFERROR(IF(VLOOKUP($B8,'Historias de usuario'!$A$6:$P$25,2,FALSE)="","",VLOOKUP($B8,'Historias de usuario'!$A$6:$P$25,2,FALSE)),""))</f>
        <v>EP-01</v>
      </c>
      <c r="D8" s="9" t="str">
        <f>IF($B8="","",IFERROR(IF(VLOOKUP($B8,'Historias de usuario'!$A$6:$P$25,3,FALSE)="","",VLOOKUP($B8,'Historias de usuario'!$A$6:$P$25,3,FALSE)),""))</f>
        <v>Permisos y autorizadores</v>
      </c>
      <c r="E8" s="9" t="str">
        <f>IF($B8="","",IFERROR(IF(VLOOKUP($B8,'Historias de usuario'!$A$6:$P$25,4,FALSE)="","",VLOOKUP($B8,'Historias de usuario'!$A$6:$P$25,4,FALSE)),""))</f>
        <v>Configurar permisos y grupos de autorización</v>
      </c>
      <c r="F8" s="9" t="str">
        <f>IF($B8="","",IFERROR(IF(VLOOKUP($B8,'Historias de usuario'!$A$6:$P$25,8,FALSE)="","",VLOOKUP($B8,'Historias de usuario'!$A$6:$P$25,8,FALSE)),""))</f>
        <v>Como administrador, quiero definir permisos por área, por cargo y directos por usuario, además de los integrantes de los grupos de autorizadores de cada proceso, para controlar qué funciones, datos y decisiones corresponden a cada usuario</v>
      </c>
      <c r="G8" s="9" t="str">
        <f>IF($B8="","",IFERROR(IF(VLOOKUP($B8,'Historias de usuario'!$A$6:$P$25,9,FALSE)="","",VLOOKUP($B8,'Historias de usuario'!$A$6:$P$25,9,FALSE)),""))</f>
        <v>1. Los permisos efectivos suman los permisos directos, del área y del cargo.
2. Cada operación valida los permisos en el servidor.
3. Es posible modificar los integrantes de los grupos de cada proceso, siempre con al menos un integrante activo.
4. Solo el administrador gestiona permisos y grupos.</v>
      </c>
      <c r="H8" s="12" t="str">
        <f>IF($B8="","",IFERROR(IF(VLOOKUP($B8,'Historias de usuario'!$A$6:$P$25,10,FALSE)="","",VLOOKUP($B8,'Historias de usuario'!$A$6:$P$25,10,FALSE)),""))</f>
        <v>Alta</v>
      </c>
      <c r="I8" s="12">
        <f>IF($B8="","",IFERROR(IF(VLOOKUP($B8,'Historias de usuario'!$A$6:$P$25,11,FALSE)="","",VLOOKUP($B8,'Historias de usuario'!$A$6:$P$25,11,FALSE)),""))</f>
        <v>8</v>
      </c>
      <c r="J8" s="9" t="str">
        <f>IF($B8="","",IFERROR(IF(VLOOKUP($B8,'Historias de usuario'!$A$6:$P$25,12,FALSE)="","",VLOOKUP($B8,'Historias de usuario'!$A$6:$P$25,12,FALSE)),""))</f>
        <v>HU-002</v>
      </c>
      <c r="K8" s="9" t="str">
        <f>IF($B8="","",IFERROR(IF(VLOOKUP($B8,'Historias de usuario'!$A$6:$P$25,13,FALSE)="","",VLOOKUP($B8,'Historias de usuario'!$A$6:$P$25,13,FALSE)),""))</f>
        <v>Propuesto</v>
      </c>
      <c r="L8" s="9" t="str">
        <f>IF($B8="","",IFERROR(IF(VLOOKUP($B8,'Historias de usuario'!$A$6:$P$25,14,FALSE)="","",VLOOKUP($B8,'Historias de usuario'!$A$6:$P$25,14,FALSE)),""))</f>
        <v>Sprint 1 · 2 sem.</v>
      </c>
      <c r="M8" s="9" t="str">
        <f>IF($B8="","",IFERROR(IF(VLOOKUP($B8,'Historias de usuario'!$A$6:$P$25,15,FALSE)="","",VLOOKUP($B8,'Historias de usuario'!$A$6:$P$25,15,FALSE)),""))</f>
        <v>Matías y Alexssander</v>
      </c>
    </row>
    <row r="9" spans="1:13" ht="103.5" customHeight="1">
      <c r="A9" s="5">
        <v>4</v>
      </c>
      <c r="B9" s="5" t="s">
        <v>155</v>
      </c>
      <c r="C9" s="9" t="str">
        <f>IF($B9="","",IFERROR(IF(VLOOKUP($B9,'Historias de usuario'!$A$6:$P$25,2,FALSE)="","",VLOOKUP($B9,'Historias de usuario'!$A$6:$P$25,2,FALSE)),""))</f>
        <v>EP-01</v>
      </c>
      <c r="D9" s="9" t="str">
        <f>IF($B9="","",IFERROR(IF(VLOOKUP($B9,'Historias de usuario'!$A$6:$P$25,3,FALSE)="","",VLOOKUP($B9,'Historias de usuario'!$A$6:$P$25,3,FALSE)),""))</f>
        <v>Contexto de empresa y vendedor</v>
      </c>
      <c r="E9" s="9" t="str">
        <f>IF($B9="","",IFERROR(IF(VLOOKUP($B9,'Historias de usuario'!$A$6:$P$25,4,FALSE)="","",VLOOKUP($B9,'Historias de usuario'!$A$6:$P$25,4,FALSE)),""))</f>
        <v>Configurar empresas, vendedores y comisiones</v>
      </c>
      <c r="F9" s="9" t="str">
        <f>IF($B9="","",IFERROR(IF(VLOOKUP($B9,'Historias de usuario'!$A$6:$P$25,8,FALSE)="","",VLOOKUP($B9,'Historias de usuario'!$A$6:$P$25,8,FALSE)),""))</f>
        <v>Como administrador, quiero asociar SlpCode y escala de comisión por empresa a vendedores y asistentes, para asegurar que cada operación use la empresa y el vendedor correctos</v>
      </c>
      <c r="G9" s="9" t="str">
        <f>IF($B9="","",IFERROR(IF(VLOOKUP($B9,'Historias de usuario'!$A$6:$P$25,9,FALSE)="","",VLOOKUP($B9,'Historias de usuario'!$A$6:$P$25,9,FALSE)),""))</f>
        <v>1. Cada SlpCode queda asociado a Marsella o Asland y a los usuarios autorizados.
2. Se asigna una escala de comisión o se usa la escala predeterminada.
3. El selector de empresa solo aparece a usuarios con códigos en ambas empresas.
4. Al cambiar la empresa activa, consultas, documentos, solicitudes y casos usan ese contexto y su color identificador.</v>
      </c>
      <c r="H9" s="12" t="str">
        <f>IF($B9="","",IFERROR(IF(VLOOKUP($B9,'Historias de usuario'!$A$6:$P$25,10,FALSE)="","",VLOOKUP($B9,'Historias de usuario'!$A$6:$P$25,10,FALSE)),""))</f>
        <v>Alta</v>
      </c>
      <c r="I9" s="12">
        <f>IF($B9="","",IFERROR(IF(VLOOKUP($B9,'Historias de usuario'!$A$6:$P$25,11,FALSE)="","",VLOOKUP($B9,'Historias de usuario'!$A$6:$P$25,11,FALSE)),""))</f>
        <v>8</v>
      </c>
      <c r="J9" s="9" t="str">
        <f>IF($B9="","",IFERROR(IF(VLOOKUP($B9,'Historias de usuario'!$A$6:$P$25,12,FALSE)="","",VLOOKUP($B9,'Historias de usuario'!$A$6:$P$25,12,FALSE)),""))</f>
        <v>HU-002, HU-003</v>
      </c>
      <c r="K9" s="9" t="str">
        <f>IF($B9="","",IFERROR(IF(VLOOKUP($B9,'Historias de usuario'!$A$6:$P$25,13,FALSE)="","",VLOOKUP($B9,'Historias de usuario'!$A$6:$P$25,13,FALSE)),""))</f>
        <v>Propuesto</v>
      </c>
      <c r="L9" s="9" t="str">
        <f>IF($B9="","",IFERROR(IF(VLOOKUP($B9,'Historias de usuario'!$A$6:$P$25,14,FALSE)="","",VLOOKUP($B9,'Historias de usuario'!$A$6:$P$25,14,FALSE)),""))</f>
        <v>Sprint 1 · 2 sem.</v>
      </c>
      <c r="M9" s="9" t="str">
        <f>IF($B9="","",IFERROR(IF(VLOOKUP($B9,'Historias de usuario'!$A$6:$P$25,15,FALSE)="","",VLOOKUP($B9,'Historias de usuario'!$A$6:$P$25,15,FALSE)),""))</f>
        <v>Matías y Alexssander</v>
      </c>
    </row>
    <row r="10" spans="1:13" ht="103.5" customHeight="1">
      <c r="A10" s="5">
        <v>5</v>
      </c>
      <c r="B10" s="5" t="s">
        <v>174</v>
      </c>
      <c r="C10" s="9" t="str">
        <f>IF($B10="","",IFERROR(IF(VLOOKUP($B10,'Historias de usuario'!$A$6:$P$25,2,FALSE)="","",VLOOKUP($B10,'Historias de usuario'!$A$6:$P$25,2,FALSE)),""))</f>
        <v>EP-02</v>
      </c>
      <c r="D10" s="9" t="str">
        <f>IF($B10="","",IFERROR(IF(VLOOKUP($B10,'Historias de usuario'!$A$6:$P$25,3,FALSE)="","",VLOOKUP($B10,'Historias de usuario'!$A$6:$P$25,3,FALSE)),""))</f>
        <v>Solicitud de códigos</v>
      </c>
      <c r="E10" s="9" t="str">
        <f>IF($B10="","",IFERROR(IF(VLOOKUP($B10,'Historias de usuario'!$A$6:$P$25,4,FALSE)="","",VLOOKUP($B10,'Historias de usuario'!$A$6:$P$25,4,FALSE)),""))</f>
        <v>Crear y enviar solicitudes de código</v>
      </c>
      <c r="F10" s="9" t="str">
        <f>IF($B10="","",IFERROR(IF(VLOOKUP($B10,'Historias de usuario'!$A$6:$P$25,8,FALSE)="","",VLOOKUP($B10,'Historias de usuario'!$A$6:$P$25,8,FALSE)),""))</f>
        <v>Como vendedor autorizado, quiero crear solicitudes de creación, activación o modificación de artículos con sus respaldos, para enviar información completa al grupo autorizador correspondiente</v>
      </c>
      <c r="G10" s="9" t="str">
        <f>IF($B10="","",IFERROR(IF(VLOOKUP($B10,'Historias de usuario'!$A$6:$P$25,9,FALSE)="","",VLOOKUP($B10,'Historias de usuario'!$A$6:$P$25,9,FALSE)),""))</f>
        <v>1. La solicitud se crea en estado Pendiente y queda asociada al usuario y empresa activa.
2. Permite incluir uno o más productos según el tipo de solicitud.
3. Exige el respaldo de cotización según su tipo y permite, para creaciones, un documento y una imagen por producto en los formatos permitidos.
4. Al enviarla, ingresa a la bandeja del grupo autorizador correcto.</v>
      </c>
      <c r="H10" s="12" t="str">
        <f>IF($B10="","",IFERROR(IF(VLOOKUP($B10,'Historias de usuario'!$A$6:$P$25,10,FALSE)="","",VLOOKUP($B10,'Historias de usuario'!$A$6:$P$25,10,FALSE)),""))</f>
        <v>Alta</v>
      </c>
      <c r="I10" s="12">
        <f>IF($B10="","",IFERROR(IF(VLOOKUP($B10,'Historias de usuario'!$A$6:$P$25,11,FALSE)="","",VLOOKUP($B10,'Historias de usuario'!$A$6:$P$25,11,FALSE)),""))</f>
        <v>8</v>
      </c>
      <c r="J10" s="9" t="str">
        <f>IF($B10="","",IFERROR(IF(VLOOKUP($B10,'Historias de usuario'!$A$6:$P$25,12,FALSE)="","",VLOOKUP($B10,'Historias de usuario'!$A$6:$P$25,12,FALSE)),""))</f>
        <v>HU-003, HU-004</v>
      </c>
      <c r="K10" s="9" t="str">
        <f>IF($B10="","",IFERROR(IF(VLOOKUP($B10,'Historias de usuario'!$A$6:$P$25,13,FALSE)="","",VLOOKUP($B10,'Historias de usuario'!$A$6:$P$25,13,FALSE)),""))</f>
        <v>Propuesto</v>
      </c>
      <c r="L10" s="9" t="str">
        <f>IF($B10="","",IFERROR(IF(VLOOKUP($B10,'Historias de usuario'!$A$6:$P$25,14,FALSE)="","",VLOOKUP($B10,'Historias de usuario'!$A$6:$P$25,14,FALSE)),""))</f>
        <v>Sprint 2 · 2 sem.</v>
      </c>
      <c r="M10" s="9" t="str">
        <f>IF($B10="","",IFERROR(IF(VLOOKUP($B10,'Historias de usuario'!$A$6:$P$25,15,FALSE)="","",VLOOKUP($B10,'Historias de usuario'!$A$6:$P$25,15,FALSE)),""))</f>
        <v>Millaray y Matías</v>
      </c>
    </row>
    <row r="11" spans="1:13" ht="103.5" customHeight="1">
      <c r="A11" s="5">
        <v>6</v>
      </c>
      <c r="B11" s="5" t="s">
        <v>192</v>
      </c>
      <c r="C11" s="9" t="str">
        <f>IF($B11="","",IFERROR(IF(VLOOKUP($B11,'Historias de usuario'!$A$6:$P$25,2,FALSE)="","",VLOOKUP($B11,'Historias de usuario'!$A$6:$P$25,2,FALSE)),""))</f>
        <v>EP-02</v>
      </c>
      <c r="D11" s="9" t="str">
        <f>IF($B11="","",IFERROR(IF(VLOOKUP($B11,'Historias de usuario'!$A$6:$P$25,3,FALSE)="","",VLOOKUP($B11,'Historias de usuario'!$A$6:$P$25,3,FALSE)),""))</f>
        <v>Resolución de solicitudes</v>
      </c>
      <c r="E11" s="9" t="str">
        <f>IF($B11="","",IFERROR(IF(VLOOKUP($B11,'Historias de usuario'!$A$6:$P$25,4,FALSE)="","",VLOOKUP($B11,'Historias de usuario'!$A$6:$P$25,4,FALSE)),""))</f>
        <v>Aprobar o rechazar solicitudes</v>
      </c>
      <c r="F11" s="9" t="str">
        <f>IF($B11="","",IFERROR(IF(VLOOKUP($B11,'Historias de usuario'!$A$6:$P$25,8,FALSE)="","",VLOOKUP($B11,'Historias de usuario'!$A$6:$P$25,8,FALSE)),""))</f>
        <v>Como autorizador, quiero aprobar, rechazar o pedir corrección de una solicitud de la bandeja compartida, para resolverla con un responsable y una decisión trazable</v>
      </c>
      <c r="G11" s="9" t="str">
        <f>IF($B11="","",IFERROR(IF(VLOOKUP($B11,'Historias de usuario'!$A$6:$P$25,9,FALSE)="","",VLOOKUP($B11,'Historias de usuario'!$A$6:$P$25,9,FALSE)),""))</f>
        <v>1. Solo el grupo autorizador del tipo de solicitud puede verla y resolverla.
2. Quien resuelve la solicitud queda registrado como responsable.
3. El rechazo exige un motivo visible para el solicitante.
4. La solicitud aprobada no admite edición y conserva usuario, fecha, hora y comentario de la resolución.</v>
      </c>
      <c r="H11" s="12" t="str">
        <f>IF($B11="","",IFERROR(IF(VLOOKUP($B11,'Historias de usuario'!$A$6:$P$25,10,FALSE)="","",VLOOKUP($B11,'Historias de usuario'!$A$6:$P$25,10,FALSE)),""))</f>
        <v>Alta</v>
      </c>
      <c r="I11" s="12">
        <f>IF($B11="","",IFERROR(IF(VLOOKUP($B11,'Historias de usuario'!$A$6:$P$25,11,FALSE)="","",VLOOKUP($B11,'Historias de usuario'!$A$6:$P$25,11,FALSE)),""))</f>
        <v>5</v>
      </c>
      <c r="J11" s="9" t="str">
        <f>IF($B11="","",IFERROR(IF(VLOOKUP($B11,'Historias de usuario'!$A$6:$P$25,12,FALSE)="","",VLOOKUP($B11,'Historias de usuario'!$A$6:$P$25,12,FALSE)),""))</f>
        <v>HU-005</v>
      </c>
      <c r="K11" s="9" t="str">
        <f>IF($B11="","",IFERROR(IF(VLOOKUP($B11,'Historias de usuario'!$A$6:$P$25,13,FALSE)="","",VLOOKUP($B11,'Historias de usuario'!$A$6:$P$25,13,FALSE)),""))</f>
        <v>Propuesto</v>
      </c>
      <c r="L11" s="9" t="str">
        <f>IF($B11="","",IFERROR(IF(VLOOKUP($B11,'Historias de usuario'!$A$6:$P$25,14,FALSE)="","",VLOOKUP($B11,'Historias de usuario'!$A$6:$P$25,14,FALSE)),""))</f>
        <v>Sprint 2 · 2 sem.</v>
      </c>
      <c r="M11" s="9" t="str">
        <f>IF($B11="","",IFERROR(IF(VLOOKUP($B11,'Historias de usuario'!$A$6:$P$25,15,FALSE)="","",VLOOKUP($B11,'Historias de usuario'!$A$6:$P$25,15,FALSE)),""))</f>
        <v>Millaray y Matías</v>
      </c>
    </row>
    <row r="12" spans="1:13" ht="103.5" customHeight="1">
      <c r="A12" s="5">
        <v>7</v>
      </c>
      <c r="B12" s="5" t="s">
        <v>207</v>
      </c>
      <c r="C12" s="9" t="str">
        <f>IF($B12="","",IFERROR(IF(VLOOKUP($B12,'Historias de usuario'!$A$6:$P$25,2,FALSE)="","",VLOOKUP($B12,'Historias de usuario'!$A$6:$P$25,2,FALSE)),""))</f>
        <v>EP-02</v>
      </c>
      <c r="D12" s="9" t="str">
        <f>IF($B12="","",IFERROR(IF(VLOOKUP($B12,'Historias de usuario'!$A$6:$P$25,3,FALSE)="","",VLOOKUP($B12,'Historias de usuario'!$A$6:$P$25,3,FALSE)),""))</f>
        <v>Seguimiento de solicitudes</v>
      </c>
      <c r="E12" s="9" t="str">
        <f>IF($B12="","",IFERROR(IF(VLOOKUP($B12,'Historias de usuario'!$A$6:$P$25,4,FALSE)="","",VLOOKUP($B12,'Historias de usuario'!$A$6:$P$25,4,FALSE)),""))</f>
        <v>Corregir, reenviar y consultar solicitudes</v>
      </c>
      <c r="F12" s="9" t="str">
        <f>IF($B12="","",IFERROR(IF(VLOOKUP($B12,'Historias de usuario'!$A$6:$P$25,8,FALSE)="","",VLOOKUP($B12,'Historias de usuario'!$A$6:$P$25,8,FALSE)),""))</f>
        <v>Como vendedor solicitante, quiero corregir y reenviar solicitudes rechazadas, además de consultar y filtrar su seguimiento, para resolver observaciones y conocer el estado de cada gestión</v>
      </c>
      <c r="G12" s="9" t="str">
        <f>IF($B12="","",IFERROR(IF(VLOOKUP($B12,'Historias de usuario'!$A$6:$P$25,9,FALSE)="","",VLOOKUP($B12,'Historias de usuario'!$A$6:$P$25,9,FALSE)),""))</f>
        <v>1. Solo el creador puede corregir y reenviar una solicitud rechazada.
2. El reenvío vuelve a estado Pendiente y a la bandeja del grupo autorizador.
3. El usuario consulta estado, responsable, fecha y comentario.
4. Los filtros por estado, fecha, área y responsable devuelven resultados acordes con sus permisos.</v>
      </c>
      <c r="H12" s="12" t="str">
        <f>IF($B12="","",IFERROR(IF(VLOOKUP($B12,'Historias de usuario'!$A$6:$P$25,10,FALSE)="","",VLOOKUP($B12,'Historias de usuario'!$A$6:$P$25,10,FALSE)),""))</f>
        <v>Alta</v>
      </c>
      <c r="I12" s="12">
        <f>IF($B12="","",IFERROR(IF(VLOOKUP($B12,'Historias de usuario'!$A$6:$P$25,11,FALSE)="","",VLOOKUP($B12,'Historias de usuario'!$A$6:$P$25,11,FALSE)),""))</f>
        <v>8</v>
      </c>
      <c r="J12" s="9" t="str">
        <f>IF($B12="","",IFERROR(IF(VLOOKUP($B12,'Historias de usuario'!$A$6:$P$25,12,FALSE)="","",VLOOKUP($B12,'Historias de usuario'!$A$6:$P$25,12,FALSE)),""))</f>
        <v>HU-006</v>
      </c>
      <c r="K12" s="9" t="str">
        <f>IF($B12="","",IFERROR(IF(VLOOKUP($B12,'Historias de usuario'!$A$6:$P$25,13,FALSE)="","",VLOOKUP($B12,'Historias de usuario'!$A$6:$P$25,13,FALSE)),""))</f>
        <v>Propuesto</v>
      </c>
      <c r="L12" s="9" t="str">
        <f>IF($B12="","",IFERROR(IF(VLOOKUP($B12,'Historias de usuario'!$A$6:$P$25,14,FALSE)="","",VLOOKUP($B12,'Historias de usuario'!$A$6:$P$25,14,FALSE)),""))</f>
        <v>Sprint 2 · 2 sem.</v>
      </c>
      <c r="M12" s="9" t="str">
        <f>IF($B12="","",IFERROR(IF(VLOOKUP($B12,'Historias de usuario'!$A$6:$P$25,15,FALSE)="","",VLOOKUP($B12,'Historias de usuario'!$A$6:$P$25,15,FALSE)),""))</f>
        <v>Millaray y Matías</v>
      </c>
    </row>
    <row r="13" spans="1:13" ht="103.5" customHeight="1">
      <c r="A13" s="5">
        <v>8</v>
      </c>
      <c r="B13" s="5" t="s">
        <v>251</v>
      </c>
      <c r="C13" s="9" t="str">
        <f>IF($B13="","",IFERROR(IF(VLOOKUP($B13,'Historias de usuario'!$A$6:$P$25,2,FALSE)="","",VLOOKUP($B13,'Historias de usuario'!$A$6:$P$25,2,FALSE)),""))</f>
        <v>EP-04</v>
      </c>
      <c r="D13" s="9" t="str">
        <f>IF($B13="","",IFERROR(IF(VLOOKUP($B13,'Historias de usuario'!$A$6:$P$25,3,FALSE)="","",VLOOKUP($B13,'Historias de usuario'!$A$6:$P$25,3,FALSE)),""))</f>
        <v>Avisos a autorizadores</v>
      </c>
      <c r="E13" s="9" t="str">
        <f>IF($B13="","",IFERROR(IF(VLOOKUP($B13,'Historias de usuario'!$A$6:$P$25,4,FALSE)="","",VLOOKUP($B13,'Historias de usuario'!$A$6:$P$25,4,FALSE)),""))</f>
        <v>Notificar pendientes y recordatorios</v>
      </c>
      <c r="F13" s="9" t="str">
        <f>IF($B13="","",IFERROR(IF(VLOOKUP($B13,'Historias de usuario'!$A$6:$P$25,8,FALSE)="","",VLOOKUP($B13,'Historias de usuario'!$A$6:$P$25,8,FALSE)),""))</f>
        <v>Como autorizador, quiero recibir avisos de los procesos pendientes y recordatorios cuando superen una hora, para atender oportunamente las decisiones que me corresponden</v>
      </c>
      <c r="G13" s="9" t="str">
        <f>IF($B13="","",IFERROR(IF(VLOOKUP($B13,'Historias de usuario'!$A$6:$P$25,9,FALSE)="","",VLOOKUP($B13,'Historias de usuario'!$A$6:$P$25,9,FALSE)),""))</f>
        <v>1. Al enviar un proceso, se notifica únicamente a los destinatarios autorizados.
2. La notificación identifica categoría, emisor, nivel y enlace al proceso.
3. Después de una hora pendiente se genera un recordatorio automático.
4. El usuario no puede ver notificaciones ajenas.</v>
      </c>
      <c r="H13" s="12" t="str">
        <f>IF($B13="","",IFERROR(IF(VLOOKUP($B13,'Historias de usuario'!$A$6:$P$25,10,FALSE)="","",VLOOKUP($B13,'Historias de usuario'!$A$6:$P$25,10,FALSE)),""))</f>
        <v>Alta</v>
      </c>
      <c r="I13" s="12">
        <f>IF($B13="","",IFERROR(IF(VLOOKUP($B13,'Historias de usuario'!$A$6:$P$25,11,FALSE)="","",VLOOKUP($B13,'Historias de usuario'!$A$6:$P$25,11,FALSE)),""))</f>
        <v>5</v>
      </c>
      <c r="J13" s="9" t="str">
        <f>IF($B13="","",IFERROR(IF(VLOOKUP($B13,'Historias de usuario'!$A$6:$P$25,12,FALSE)="","",VLOOKUP($B13,'Historias de usuario'!$A$6:$P$25,12,FALSE)),""))</f>
        <v>HU-005, HU-006</v>
      </c>
      <c r="K13" s="9" t="str">
        <f>IF($B13="","",IFERROR(IF(VLOOKUP($B13,'Historias de usuario'!$A$6:$P$25,13,FALSE)="","",VLOOKUP($B13,'Historias de usuario'!$A$6:$P$25,13,FALSE)),""))</f>
        <v>Propuesto</v>
      </c>
      <c r="L13" s="9" t="str">
        <f>IF($B13="","",IFERROR(IF(VLOOKUP($B13,'Historias de usuario'!$A$6:$P$25,14,FALSE)="","",VLOOKUP($B13,'Historias de usuario'!$A$6:$P$25,14,FALSE)),""))</f>
        <v>Sprint 2 · 2 sem.</v>
      </c>
      <c r="M13" s="9" t="str">
        <f>IF($B13="","",IFERROR(IF(VLOOKUP($B13,'Historias de usuario'!$A$6:$P$25,15,FALSE)="","",VLOOKUP($B13,'Historias de usuario'!$A$6:$P$25,15,FALSE)),""))</f>
        <v>Millaray y Matías</v>
      </c>
    </row>
    <row r="14" spans="1:13" ht="103.5" customHeight="1">
      <c r="A14" s="5">
        <v>9</v>
      </c>
      <c r="B14" s="5" t="s">
        <v>278</v>
      </c>
      <c r="C14" s="9" t="str">
        <f>IF($B14="","",IFERROR(IF(VLOOKUP($B14,'Historias de usuario'!$A$6:$P$25,2,FALSE)="","",VLOOKUP($B14,'Historias de usuario'!$A$6:$P$25,2,FALSE)),""))</f>
        <v>EP-05</v>
      </c>
      <c r="D14" s="9" t="str">
        <f>IF($B14="","",IFERROR(IF(VLOOKUP($B14,'Historias de usuario'!$A$6:$P$25,3,FALSE)="","",VLOOKUP($B14,'Historias de usuario'!$A$6:$P$25,3,FALSE)),""))</f>
        <v>Lectura desde SAP</v>
      </c>
      <c r="E14" s="9" t="str">
        <f>IF($B14="","",IFERROR(IF(VLOOKUP($B14,'Historias de usuario'!$A$6:$P$25,4,FALSE)="","",VLOOKUP($B14,'Historias de usuario'!$A$6:$P$25,4,FALSE)),""))</f>
        <v>Consultar SAP mediante una API segura</v>
      </c>
      <c r="F14" s="9" t="str">
        <f>IF($B14="","",IFERROR(IF(VLOOKUP($B14,'Historias de usuario'!$A$6:$P$25,8,FALSE)="","",VLOOKUP($B14,'Historias de usuario'!$A$6:$P$25,8,FALSE)),""))</f>
        <v>Como usuario autorizado de la plataforma, quiero obtener productos, clientes, stock y datos permitidos mediante la API de lectura, para trabajar desde la web sin modificar directamente la información oficial del ERP</v>
      </c>
      <c r="G14" s="9" t="str">
        <f>IF($B14="","",IFERROR(IF(VLOOKUP($B14,'Historias de usuario'!$A$6:$P$25,9,FALSE)="","",VLOOKUP($B14,'Historias de usuario'!$A$6:$P$25,9,FALSE)),""))</f>
        <v>1. La API consulta SAP HANA exclusivamente con un usuario de solo lectura y responde JSON.
2. Cada petición exige una firma válida; una firma inválida se rechaza.
3. Las credenciales se mantienen fuera del código.
4. Los listados se paginan, aplican tiempo límite y reintentos acotados, y las consultas normales responden en menos de 3 segundos.</v>
      </c>
      <c r="H14" s="12" t="str">
        <f>IF($B14="","",IFERROR(IF(VLOOKUP($B14,'Historias de usuario'!$A$6:$P$25,10,FALSE)="","",VLOOKUP($B14,'Historias de usuario'!$A$6:$P$25,10,FALSE)),""))</f>
        <v>Alta</v>
      </c>
      <c r="I14" s="12">
        <f>IF($B14="","",IFERROR(IF(VLOOKUP($B14,'Historias de usuario'!$A$6:$P$25,11,FALSE)="","",VLOOKUP($B14,'Historias de usuario'!$A$6:$P$25,11,FALSE)),""))</f>
        <v>8</v>
      </c>
      <c r="J14" s="9" t="str">
        <f>IF($B14="","",IFERROR(IF(VLOOKUP($B14,'Historias de usuario'!$A$6:$P$25,12,FALSE)="","",VLOOKUP($B14,'Historias de usuario'!$A$6:$P$25,12,FALSE)),""))</f>
        <v>HU-003, HU-004</v>
      </c>
      <c r="K14" s="9" t="str">
        <f>IF($B14="","",IFERROR(IF(VLOOKUP($B14,'Historias de usuario'!$A$6:$P$25,13,FALSE)="","",VLOOKUP($B14,'Historias de usuario'!$A$6:$P$25,13,FALSE)),""))</f>
        <v>Propuesto</v>
      </c>
      <c r="L14" s="9" t="str">
        <f>IF($B14="","",IFERROR(IF(VLOOKUP($B14,'Historias de usuario'!$A$6:$P$25,14,FALSE)="","",VLOOKUP($B14,'Historias de usuario'!$A$6:$P$25,14,FALSE)),""))</f>
        <v>Sprint 3 · 2 sem.</v>
      </c>
      <c r="M14" s="9" t="str">
        <f>IF($B14="","",IFERROR(IF(VLOOKUP($B14,'Historias de usuario'!$A$6:$P$25,15,FALSE)="","",VLOOKUP($B14,'Historias de usuario'!$A$6:$P$25,15,FALSE)),""))</f>
        <v>Alexssander y Matías</v>
      </c>
    </row>
    <row r="15" spans="1:13" ht="103.5" customHeight="1">
      <c r="A15" s="5">
        <v>10</v>
      </c>
      <c r="B15" s="5" t="s">
        <v>216</v>
      </c>
      <c r="C15" s="9" t="str">
        <f>IF($B15="","",IFERROR(IF(VLOOKUP($B15,'Historias de usuario'!$A$6:$P$25,2,FALSE)="","",VLOOKUP($B15,'Historias de usuario'!$A$6:$P$25,2,FALSE)),""))</f>
        <v>EP-03</v>
      </c>
      <c r="D15" s="9" t="str">
        <f>IF($B15="","",IFERROR(IF(VLOOKUP($B15,'Historias de usuario'!$A$6:$P$25,3,FALSE)="","",VLOOKUP($B15,'Historias de usuario'!$A$6:$P$25,3,FALSE)),""))</f>
        <v>Consultas comerciales</v>
      </c>
      <c r="E15" s="9" t="str">
        <f>IF($B15="","",IFERROR(IF(VLOOKUP($B15,'Historias de usuario'!$A$6:$P$25,4,FALSE)="","",VLOOKUP($B15,'Historias de usuario'!$A$6:$P$25,4,FALSE)),""))</f>
        <v>Consultar productos, stock y clientes</v>
      </c>
      <c r="F15" s="9" t="str">
        <f>IF($B15="","",IFERROR(IF(VLOOKUP($B15,'Historias de usuario'!$A$6:$P$25,8,FALSE)="","",VLOOKUP($B15,'Historias de usuario'!$A$6:$P$25,8,FALSE)),""))</f>
        <v>Como vendedor o asistente de vendedor, quiero consultar productos, stock, clientes, crédito y bloqueo en la empresa activa, para tomar decisiones comerciales con información vigente del ERP</v>
      </c>
      <c r="G15" s="9" t="str">
        <f>IF($B15="","",IFERROR(IF(VLOOKUP($B15,'Historias de usuario'!$A$6:$P$25,9,FALSE)="","",VLOOKUP($B15,'Historias de usuario'!$A$6:$P$25,9,FALSE)),""))</f>
        <v>1. Las consultas muestran datos vigentes del ERP para la empresa activa.
2. El vendedor ve sus clientes y el asistente los de los vendedores asignados.
3. Stock, precios, crédito y bloqueo son de solo lectura y no se duplican como maestros locales.
4. Un cliente bloqueado queda identificado antes de solicitar una orden de venta.</v>
      </c>
      <c r="H15" s="12" t="str">
        <f>IF($B15="","",IFERROR(IF(VLOOKUP($B15,'Historias de usuario'!$A$6:$P$25,10,FALSE)="","",VLOOKUP($B15,'Historias de usuario'!$A$6:$P$25,10,FALSE)),""))</f>
        <v>Alta</v>
      </c>
      <c r="I15" s="12">
        <f>IF($B15="","",IFERROR(IF(VLOOKUP($B15,'Historias de usuario'!$A$6:$P$25,11,FALSE)="","",VLOOKUP($B15,'Historias de usuario'!$A$6:$P$25,11,FALSE)),""))</f>
        <v>8</v>
      </c>
      <c r="J15" s="9" t="str">
        <f>IF($B15="","",IFERROR(IF(VLOOKUP($B15,'Historias de usuario'!$A$6:$P$25,12,FALSE)="","",VLOOKUP($B15,'Historias de usuario'!$A$6:$P$25,12,FALSE)),""))</f>
        <v>HU-004, HU-015</v>
      </c>
      <c r="K15" s="9" t="str">
        <f>IF($B15="","",IFERROR(IF(VLOOKUP($B15,'Historias de usuario'!$A$6:$P$25,13,FALSE)="","",VLOOKUP($B15,'Historias de usuario'!$A$6:$P$25,13,FALSE)),""))</f>
        <v>Propuesto</v>
      </c>
      <c r="L15" s="9" t="str">
        <f>IF($B15="","",IFERROR(IF(VLOOKUP($B15,'Historias de usuario'!$A$6:$P$25,14,FALSE)="","",VLOOKUP($B15,'Historias de usuario'!$A$6:$P$25,14,FALSE)),""))</f>
        <v>Sprint 3 · 2 sem.</v>
      </c>
      <c r="M15" s="9" t="str">
        <f>IF($B15="","",IFERROR(IF(VLOOKUP($B15,'Historias de usuario'!$A$6:$P$25,15,FALSE)="","",VLOOKUP($B15,'Historias de usuario'!$A$6:$P$25,15,FALSE)),""))</f>
        <v>Alexssander y Millaray</v>
      </c>
    </row>
    <row r="16" spans="1:13" ht="103.5" customHeight="1">
      <c r="A16" s="5">
        <v>11</v>
      </c>
      <c r="B16" s="5" t="s">
        <v>226</v>
      </c>
      <c r="C16" s="9" t="str">
        <f>IF($B16="","",IFERROR(IF(VLOOKUP($B16,'Historias de usuario'!$A$6:$P$25,2,FALSE)="","",VLOOKUP($B16,'Historias de usuario'!$A$6:$P$25,2,FALSE)),""))</f>
        <v>EP-03</v>
      </c>
      <c r="D16" s="9" t="str">
        <f>IF($B16="","",IFERROR(IF(VLOOKUP($B16,'Historias de usuario'!$A$6:$P$25,3,FALSE)="","",VLOOKUP($B16,'Historias de usuario'!$A$6:$P$25,3,FALSE)),""))</f>
        <v>Cotizaciones</v>
      </c>
      <c r="E16" s="9" t="str">
        <f>IF($B16="","",IFERROR(IF(VLOOKUP($B16,'Historias de usuario'!$A$6:$P$25,4,FALSE)="","",VLOOKUP($B16,'Historias de usuario'!$A$6:$P$25,4,FALSE)),""))</f>
        <v>Crear y administrar cotizaciones</v>
      </c>
      <c r="F16" s="9" t="str">
        <f>IF($B16="","",IFERROR(IF(VLOOKUP($B16,'Historias de usuario'!$A$6:$P$25,8,FALSE)="","",VLOOKUP($B16,'Historias de usuario'!$A$6:$P$25,8,FALSE)),""))</f>
        <v>Como vendedor o asistente de vendedor, quiero crear cotizaciones con varias líneas y el vendedor correspondiente, para presentar una oferta comercial consistente con la empresa activa</v>
      </c>
      <c r="G16" s="9" t="str">
        <f>IF($B16="","",IFERROR(IF(VLOOKUP($B16,'Historias de usuario'!$A$6:$P$25,9,FALSE)="","",VLOOKUP($B16,'Historias de usuario'!$A$6:$P$25,9,FALSE)),""))</f>
        <v>1. La cotización exige un cliente y al menos una línea de producto.
2. El vendedor usa su SlpCode; el asistente elige solo entre los vendedores asignados en la empresa activa.
3. Se registra tanto al creador como al vendedor del documento.
4. La comisión se calcula con la escala del vendedor o con la predeterminada si no tiene una asignada.</v>
      </c>
      <c r="H16" s="12" t="str">
        <f>IF($B16="","",IFERROR(IF(VLOOKUP($B16,'Historias de usuario'!$A$6:$P$25,10,FALSE)="","",VLOOKUP($B16,'Historias de usuario'!$A$6:$P$25,10,FALSE)),""))</f>
        <v>Alta</v>
      </c>
      <c r="I16" s="12">
        <f>IF($B16="","",IFERROR(IF(VLOOKUP($B16,'Historias de usuario'!$A$6:$P$25,11,FALSE)="","",VLOOKUP($B16,'Historias de usuario'!$A$6:$P$25,11,FALSE)),""))</f>
        <v>8</v>
      </c>
      <c r="J16" s="9" t="str">
        <f>IF($B16="","",IFERROR(IF(VLOOKUP($B16,'Historias de usuario'!$A$6:$P$25,12,FALSE)="","",VLOOKUP($B16,'Historias de usuario'!$A$6:$P$25,12,FALSE)),""))</f>
        <v>HU-004, HU-008</v>
      </c>
      <c r="K16" s="9" t="str">
        <f>IF($B16="","",IFERROR(IF(VLOOKUP($B16,'Historias de usuario'!$A$6:$P$25,13,FALSE)="","",VLOOKUP($B16,'Historias de usuario'!$A$6:$P$25,13,FALSE)),""))</f>
        <v>Propuesto</v>
      </c>
      <c r="L16" s="9" t="str">
        <f>IF($B16="","",IFERROR(IF(VLOOKUP($B16,'Historias de usuario'!$A$6:$P$25,14,FALSE)="","",VLOOKUP($B16,'Historias de usuario'!$A$6:$P$25,14,FALSE)),""))</f>
        <v>Sprint 3 · 2 sem.</v>
      </c>
      <c r="M16" s="9" t="str">
        <f>IF($B16="","",IFERROR(IF(VLOOKUP($B16,'Historias de usuario'!$A$6:$P$25,15,FALSE)="","",VLOOKUP($B16,'Historias de usuario'!$A$6:$P$25,15,FALSE)),""))</f>
        <v>Millaray y Alexssander</v>
      </c>
    </row>
    <row r="17" spans="1:13" ht="103.5" customHeight="1">
      <c r="A17" s="5">
        <v>12</v>
      </c>
      <c r="B17" s="5" t="s">
        <v>259</v>
      </c>
      <c r="C17" s="9" t="str">
        <f>IF($B17="","",IFERROR(IF(VLOOKUP($B17,'Historias de usuario'!$A$6:$P$25,2,FALSE)="","",VLOOKUP($B17,'Historias de usuario'!$A$6:$P$25,2,FALSE)),""))</f>
        <v>EP-04</v>
      </c>
      <c r="D17" s="9" t="str">
        <f>IF($B17="","",IFERROR(IF(VLOOKUP($B17,'Historias de usuario'!$A$6:$P$25,3,FALSE)="","",VLOOKUP($B17,'Historias de usuario'!$A$6:$P$25,3,FALSE)),""))</f>
        <v>Avisos al solicitante</v>
      </c>
      <c r="E17" s="9" t="str">
        <f>IF($B17="","",IFERROR(IF(VLOOKUP($B17,'Historias de usuario'!$A$6:$P$25,4,FALSE)="","",VLOOKUP($B17,'Historias de usuario'!$A$6:$P$25,4,FALSE)),""))</f>
        <v>Informar cambios de estado al solicitante</v>
      </c>
      <c r="F17" s="9" t="str">
        <f>IF($B17="","",IFERROR(IF(VLOOKUP($B17,'Historias de usuario'!$A$6:$P$25,8,FALSE)="","",VLOOKUP($B17,'Historias de usuario'!$A$6:$P$25,8,FALSE)),""))</f>
        <v>Como participante de un proceso, quiero recibir y administrar notificaciones de aprobaciones, rechazos, observaciones y cambios de estado, para saber cuándo debo actuar y acceder directamente al proceso</v>
      </c>
      <c r="G17" s="9" t="str">
        <f>IF($B17="","",IFERROR(IF(VLOOKUP($B17,'Historias de usuario'!$A$6:$P$25,9,FALSE)="","",VLOOKUP($B17,'Historias de usuario'!$A$6:$P$25,9,FALSE)),""))</f>
        <v>1. Cada cambio relevante genera una notificación al participante correspondiente.
2. Las campanas diferencian avisos generales y autorizaciones de órdenes de venta.
3. La página de notificaciones permite abrir, marcar como leída, marcar todas y eliminar una o todas.
4. Se registra la fecha de lectura y cada enlace abre el proceso de origen.</v>
      </c>
      <c r="H17" s="12" t="str">
        <f>IF($B17="","",IFERROR(IF(VLOOKUP($B17,'Historias de usuario'!$A$6:$P$25,10,FALSE)="","",VLOOKUP($B17,'Historias de usuario'!$A$6:$P$25,10,FALSE)),""))</f>
        <v>Alta</v>
      </c>
      <c r="I17" s="12">
        <f>IF($B17="","",IFERROR(IF(VLOOKUP($B17,'Historias de usuario'!$A$6:$P$25,11,FALSE)="","",VLOOKUP($B17,'Historias de usuario'!$A$6:$P$25,11,FALSE)),""))</f>
        <v>5</v>
      </c>
      <c r="J17" s="9" t="str">
        <f>IF($B17="","",IFERROR(IF(VLOOKUP($B17,'Historias de usuario'!$A$6:$P$25,12,FALSE)="","",VLOOKUP($B17,'Historias de usuario'!$A$6:$P$25,12,FALSE)),""))</f>
        <v>HU-006, HU-012</v>
      </c>
      <c r="K17" s="9" t="str">
        <f>IF($B17="","",IFERROR(IF(VLOOKUP($B17,'Historias de usuario'!$A$6:$P$25,13,FALSE)="","",VLOOKUP($B17,'Historias de usuario'!$A$6:$P$25,13,FALSE)),""))</f>
        <v>Propuesto</v>
      </c>
      <c r="L17" s="9" t="str">
        <f>IF($B17="","",IFERROR(IF(VLOOKUP($B17,'Historias de usuario'!$A$6:$P$25,14,FALSE)="","",VLOOKUP($B17,'Historias de usuario'!$A$6:$P$25,14,FALSE)),""))</f>
        <v>Sprint 3 · 2 sem.</v>
      </c>
      <c r="M17" s="9" t="str">
        <f>IF($B17="","",IFERROR(IF(VLOOKUP($B17,'Historias de usuario'!$A$6:$P$25,15,FALSE)="","",VLOOKUP($B17,'Historias de usuario'!$A$6:$P$25,15,FALSE)),""))</f>
        <v>Millaray y Matías</v>
      </c>
    </row>
    <row r="18" spans="1:13" ht="103.5" customHeight="1">
      <c r="A18" s="5">
        <v>13</v>
      </c>
      <c r="B18" s="5" t="s">
        <v>234</v>
      </c>
      <c r="C18" s="9" t="str">
        <f>IF($B18="","",IFERROR(IF(VLOOKUP($B18,'Historias de usuario'!$A$6:$P$25,2,FALSE)="","",VLOOKUP($B18,'Historias de usuario'!$A$6:$P$25,2,FALSE)),""))</f>
        <v>EP-03</v>
      </c>
      <c r="D18" s="9" t="str">
        <f>IF($B18="","",IFERROR(IF(VLOOKUP($B18,'Historias de usuario'!$A$6:$P$25,3,FALSE)="","",VLOOKUP($B18,'Historias de usuario'!$A$6:$P$25,3,FALSE)),""))</f>
        <v>Conversión comercial</v>
      </c>
      <c r="E18" s="9" t="str">
        <f>IF($B18="","",IFERROR(IF(VLOOKUP($B18,'Historias de usuario'!$A$6:$P$25,4,FALSE)="","",VLOOKUP($B18,'Historias de usuario'!$A$6:$P$25,4,FALSE)),""))</f>
        <v>Emitir la cotización y solicitar la orden de venta</v>
      </c>
      <c r="F18" s="9" t="str">
        <f>IF($B18="","",IFERROR(IF(VLOOKUP($B18,'Historias de usuario'!$A$6:$P$25,8,FALSE)="","",VLOOKUP($B18,'Historias de usuario'!$A$6:$P$25,8,FALSE)),""))</f>
        <v>Como vendedor, quiero descargar la cotización y convertir una cotización aceptada en solicitud de orden de venta, para continuar el proceso comercial sin volver a ingresar sus datos</v>
      </c>
      <c r="G18" s="9" t="str">
        <f>IF($B18="","",IFERROR(IF(VLOOKUP($B18,'Historias de usuario'!$A$6:$P$25,9,FALSE)="","",VLOOKUP($B18,'Historias de usuario'!$A$6:$P$25,9,FALSE)),""))</f>
        <v>1. La cotización puede generarse en un formato imprimible o descargable.
2. Solo una cotización abierta y aceptada puede convertirse.
3. La solicitud hereda cliente, líneas y condiciones, y conserva el vínculo con la cotización.
4. Se impide continuar si el cliente está bloqueado.</v>
      </c>
      <c r="H18" s="12" t="str">
        <f>IF($B18="","",IFERROR(IF(VLOOKUP($B18,'Historias de usuario'!$A$6:$P$25,10,FALSE)="","",VLOOKUP($B18,'Historias de usuario'!$A$6:$P$25,10,FALSE)),""))</f>
        <v>Alta</v>
      </c>
      <c r="I18" s="12">
        <f>IF($B18="","",IFERROR(IF(VLOOKUP($B18,'Historias de usuario'!$A$6:$P$25,11,FALSE)="","",VLOOKUP($B18,'Historias de usuario'!$A$6:$P$25,11,FALSE)),""))</f>
        <v>5</v>
      </c>
      <c r="J18" s="9" t="str">
        <f>IF($B18="","",IFERROR(IF(VLOOKUP($B18,'Historias de usuario'!$A$6:$P$25,12,FALSE)="","",VLOOKUP($B18,'Historias de usuario'!$A$6:$P$25,12,FALSE)),""))</f>
        <v>HU-009</v>
      </c>
      <c r="K18" s="9" t="str">
        <f>IF($B18="","",IFERROR(IF(VLOOKUP($B18,'Historias de usuario'!$A$6:$P$25,13,FALSE)="","",VLOOKUP($B18,'Historias de usuario'!$A$6:$P$25,13,FALSE)),""))</f>
        <v>Propuesto</v>
      </c>
      <c r="L18" s="9" t="str">
        <f>IF($B18="","",IFERROR(IF(VLOOKUP($B18,'Historias de usuario'!$A$6:$P$25,14,FALSE)="","",VLOOKUP($B18,'Historias de usuario'!$A$6:$P$25,14,FALSE)),""))</f>
        <v>Sprint 4 · 2 sem.</v>
      </c>
      <c r="M18" s="9" t="str">
        <f>IF($B18="","",IFERROR(IF(VLOOKUP($B18,'Historias de usuario'!$A$6:$P$25,15,FALSE)="","",VLOOKUP($B18,'Historias de usuario'!$A$6:$P$25,15,FALSE)),""))</f>
        <v>Millaray y Alexssander</v>
      </c>
    </row>
    <row r="19" spans="1:13" ht="103.5" customHeight="1">
      <c r="A19" s="5">
        <v>14</v>
      </c>
      <c r="B19" s="5" t="s">
        <v>286</v>
      </c>
      <c r="C19" s="9" t="str">
        <f>IF($B19="","",IFERROR(IF(VLOOKUP($B19,'Historias de usuario'!$A$6:$P$25,2,FALSE)="","",VLOOKUP($B19,'Historias de usuario'!$A$6:$P$25,2,FALSE)),""))</f>
        <v>EP-05</v>
      </c>
      <c r="D19" s="9" t="str">
        <f>IF($B19="","",IFERROR(IF(VLOOKUP($B19,'Historias de usuario'!$A$6:$P$25,3,FALSE)="","",VLOOKUP($B19,'Historias de usuario'!$A$6:$P$25,3,FALSE)),""))</f>
        <v>Escritura controlada en SAP</v>
      </c>
      <c r="E19" s="9" t="str">
        <f>IF($B19="","",IFERROR(IF(VLOOKUP($B19,'Historias de usuario'!$A$6:$P$25,4,FALSE)="","",VLOOKUP($B19,'Historias de usuario'!$A$6:$P$25,4,FALSE)),""))</f>
        <v>Crear documentos mediante Service Layer</v>
      </c>
      <c r="F19" s="9" t="str">
        <f>IF($B19="","",IFERROR(IF(VLOOKUP($B19,'Historias de usuario'!$A$6:$P$25,8,FALSE)="","",VLOOKUP($B19,'Historias de usuario'!$A$6:$P$25,8,FALSE)),""))</f>
        <v>Como usuario autorizado, quiero enviar al ERP solo operaciones previamente validadas mediante Service Layer, para mantener la integridad y las reglas oficiales de SAP Business One</v>
      </c>
      <c r="G19" s="9" t="str">
        <f>IF($B19="","",IFERROR(IF(VLOOKUP($B19,'Historias de usuario'!$A$6:$P$25,9,FALSE)="","",VLOOKUP($B19,'Historias de usuario'!$A$6:$P$25,9,FALSE)),""))</f>
        <v>1. Ninguna escritura se ejecuta directamente sobre SAP HANA.
2. Solo se envían documentos con autorización registrada cuando corresponda.
3. Service Layer aplica sus validaciones y devuelve el resultado de la operación.
4. La plataforma conserva el documento exactamente como fue autorizado y respeta las autorizaciones de acceso y licenciamiento vigentes.</v>
      </c>
      <c r="H19" s="12" t="str">
        <f>IF($B19="","",IFERROR(IF(VLOOKUP($B19,'Historias de usuario'!$A$6:$P$25,10,FALSE)="","",VLOOKUP($B19,'Historias de usuario'!$A$6:$P$25,10,FALSE)),""))</f>
        <v>Alta</v>
      </c>
      <c r="I19" s="12">
        <f>IF($B19="","",IFERROR(IF(VLOOKUP($B19,'Historias de usuario'!$A$6:$P$25,11,FALSE)="","",VLOOKUP($B19,'Historias de usuario'!$A$6:$P$25,11,FALSE)),""))</f>
        <v>8</v>
      </c>
      <c r="J19" s="9" t="str">
        <f>IF($B19="","",IFERROR(IF(VLOOKUP($B19,'Historias de usuario'!$A$6:$P$25,12,FALSE)="","",VLOOKUP($B19,'Historias de usuario'!$A$6:$P$25,12,FALSE)),""))</f>
        <v>HU-003, HU-004</v>
      </c>
      <c r="K19" s="9" t="str">
        <f>IF($B19="","",IFERROR(IF(VLOOKUP($B19,'Historias de usuario'!$A$6:$P$25,13,FALSE)="","",VLOOKUP($B19,'Historias de usuario'!$A$6:$P$25,13,FALSE)),""))</f>
        <v>Propuesto</v>
      </c>
      <c r="L19" s="9" t="str">
        <f>IF($B19="","",IFERROR(IF(VLOOKUP($B19,'Historias de usuario'!$A$6:$P$25,14,FALSE)="","",VLOOKUP($B19,'Historias de usuario'!$A$6:$P$25,14,FALSE)),""))</f>
        <v>Sprint 4 · 2 sem.</v>
      </c>
      <c r="M19" s="9" t="str">
        <f>IF($B19="","",IFERROR(IF(VLOOKUP($B19,'Historias de usuario'!$A$6:$P$25,15,FALSE)="","",VLOOKUP($B19,'Historias de usuario'!$A$6:$P$25,15,FALSE)),""))</f>
        <v>Alexssander y Matías</v>
      </c>
    </row>
    <row r="20" spans="1:13" ht="103.5" customHeight="1">
      <c r="A20" s="5">
        <v>15</v>
      </c>
      <c r="B20" s="5" t="s">
        <v>243</v>
      </c>
      <c r="C20" s="9" t="str">
        <f>IF($B20="","",IFERROR(IF(VLOOKUP($B20,'Historias de usuario'!$A$6:$P$25,2,FALSE)="","",VLOOKUP($B20,'Historias de usuario'!$A$6:$P$25,2,FALSE)),""))</f>
        <v>EP-03</v>
      </c>
      <c r="D20" s="9" t="str">
        <f>IF($B20="","",IFERROR(IF(VLOOKUP($B20,'Historias de usuario'!$A$6:$P$25,3,FALSE)="","",VLOOKUP($B20,'Historias de usuario'!$A$6:$P$25,3,FALSE)),""))</f>
        <v>Órdenes de venta</v>
      </c>
      <c r="E20" s="9" t="str">
        <f>IF($B20="","",IFERROR(IF(VLOOKUP($B20,'Historias de usuario'!$A$6:$P$25,4,FALSE)="","",VLOOKUP($B20,'Historias de usuario'!$A$6:$P$25,4,FALSE)),""))</f>
        <v>Autorizar, enviar y seguir órdenes de venta</v>
      </c>
      <c r="F20" s="9" t="str">
        <f>IF($B20="","",IFERROR(IF(VLOOKUP($B20,'Historias de usuario'!$A$6:$P$25,8,FALSE)="","",VLOOKUP($B20,'Historias de usuario'!$A$6:$P$25,8,FALSE)),""))</f>
        <v>Como autorizador comercial, quiero aprobar las solicitudes que correspondan y enviar la orden de venta al ERP, para crear únicamente documentos validados y mantener su trazabilidad</v>
      </c>
      <c r="G20" s="9" t="str">
        <f>IF($B20="","",IFERROR(IF(VLOOKUP($B20,'Historias de usuario'!$A$6:$P$25,9,FALSE)="","",VLOOKUP($B20,'Historias de usuario'!$A$6:$P$25,9,FALSE)),""))</f>
        <v>1. Toda orden requiere autorización previa y, si alguna línea tiene un margen inferior al mínimo definido, también la de Gerencia.
2. Solo un rol autorizado puede aprobar el envío.
3. El ERP recibe exactamente el documento autorizado y devuelve un resultado e identificador.
4. El usuario consulta el estado, vínculo y trazabilidad del documento enviado.</v>
      </c>
      <c r="H20" s="12" t="str">
        <f>IF($B20="","",IFERROR(IF(VLOOKUP($B20,'Historias de usuario'!$A$6:$P$25,10,FALSE)="","",VLOOKUP($B20,'Historias de usuario'!$A$6:$P$25,10,FALSE)),""))</f>
        <v>Alta</v>
      </c>
      <c r="I20" s="12">
        <f>IF($B20="","",IFERROR(IF(VLOOKUP($B20,'Historias de usuario'!$A$6:$P$25,11,FALSE)="","",VLOOKUP($B20,'Historias de usuario'!$A$6:$P$25,11,FALSE)),""))</f>
        <v>8</v>
      </c>
      <c r="J20" s="9" t="str">
        <f>IF($B20="","",IFERROR(IF(VLOOKUP($B20,'Historias de usuario'!$A$6:$P$25,12,FALSE)="","",VLOOKUP($B20,'Historias de usuario'!$A$6:$P$25,12,FALSE)),""))</f>
        <v>HU-010, HU-016, HU-017</v>
      </c>
      <c r="K20" s="9" t="str">
        <f>IF($B20="","",IFERROR(IF(VLOOKUP($B20,'Historias de usuario'!$A$6:$P$25,13,FALSE)="","",VLOOKUP($B20,'Historias de usuario'!$A$6:$P$25,13,FALSE)),""))</f>
        <v>Propuesto</v>
      </c>
      <c r="L20" s="9" t="str">
        <f>IF($B20="","",IFERROR(IF(VLOOKUP($B20,'Historias de usuario'!$A$6:$P$25,14,FALSE)="","",VLOOKUP($B20,'Historias de usuario'!$A$6:$P$25,14,FALSE)),""))</f>
        <v>Sprint 4 · 2 sem.</v>
      </c>
      <c r="M20" s="9" t="str">
        <f>IF($B20="","",IFERROR(IF(VLOOKUP($B20,'Historias de usuario'!$A$6:$P$25,15,FALSE)="","",VLOOKUP($B20,'Historias de usuario'!$A$6:$P$25,15,FALSE)),""))</f>
        <v>Alexssander y Matías</v>
      </c>
    </row>
    <row r="21" spans="1:13" ht="103.5" customHeight="1">
      <c r="A21" s="5">
        <v>16</v>
      </c>
      <c r="B21" s="5" t="s">
        <v>294</v>
      </c>
      <c r="C21" s="9" t="str">
        <f>IF($B21="","",IFERROR(IF(VLOOKUP($B21,'Historias de usuario'!$A$6:$P$25,2,FALSE)="","",VLOOKUP($B21,'Historias de usuario'!$A$6:$P$25,2,FALSE)),""))</f>
        <v>EP-05</v>
      </c>
      <c r="D21" s="9" t="str">
        <f>IF($B21="","",IFERROR(IF(VLOOKUP($B21,'Historias de usuario'!$A$6:$P$25,3,FALSE)="","",VLOOKUP($B21,'Historias de usuario'!$A$6:$P$25,3,FALSE)),""))</f>
        <v>Control de integraciones</v>
      </c>
      <c r="E21" s="9" t="str">
        <f>IF($B21="","",IFERROR(IF(VLOOKUP($B21,'Historias de usuario'!$A$6:$P$25,4,FALSE)="","",VLOOKUP($B21,'Historias de usuario'!$A$6:$P$25,4,FALSE)),""))</f>
        <v>Registrar y reintentar operaciones fallidas</v>
      </c>
      <c r="F21" s="9" t="str">
        <f>IF($B21="","",IFERROR(IF(VLOOKUP($B21,'Historias de usuario'!$A$6:$P$25,8,FALSE)="","",VLOOKUP($B21,'Historias de usuario'!$A$6:$P$25,8,FALSE)),""))</f>
        <v>Como responsable de operación, quiero consultar el resultado de cada envío y reintentar los fallidos de forma segura, para resolver errores sin duplicar documentos ni líneas en el ERP</v>
      </c>
      <c r="G21" s="9" t="str">
        <f>IF($B21="","",IFERROR(IF(VLOOKUP($B21,'Historias de usuario'!$A$6:$P$25,9,FALSE)="","",VLOOKUP($B21,'Historias de usuario'!$A$6:$P$25,9,FALSE)),""))</f>
        <v>1. Cada envío registra documento, resultado, identificador y mensaje de error.
2. Los mensajes indican claramente qué ocurrió.
3. Un reintento reutiliza el documento autorizado y evita duplicar líneas o resultados ya creados.
4. Ante error, la operación queda completa o no se registra parcialmente.</v>
      </c>
      <c r="H21" s="12" t="str">
        <f>IF($B21="","",IFERROR(IF(VLOOKUP($B21,'Historias de usuario'!$A$6:$P$25,10,FALSE)="","",VLOOKUP($B21,'Historias de usuario'!$A$6:$P$25,10,FALSE)),""))</f>
        <v>Alta</v>
      </c>
      <c r="I21" s="12">
        <f>IF($B21="","",IFERROR(IF(VLOOKUP($B21,'Historias de usuario'!$A$6:$P$25,11,FALSE)="","",VLOOKUP($B21,'Historias de usuario'!$A$6:$P$25,11,FALSE)),""))</f>
        <v>8</v>
      </c>
      <c r="J21" s="9" t="str">
        <f>IF($B21="","",IFERROR(IF(VLOOKUP($B21,'Historias de usuario'!$A$6:$P$25,12,FALSE)="","",VLOOKUP($B21,'Historias de usuario'!$A$6:$P$25,12,FALSE)),""))</f>
        <v>HU-016</v>
      </c>
      <c r="K21" s="9" t="str">
        <f>IF($B21="","",IFERROR(IF(VLOOKUP($B21,'Historias de usuario'!$A$6:$P$25,13,FALSE)="","",VLOOKUP($B21,'Historias de usuario'!$A$6:$P$25,13,FALSE)),""))</f>
        <v>Propuesto</v>
      </c>
      <c r="L21" s="9" t="str">
        <f>IF($B21="","",IFERROR(IF(VLOOKUP($B21,'Historias de usuario'!$A$6:$P$25,14,FALSE)="","",VLOOKUP($B21,'Historias de usuario'!$A$6:$P$25,14,FALSE)),""))</f>
        <v>Sprint 4 · 2 sem.</v>
      </c>
      <c r="M21" s="9" t="str">
        <f>IF($B21="","",IFERROR(IF(VLOOKUP($B21,'Historias de usuario'!$A$6:$P$25,15,FALSE)="","",VLOOKUP($B21,'Historias de usuario'!$A$6:$P$25,15,FALSE)),""))</f>
        <v>Alexssander y Matías</v>
      </c>
    </row>
    <row r="22" spans="1:13" ht="103.5" customHeight="1">
      <c r="A22" s="5">
        <v>17</v>
      </c>
      <c r="B22" s="5" t="s">
        <v>302</v>
      </c>
      <c r="C22" s="9" t="str">
        <f>IF($B22="","",IFERROR(IF(VLOOKUP($B22,'Historias de usuario'!$A$6:$P$25,2,FALSE)="","",VLOOKUP($B22,'Historias de usuario'!$A$6:$P$25,2,FALSE)),""))</f>
        <v>EP-06</v>
      </c>
      <c r="D22" s="9" t="str">
        <f>IF($B22="","",IFERROR(IF(VLOOKUP($B22,'Historias de usuario'!$A$6:$P$25,3,FALSE)="","",VLOOKUP($B22,'Historias de usuario'!$A$6:$P$25,3,FALSE)),""))</f>
        <v>Registro de casos</v>
      </c>
      <c r="E22" s="9" t="str">
        <f>IF($B22="","",IFERROR(IF(VLOOKUP($B22,'Historias de usuario'!$A$6:$P$25,4,FALSE)="","",VLOOKUP($B22,'Historias de usuario'!$A$6:$P$25,4,FALSE)),""))</f>
        <v>Registrar un caso de posventa</v>
      </c>
      <c r="F22" s="9" t="str">
        <f>IF($B22="","",IFERROR(IF(VLOOKUP($B22,'Historias de usuario'!$A$6:$P$25,8,FALSE)="","",VLOOKUP($B22,'Historias de usuario'!$A$6:$P$25,8,FALSE)),""))</f>
        <v>Como vendedor o asistente de vendedor, quiero registrar un caso de posventa con cliente, productos, respaldo y evidencias, para iniciar formalmente su evaluación y seguimiento</v>
      </c>
      <c r="G22" s="9" t="str">
        <f>IF($B22="","",IFERROR(IF(VLOOKUP($B22,'Historias de usuario'!$A$6:$P$25,9,FALSE)="","",VLOOKUP($B22,'Historias de usuario'!$A$6:$P$25,9,FALSE)),""))</f>
        <v>1. Permite devolución, cambio, servicio técnico, producto faltante, desistimiento y nota de crédito.
2. Registra cliente, vendedor, empresa, productos y guía de despacho o factura de reserva.
3. Exige evidencias autorizadas salvo las excepciones de factura de reserva.
4. Solo los participantes autorizados pueden consultar las evidencias del caso.</v>
      </c>
      <c r="H22" s="12" t="str">
        <f>IF($B22="","",IFERROR(IF(VLOOKUP($B22,'Historias de usuario'!$A$6:$P$25,10,FALSE)="","",VLOOKUP($B22,'Historias de usuario'!$A$6:$P$25,10,FALSE)),""))</f>
        <v>Alta</v>
      </c>
      <c r="I22" s="12">
        <f>IF($B22="","",IFERROR(IF(VLOOKUP($B22,'Historias de usuario'!$A$6:$P$25,11,FALSE)="","",VLOOKUP($B22,'Historias de usuario'!$A$6:$P$25,11,FALSE)),""))</f>
        <v>8</v>
      </c>
      <c r="J22" s="9" t="str">
        <f>IF($B22="","",IFERROR(IF(VLOOKUP($B22,'Historias de usuario'!$A$6:$P$25,12,FALSE)="","",VLOOKUP($B22,'Historias de usuario'!$A$6:$P$25,12,FALSE)),""))</f>
        <v>HU-003, HU-004, HU-015</v>
      </c>
      <c r="K22" s="9" t="str">
        <f>IF($B22="","",IFERROR(IF(VLOOKUP($B22,'Historias de usuario'!$A$6:$P$25,13,FALSE)="","",VLOOKUP($B22,'Historias de usuario'!$A$6:$P$25,13,FALSE)),""))</f>
        <v>Propuesto</v>
      </c>
      <c r="L22" s="9" t="str">
        <f>IF($B22="","",IFERROR(IF(VLOOKUP($B22,'Historias de usuario'!$A$6:$P$25,14,FALSE)="","",VLOOKUP($B22,'Historias de usuario'!$A$6:$P$25,14,FALSE)),""))</f>
        <v>Sprint 5 · 2 sem.</v>
      </c>
      <c r="M22" s="9" t="str">
        <f>IF($B22="","",IFERROR(IF(VLOOKUP($B22,'Historias de usuario'!$A$6:$P$25,15,FALSE)="","",VLOOKUP($B22,'Historias de usuario'!$A$6:$P$25,15,FALSE)),""))</f>
        <v>Millaray y Alexssander</v>
      </c>
    </row>
    <row r="23" spans="1:13" ht="103.5" customHeight="1">
      <c r="A23" s="5">
        <v>18</v>
      </c>
      <c r="B23" s="5" t="s">
        <v>310</v>
      </c>
      <c r="C23" s="9" t="str">
        <f>IF($B23="","",IFERROR(IF(VLOOKUP($B23,'Historias de usuario'!$A$6:$P$25,2,FALSE)="","",VLOOKUP($B23,'Historias de usuario'!$A$6:$P$25,2,FALSE)),""))</f>
        <v>EP-06</v>
      </c>
      <c r="D23" s="9" t="str">
        <f>IF($B23="","",IFERROR(IF(VLOOKUP($B23,'Historias de usuario'!$A$6:$P$25,3,FALSE)="","",VLOOKUP($B23,'Historias de usuario'!$A$6:$P$25,3,FALSE)),""))</f>
        <v>Evaluación y autorización</v>
      </c>
      <c r="E23" s="9" t="str">
        <f>IF($B23="","",IFERROR(IF(VLOOKUP($B23,'Historias de usuario'!$A$6:$P$25,4,FALSE)="","",VLOOKUP($B23,'Historias de usuario'!$A$6:$P$25,4,FALSE)),""))</f>
        <v>Evaluar, resolver y emitir comprobante QR</v>
      </c>
      <c r="F23" s="9" t="str">
        <f>IF($B23="","",IFERROR(IF(VLOOKUP($B23,'Historias de usuario'!$A$6:$P$25,8,FALSE)="","",VLOOKUP($B23,'Historias de usuario'!$A$6:$P$25,8,FALSE)),""))</f>
        <v>Como autorizador de posventa, quiero evaluar las condiciones, aprobar o rechazar el caso y liberar su comprobante QR, para respaldar la decisión y continuar el flujo con el cliente</v>
      </c>
      <c r="G23" s="9" t="str">
        <f>IF($B23="","",IFERROR(IF(VLOOKUP($B23,'Historias de usuario'!$A$6:$P$25,9,FALSE)="","",VLOOKUP($B23,'Historias de usuario'!$A$6:$P$25,9,FALSE)),""))</f>
        <v>1. El vendedor registra la evaluación de producto, accesorios, manual y embalaje al crear el caso y el autorizador puede ajustarla mientras el caso está Pendiente; solo se aceptan los valores definidos, salvo la excepción aplicable.
2. El rechazo exige motivo y permite al creador corregir y reenviar a Pendiente.
3. Solo el autorizador de posventa aprueba y libera el comprobante QR.
4. El comprobante contiene los datos del caso; el solicitante puede descargarlo y marcarlo como enviado al cliente.</v>
      </c>
      <c r="H23" s="12" t="str">
        <f>IF($B23="","",IFERROR(IF(VLOOKUP($B23,'Historias de usuario'!$A$6:$P$25,10,FALSE)="","",VLOOKUP($B23,'Historias de usuario'!$A$6:$P$25,10,FALSE)),""))</f>
        <v>Alta</v>
      </c>
      <c r="I23" s="12">
        <f>IF($B23="","",IFERROR(IF(VLOOKUP($B23,'Historias de usuario'!$A$6:$P$25,11,FALSE)="","",VLOOKUP($B23,'Historias de usuario'!$A$6:$P$25,11,FALSE)),""))</f>
        <v>8</v>
      </c>
      <c r="J23" s="9" t="str">
        <f>IF($B23="","",IFERROR(IF(VLOOKUP($B23,'Historias de usuario'!$A$6:$P$25,12,FALSE)="","",VLOOKUP($B23,'Historias de usuario'!$A$6:$P$25,12,FALSE)),""))</f>
        <v>HU-018, HU-012, HU-013</v>
      </c>
      <c r="K23" s="9" t="str">
        <f>IF($B23="","",IFERROR(IF(VLOOKUP($B23,'Historias de usuario'!$A$6:$P$25,13,FALSE)="","",VLOOKUP($B23,'Historias de usuario'!$A$6:$P$25,13,FALSE)),""))</f>
        <v>Propuesto</v>
      </c>
      <c r="L23" s="9" t="str">
        <f>IF($B23="","",IFERROR(IF(VLOOKUP($B23,'Historias de usuario'!$A$6:$P$25,14,FALSE)="","",VLOOKUP($B23,'Historias de usuario'!$A$6:$P$25,14,FALSE)),""))</f>
        <v>Sprint 5 · 2 sem.</v>
      </c>
      <c r="M23" s="9" t="str">
        <f>IF($B23="","",IFERROR(IF(VLOOKUP($B23,'Historias de usuario'!$A$6:$P$25,15,FALSE)="","",VLOOKUP($B23,'Historias de usuario'!$A$6:$P$25,15,FALSE)),""))</f>
        <v>Millaray y Matías</v>
      </c>
    </row>
    <row r="24" spans="1:13" ht="103.5" customHeight="1">
      <c r="A24" s="5">
        <v>19</v>
      </c>
      <c r="B24" s="5" t="s">
        <v>268</v>
      </c>
      <c r="C24" s="9" t="str">
        <f>IF($B24="","",IFERROR(IF(VLOOKUP($B24,'Historias de usuario'!$A$6:$P$25,2,FALSE)="","",VLOOKUP($B24,'Historias de usuario'!$A$6:$P$25,2,FALSE)),""))</f>
        <v>EP-04</v>
      </c>
      <c r="D24" s="9" t="str">
        <f>IF($B24="","",IFERROR(IF(VLOOKUP($B24,'Historias de usuario'!$A$6:$P$25,3,FALSE)="","",VLOOKUP($B24,'Historias de usuario'!$A$6:$P$25,3,FALSE)),""))</f>
        <v>Trazabilidad transversal</v>
      </c>
      <c r="E24" s="9" t="str">
        <f>IF($B24="","",IFERROR(IF(VLOOKUP($B24,'Historias de usuario'!$A$6:$P$25,4,FALSE)="","",VLOOKUP($B24,'Historias de usuario'!$A$6:$P$25,4,FALSE)),""))</f>
        <v>Consultar la trazabilidad de los procesos</v>
      </c>
      <c r="F24" s="9" t="str">
        <f>IF($B24="","",IFERROR(IF(VLOOKUP($B24,'Historias de usuario'!$A$6:$P$25,8,FALSE)="","",VLOOKUP($B24,'Historias de usuario'!$A$6:$P$25,8,FALSE)),""))</f>
        <v>Como usuario participante o jefatura autorizada, quiero consultar el estado y el historial de cada proceso, para conocer quién realizó cada acción, cuándo y con qué resultado</v>
      </c>
      <c r="G24" s="9" t="str">
        <f>IF($B24="","",IFERROR(IF(VLOOKUP($B24,'Historias de usuario'!$A$6:$P$25,9,FALSE)="","",VLOOKUP($B24,'Historias de usuario'!$A$6:$P$25,9,FALSE)),""))</f>
        <v>1. Cada cambio registra estado, usuario, fecha, hora y comentario.
2. La consulta muestra el estado actual, responsable y secuencia histórica.
3. Las respuestas resueltas no pueden editarse.
4. El usuario ve solo procesos propios, asignados o permitidos por su rol.</v>
      </c>
      <c r="H24" s="12" t="str">
        <f>IF($B24="","",IFERROR(IF(VLOOKUP($B24,'Historias de usuario'!$A$6:$P$25,10,FALSE)="","",VLOOKUP($B24,'Historias de usuario'!$A$6:$P$25,10,FALSE)),""))</f>
        <v>Alta</v>
      </c>
      <c r="I24" s="12">
        <f>IF($B24="","",IFERROR(IF(VLOOKUP($B24,'Historias de usuario'!$A$6:$P$25,11,FALSE)="","",VLOOKUP($B24,'Historias de usuario'!$A$6:$P$25,11,FALSE)),""))</f>
        <v>8</v>
      </c>
      <c r="J24" s="9" t="str">
        <f>IF($B24="","",IFERROR(IF(VLOOKUP($B24,'Historias de usuario'!$A$6:$P$25,12,FALSE)="","",VLOOKUP($B24,'Historias de usuario'!$A$6:$P$25,12,FALSE)),""))</f>
        <v>HU-006, HU-011, HU-019</v>
      </c>
      <c r="K24" s="9" t="str">
        <f>IF($B24="","",IFERROR(IF(VLOOKUP($B24,'Historias de usuario'!$A$6:$P$25,13,FALSE)="","",VLOOKUP($B24,'Historias de usuario'!$A$6:$P$25,13,FALSE)),""))</f>
        <v>Propuesto</v>
      </c>
      <c r="L24" s="9" t="str">
        <f>IF($B24="","",IFERROR(IF(VLOOKUP($B24,'Historias de usuario'!$A$6:$P$25,14,FALSE)="","",VLOOKUP($B24,'Historias de usuario'!$A$6:$P$25,14,FALSE)),""))</f>
        <v>Sprint 5 · 2 sem.</v>
      </c>
      <c r="M24" s="9" t="str">
        <f>IF($B24="","",IFERROR(IF(VLOOKUP($B24,'Historias de usuario'!$A$6:$P$25,15,FALSE)="","",VLOOKUP($B24,'Historias de usuario'!$A$6:$P$25,15,FALSE)),""))</f>
        <v>Millaray y Matías</v>
      </c>
    </row>
    <row r="25" spans="1:13" ht="103.5" customHeight="1">
      <c r="A25" s="5">
        <v>20</v>
      </c>
      <c r="B25" s="5" t="s">
        <v>318</v>
      </c>
      <c r="C25" s="9" t="str">
        <f>IF($B25="","",IFERROR(IF(VLOOKUP($B25,'Historias de usuario'!$A$6:$P$25,2,FALSE)="","",VLOOKUP($B25,'Historias de usuario'!$A$6:$P$25,2,FALSE)),""))</f>
        <v>EP-06</v>
      </c>
      <c r="D25" s="9" t="str">
        <f>IF($B25="","",IFERROR(IF(VLOOKUP($B25,'Historias de usuario'!$A$6:$P$25,3,FALSE)="","",VLOOKUP($B25,'Historias de usuario'!$A$6:$P$25,3,FALSE)),""))</f>
        <v>Seguimiento y cierre</v>
      </c>
      <c r="E25" s="9" t="str">
        <f>IF($B25="","",IFERROR(IF(VLOOKUP($B25,'Historias de usuario'!$A$6:$P$25,4,FALSE)="","",VLOOKUP($B25,'Historias de usuario'!$A$6:$P$25,4,FALSE)),""))</f>
        <v>Gestionar el avance y cierre de posventa</v>
      </c>
      <c r="F25" s="9" t="str">
        <f>IF($B25="","",IFERROR(IF(VLOOKUP($B25,'Historias de usuario'!$A$6:$P$25,8,FALSE)="","",VLOOKUP($B25,'Historias de usuario'!$A$6:$P$25,8,FALSE)),""))</f>
        <v>Como autorizador de posventa, quiero actualizar el caso por sus estados y registrar su resolución final, para mantener el seguimiento hasta un cierre controlado</v>
      </c>
      <c r="G25" s="9" t="str">
        <f>IF($B25="","",IFERROR(IF(VLOOKUP($B25,'Historias de usuario'!$A$6:$P$25,9,FALSE)="","",VLOOKUP($B25,'Historias de usuario'!$A$6:$P$25,9,FALSE)),""))</f>
        <v>1. El flujo con guía contempla Pendiente, Autorizado, QR enviado, Recepcionado y la ruta de stock o proveedor hasta cierre.
2. El caso con factura de reserva sigue la ruta sin QR ni recepción.
3. Cada cambio notifica al vendedor y autorizador y admite observaciones visibles.
4. Solo el autorizador cierra el caso; un caso cerrado no acepta nuevos cambios.</v>
      </c>
      <c r="H25" s="12" t="str">
        <f>IF($B25="","",IFERROR(IF(VLOOKUP($B25,'Historias de usuario'!$A$6:$P$25,10,FALSE)="","",VLOOKUP($B25,'Historias de usuario'!$A$6:$P$25,10,FALSE)),""))</f>
        <v>Alta</v>
      </c>
      <c r="I25" s="12">
        <f>IF($B25="","",IFERROR(IF(VLOOKUP($B25,'Historias de usuario'!$A$6:$P$25,11,FALSE)="","",VLOOKUP($B25,'Historias de usuario'!$A$6:$P$25,11,FALSE)),""))</f>
        <v>8</v>
      </c>
      <c r="J25" s="9" t="str">
        <f>IF($B25="","",IFERROR(IF(VLOOKUP($B25,'Historias de usuario'!$A$6:$P$25,12,FALSE)="","",VLOOKUP($B25,'Historias de usuario'!$A$6:$P$25,12,FALSE)),""))</f>
        <v>HU-019, HU-014</v>
      </c>
      <c r="K25" s="9" t="str">
        <f>IF($B25="","",IFERROR(IF(VLOOKUP($B25,'Historias de usuario'!$A$6:$P$25,13,FALSE)="","",VLOOKUP($B25,'Historias de usuario'!$A$6:$P$25,13,FALSE)),""))</f>
        <v>Propuesto</v>
      </c>
      <c r="L25" s="9" t="str">
        <f>IF($B25="","",IFERROR(IF(VLOOKUP($B25,'Historias de usuario'!$A$6:$P$25,14,FALSE)="","",VLOOKUP($B25,'Historias de usuario'!$A$6:$P$25,14,FALSE)),""))</f>
        <v>Sprint 6 · 1 sem.</v>
      </c>
      <c r="M25" s="9" t="str">
        <f>IF($B25="","",IFERROR(IF(VLOOKUP($B25,'Historias de usuario'!$A$6:$P$25,15,FALSE)="","",VLOOKUP($B25,'Historias de usuario'!$A$6:$P$25,15,FALSE)),""))</f>
        <v>Millaray y Alexssander</v>
      </c>
    </row>
    <row r="26" spans="1:13" ht="14.25" customHeight="1"/>
    <row r="27" spans="1:13" ht="14.25" customHeight="1"/>
    <row r="28" spans="1:13" ht="14.25" customHeight="1"/>
    <row r="29" spans="1:13" ht="14.25" customHeight="1"/>
    <row r="30" spans="1:13" ht="14.25" customHeight="1"/>
    <row r="31" spans="1:13" ht="14.25" customHeight="1"/>
    <row r="32" spans="1: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M2"/>
    <mergeCell ref="A4:M4"/>
  </mergeCells>
  <conditionalFormatting sqref="A6:A25">
    <cfRule type="colorScale" priority="1">
      <colorScale>
        <cfvo type="min"/>
        <cfvo type="percentile" val="50"/>
        <cfvo type="max"/>
        <color rgb="FFE2F0D9"/>
        <color rgb="FFFFF2CC"/>
        <color rgb="FFFCE8E6"/>
      </colorScale>
    </cfRule>
  </conditionalFormatting>
  <conditionalFormatting sqref="K6:K25">
    <cfRule type="containsText" dxfId="3" priority="2" operator="containsText" text="Terminado">
      <formula>NOT(ISERROR(SEARCH(("Terminado"),(K6))))</formula>
    </cfRule>
    <cfRule type="containsText" dxfId="2" priority="3" operator="containsText" text="Bloqueado">
      <formula>NOT(ISERROR(SEARCH(("Bloqueado"),(K6))))</formula>
    </cfRule>
  </conditionalFormatting>
  <dataValidations count="1">
    <dataValidation type="decimal" allowBlank="1" sqref="A6:A25" xr:uid="{00000000-0002-0000-0000-000000000000}">
      <formula1>1</formula1>
      <formula2>999</formula2>
    </dataValidation>
  </dataValidations>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000-000001000000}">
          <x14:formula1>
            <xm:f>'Historias de usuario'!$A$6:$A$25</xm:f>
          </x14:formula1>
          <xm:sqref>B6:B25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P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2.625" defaultRowHeight="15" customHeight="1"/>
  <cols>
    <col min="1" max="2" width="11" customWidth="1"/>
    <col min="3" max="3" width="22" customWidth="1"/>
    <col min="4" max="4" width="24" customWidth="1"/>
    <col min="5" max="5" width="19" customWidth="1"/>
    <col min="6" max="7" width="28" customWidth="1"/>
    <col min="8" max="9" width="42" customWidth="1"/>
    <col min="10" max="11" width="12" customWidth="1"/>
    <col min="12" max="12" width="20" customWidth="1"/>
    <col min="13" max="13" width="16" customWidth="1"/>
    <col min="14" max="14" width="11" customWidth="1"/>
    <col min="15" max="15" width="18" customWidth="1"/>
    <col min="16" max="16" width="30" customWidth="1"/>
    <col min="17" max="26" width="9" customWidth="1"/>
  </cols>
  <sheetData>
    <row r="1" spans="1:16" ht="14.25" customHeight="1"/>
    <row r="2" spans="1:16" ht="27.75" customHeight="1">
      <c r="A2" s="14" t="s">
        <v>8</v>
      </c>
      <c r="B2" s="15"/>
      <c r="C2" s="15"/>
      <c r="D2" s="15"/>
      <c r="E2" s="15"/>
      <c r="F2" s="15"/>
      <c r="G2" s="15"/>
      <c r="H2" s="15"/>
      <c r="I2" s="15"/>
      <c r="J2" s="15"/>
      <c r="K2" s="15"/>
      <c r="L2" s="15"/>
      <c r="M2" s="15"/>
      <c r="N2" s="15"/>
      <c r="O2" s="15"/>
      <c r="P2" s="15"/>
    </row>
    <row r="3" spans="1:16" ht="14.25" customHeight="1">
      <c r="A3" s="1"/>
      <c r="B3" s="1"/>
      <c r="C3" s="1"/>
      <c r="D3" s="1"/>
      <c r="E3" s="1"/>
      <c r="F3" s="1"/>
      <c r="G3" s="1"/>
      <c r="H3" s="1"/>
      <c r="I3" s="1"/>
      <c r="J3" s="1"/>
      <c r="K3" s="1"/>
      <c r="L3" s="1"/>
      <c r="M3" s="1"/>
      <c r="N3" s="1"/>
      <c r="O3" s="1"/>
      <c r="P3" s="1"/>
    </row>
    <row r="4" spans="1:16" ht="14.25" customHeight="1">
      <c r="A4" s="16" t="s">
        <v>14</v>
      </c>
      <c r="B4" s="15"/>
      <c r="C4" s="15"/>
      <c r="D4" s="15"/>
      <c r="E4" s="15"/>
      <c r="F4" s="15"/>
      <c r="G4" s="15"/>
      <c r="H4" s="15"/>
      <c r="I4" s="15"/>
      <c r="J4" s="15"/>
      <c r="K4" s="15"/>
      <c r="L4" s="15"/>
      <c r="M4" s="15"/>
      <c r="N4" s="15"/>
      <c r="O4" s="15"/>
      <c r="P4" s="15"/>
    </row>
    <row r="5" spans="1:16" ht="33.75" customHeight="1">
      <c r="A5" s="4" t="s">
        <v>17</v>
      </c>
      <c r="B5" s="4" t="s">
        <v>23</v>
      </c>
      <c r="C5" s="4" t="s">
        <v>24</v>
      </c>
      <c r="D5" s="4" t="s">
        <v>25</v>
      </c>
      <c r="E5" s="4" t="s">
        <v>30</v>
      </c>
      <c r="F5" s="4" t="s">
        <v>33</v>
      </c>
      <c r="G5" s="4" t="s">
        <v>35</v>
      </c>
      <c r="H5" s="4" t="s">
        <v>39</v>
      </c>
      <c r="I5" s="4" t="s">
        <v>29</v>
      </c>
      <c r="J5" s="4" t="s">
        <v>31</v>
      </c>
      <c r="K5" s="4" t="s">
        <v>34</v>
      </c>
      <c r="L5" s="4" t="s">
        <v>37</v>
      </c>
      <c r="M5" s="4" t="s">
        <v>19</v>
      </c>
      <c r="N5" s="4" t="s">
        <v>41</v>
      </c>
      <c r="O5" s="4" t="s">
        <v>44</v>
      </c>
      <c r="P5" s="4" t="s">
        <v>51</v>
      </c>
    </row>
    <row r="6" spans="1:16" ht="103.5" customHeight="1">
      <c r="A6" s="7" t="s">
        <v>46</v>
      </c>
      <c r="B6" s="5" t="s">
        <v>54</v>
      </c>
      <c r="C6" s="8" t="s">
        <v>55</v>
      </c>
      <c r="D6" s="8" t="s">
        <v>56</v>
      </c>
      <c r="E6" s="8" t="s">
        <v>59</v>
      </c>
      <c r="F6" s="8" t="s">
        <v>61</v>
      </c>
      <c r="G6" s="8" t="s">
        <v>62</v>
      </c>
      <c r="H6" s="9" t="str">
        <f t="shared" ref="H6:H25" si="0">IF(OR(E6="",F6="",G6=""),"","Como "&amp;E6&amp;", quiero "&amp;F6&amp;", para "&amp;G6)</f>
        <v>Como usuario habilitado, quiero iniciar sesión de forma segura y mantener una sesión controlada, para acceder únicamente a las funciones autorizadas</v>
      </c>
      <c r="I6" s="8" t="s">
        <v>71</v>
      </c>
      <c r="J6" s="5" t="s">
        <v>73</v>
      </c>
      <c r="K6" s="5">
        <v>5</v>
      </c>
      <c r="L6" s="8" t="s">
        <v>76</v>
      </c>
      <c r="M6" s="8" t="s">
        <v>336</v>
      </c>
      <c r="N6" s="8" t="s">
        <v>80</v>
      </c>
      <c r="O6" s="8" t="s">
        <v>82</v>
      </c>
      <c r="P6" s="8" t="s">
        <v>84</v>
      </c>
    </row>
    <row r="7" spans="1:16" ht="103.5" customHeight="1">
      <c r="A7" s="7" t="s">
        <v>87</v>
      </c>
      <c r="B7" s="5" t="s">
        <v>54</v>
      </c>
      <c r="C7" s="8" t="s">
        <v>96</v>
      </c>
      <c r="D7" s="8" t="s">
        <v>99</v>
      </c>
      <c r="E7" s="8" t="s">
        <v>103</v>
      </c>
      <c r="F7" s="8" t="s">
        <v>332</v>
      </c>
      <c r="G7" s="8" t="s">
        <v>113</v>
      </c>
      <c r="H7" s="9" t="str">
        <f t="shared" si="0"/>
        <v>Como administrador, quiero crear, editar, desactivar y reactivar usuarios asignándoles área, cargo, grupos de autorizadores y permisos directos, para mantener los accesos alineados con las responsabilidades de cada trabajador</v>
      </c>
      <c r="I7" s="8" t="s">
        <v>327</v>
      </c>
      <c r="J7" s="5" t="s">
        <v>73</v>
      </c>
      <c r="K7" s="5">
        <v>8</v>
      </c>
      <c r="L7" s="8" t="s">
        <v>46</v>
      </c>
      <c r="M7" s="8" t="s">
        <v>336</v>
      </c>
      <c r="N7" s="8" t="s">
        <v>80</v>
      </c>
      <c r="O7" s="8" t="s">
        <v>82</v>
      </c>
      <c r="P7" s="8" t="s">
        <v>138</v>
      </c>
    </row>
    <row r="8" spans="1:16" ht="103.5" customHeight="1">
      <c r="A8" s="7" t="s">
        <v>139</v>
      </c>
      <c r="B8" s="5" t="s">
        <v>54</v>
      </c>
      <c r="C8" s="8" t="s">
        <v>142</v>
      </c>
      <c r="D8" s="8" t="s">
        <v>144</v>
      </c>
      <c r="E8" s="8" t="s">
        <v>103</v>
      </c>
      <c r="F8" s="8" t="s">
        <v>333</v>
      </c>
      <c r="G8" s="8" t="s">
        <v>147</v>
      </c>
      <c r="H8" s="9" t="str">
        <f t="shared" si="0"/>
        <v>Como administrador, quiero definir permisos por área, por cargo y directos por usuario, además de los integrantes de los grupos de autorizadores de cada proceso, para controlar qué funciones, datos y decisiones corresponden a cada usuario</v>
      </c>
      <c r="I8" s="8" t="s">
        <v>328</v>
      </c>
      <c r="J8" s="5" t="s">
        <v>73</v>
      </c>
      <c r="K8" s="5">
        <v>8</v>
      </c>
      <c r="L8" s="8" t="s">
        <v>87</v>
      </c>
      <c r="M8" s="8" t="s">
        <v>336</v>
      </c>
      <c r="N8" s="8" t="s">
        <v>80</v>
      </c>
      <c r="O8" s="8" t="s">
        <v>82</v>
      </c>
      <c r="P8" s="8" t="s">
        <v>153</v>
      </c>
    </row>
    <row r="9" spans="1:16" ht="103.5" customHeight="1">
      <c r="A9" s="7" t="s">
        <v>155</v>
      </c>
      <c r="B9" s="5" t="s">
        <v>54</v>
      </c>
      <c r="C9" s="8" t="s">
        <v>157</v>
      </c>
      <c r="D9" s="8" t="s">
        <v>158</v>
      </c>
      <c r="E9" s="8" t="s">
        <v>103</v>
      </c>
      <c r="F9" s="8" t="s">
        <v>161</v>
      </c>
      <c r="G9" s="8" t="s">
        <v>162</v>
      </c>
      <c r="H9" s="9" t="str">
        <f t="shared" si="0"/>
        <v>Como administrador, quiero asociar SlpCode y escala de comisión por empresa a vendedores y asistentes, para asegurar que cada operación use la empresa y el vendedor correctos</v>
      </c>
      <c r="I9" s="8" t="s">
        <v>166</v>
      </c>
      <c r="J9" s="5" t="s">
        <v>73</v>
      </c>
      <c r="K9" s="5">
        <v>8</v>
      </c>
      <c r="L9" s="8" t="s">
        <v>170</v>
      </c>
      <c r="M9" s="8" t="s">
        <v>336</v>
      </c>
      <c r="N9" s="8" t="s">
        <v>80</v>
      </c>
      <c r="O9" s="8" t="s">
        <v>82</v>
      </c>
      <c r="P9" s="8" t="s">
        <v>173</v>
      </c>
    </row>
    <row r="10" spans="1:16" ht="103.5" customHeight="1">
      <c r="A10" s="7" t="s">
        <v>174</v>
      </c>
      <c r="B10" s="5" t="s">
        <v>97</v>
      </c>
      <c r="C10" s="8" t="s">
        <v>175</v>
      </c>
      <c r="D10" s="8" t="s">
        <v>177</v>
      </c>
      <c r="E10" s="8" t="s">
        <v>179</v>
      </c>
      <c r="F10" s="8" t="s">
        <v>180</v>
      </c>
      <c r="G10" s="8" t="s">
        <v>182</v>
      </c>
      <c r="H10" s="9" t="str">
        <f t="shared" si="0"/>
        <v>Como vendedor autorizado, quiero crear solicitudes de creación, activación o modificación de artículos con sus respaldos, para enviar información completa al grupo autorizador correspondiente</v>
      </c>
      <c r="I10" s="8" t="s">
        <v>329</v>
      </c>
      <c r="J10" s="5" t="s">
        <v>73</v>
      </c>
      <c r="K10" s="5">
        <v>8</v>
      </c>
      <c r="L10" s="8" t="s">
        <v>188</v>
      </c>
      <c r="M10" s="8" t="s">
        <v>336</v>
      </c>
      <c r="N10" s="8" t="s">
        <v>189</v>
      </c>
      <c r="O10" s="8" t="s">
        <v>140</v>
      </c>
      <c r="P10" s="8" t="s">
        <v>191</v>
      </c>
    </row>
    <row r="11" spans="1:16" ht="103.5" customHeight="1">
      <c r="A11" s="7" t="s">
        <v>192</v>
      </c>
      <c r="B11" s="5" t="s">
        <v>97</v>
      </c>
      <c r="C11" s="8" t="s">
        <v>194</v>
      </c>
      <c r="D11" s="8" t="s">
        <v>196</v>
      </c>
      <c r="E11" s="8" t="s">
        <v>197</v>
      </c>
      <c r="F11" s="8" t="s">
        <v>334</v>
      </c>
      <c r="G11" s="8" t="s">
        <v>199</v>
      </c>
      <c r="H11" s="9" t="str">
        <f t="shared" si="0"/>
        <v>Como autorizador, quiero aprobar, rechazar o pedir corrección de una solicitud de la bandeja compartida, para resolverla con un responsable y una decisión trazable</v>
      </c>
      <c r="I11" s="8" t="s">
        <v>330</v>
      </c>
      <c r="J11" s="5" t="s">
        <v>73</v>
      </c>
      <c r="K11" s="5">
        <v>5</v>
      </c>
      <c r="L11" s="8" t="s">
        <v>174</v>
      </c>
      <c r="M11" s="8" t="s">
        <v>336</v>
      </c>
      <c r="N11" s="8" t="s">
        <v>189</v>
      </c>
      <c r="O11" s="8" t="s">
        <v>140</v>
      </c>
      <c r="P11" s="8" t="s">
        <v>206</v>
      </c>
    </row>
    <row r="12" spans="1:16" ht="103.5" customHeight="1">
      <c r="A12" s="7" t="s">
        <v>207</v>
      </c>
      <c r="B12" s="5" t="s">
        <v>97</v>
      </c>
      <c r="C12" s="8" t="s">
        <v>209</v>
      </c>
      <c r="D12" s="8" t="s">
        <v>210</v>
      </c>
      <c r="E12" s="8" t="s">
        <v>211</v>
      </c>
      <c r="F12" s="8" t="s">
        <v>212</v>
      </c>
      <c r="G12" s="8" t="s">
        <v>213</v>
      </c>
      <c r="H12" s="9" t="str">
        <f t="shared" si="0"/>
        <v>Como vendedor solicitante, quiero corregir y reenviar solicitudes rechazadas, además de consultar y filtrar su seguimiento, para resolver observaciones y conocer el estado de cada gestión</v>
      </c>
      <c r="I12" s="8" t="s">
        <v>214</v>
      </c>
      <c r="J12" s="5" t="s">
        <v>73</v>
      </c>
      <c r="K12" s="5">
        <v>8</v>
      </c>
      <c r="L12" s="8" t="s">
        <v>192</v>
      </c>
      <c r="M12" s="8" t="s">
        <v>336</v>
      </c>
      <c r="N12" s="8" t="s">
        <v>189</v>
      </c>
      <c r="O12" s="8" t="s">
        <v>140</v>
      </c>
      <c r="P12" s="8" t="s">
        <v>215</v>
      </c>
    </row>
    <row r="13" spans="1:16" ht="103.5" customHeight="1">
      <c r="A13" s="7" t="s">
        <v>216</v>
      </c>
      <c r="B13" s="5" t="s">
        <v>141</v>
      </c>
      <c r="C13" s="8" t="s">
        <v>217</v>
      </c>
      <c r="D13" s="8" t="s">
        <v>218</v>
      </c>
      <c r="E13" s="8" t="s">
        <v>219</v>
      </c>
      <c r="F13" s="8" t="s">
        <v>220</v>
      </c>
      <c r="G13" s="8" t="s">
        <v>221</v>
      </c>
      <c r="H13" s="9" t="str">
        <f t="shared" si="0"/>
        <v>Como vendedor o asistente de vendedor, quiero consultar productos, stock, clientes, crédito y bloqueo en la empresa activa, para tomar decisiones comerciales con información vigente del ERP</v>
      </c>
      <c r="I13" s="8" t="s">
        <v>222</v>
      </c>
      <c r="J13" s="5" t="s">
        <v>73</v>
      </c>
      <c r="K13" s="5">
        <v>8</v>
      </c>
      <c r="L13" s="8" t="s">
        <v>223</v>
      </c>
      <c r="M13" s="8" t="s">
        <v>78</v>
      </c>
      <c r="N13" s="8" t="s">
        <v>224</v>
      </c>
      <c r="O13" s="8" t="s">
        <v>156</v>
      </c>
      <c r="P13" s="8" t="s">
        <v>225</v>
      </c>
    </row>
    <row r="14" spans="1:16" ht="103.5" customHeight="1">
      <c r="A14" s="7" t="s">
        <v>226</v>
      </c>
      <c r="B14" s="5" t="s">
        <v>141</v>
      </c>
      <c r="C14" s="8" t="s">
        <v>227</v>
      </c>
      <c r="D14" s="8" t="s">
        <v>228</v>
      </c>
      <c r="E14" s="8" t="s">
        <v>219</v>
      </c>
      <c r="F14" s="8" t="s">
        <v>229</v>
      </c>
      <c r="G14" s="8" t="s">
        <v>230</v>
      </c>
      <c r="H14" s="9" t="str">
        <f t="shared" si="0"/>
        <v>Como vendedor o asistente de vendedor, quiero crear cotizaciones con varias líneas y el vendedor correspondiente, para presentar una oferta comercial consistente con la empresa activa</v>
      </c>
      <c r="I14" s="8" t="s">
        <v>231</v>
      </c>
      <c r="J14" s="5" t="s">
        <v>73</v>
      </c>
      <c r="K14" s="5">
        <v>8</v>
      </c>
      <c r="L14" s="8" t="s">
        <v>232</v>
      </c>
      <c r="M14" s="8" t="s">
        <v>78</v>
      </c>
      <c r="N14" s="8" t="s">
        <v>224</v>
      </c>
      <c r="O14" s="8" t="s">
        <v>208</v>
      </c>
      <c r="P14" s="8" t="s">
        <v>233</v>
      </c>
    </row>
    <row r="15" spans="1:16" ht="103.5" customHeight="1">
      <c r="A15" s="7" t="s">
        <v>234</v>
      </c>
      <c r="B15" s="5" t="s">
        <v>141</v>
      </c>
      <c r="C15" s="8" t="s">
        <v>235</v>
      </c>
      <c r="D15" s="8" t="s">
        <v>236</v>
      </c>
      <c r="E15" s="8" t="s">
        <v>237</v>
      </c>
      <c r="F15" s="8" t="s">
        <v>238</v>
      </c>
      <c r="G15" s="8" t="s">
        <v>239</v>
      </c>
      <c r="H15" s="9" t="str">
        <f t="shared" si="0"/>
        <v>Como vendedor, quiero descargar la cotización y convertir una cotización aceptada en solicitud de orden de venta, para continuar el proceso comercial sin volver a ingresar sus datos</v>
      </c>
      <c r="I15" s="8" t="s">
        <v>240</v>
      </c>
      <c r="J15" s="5" t="s">
        <v>73</v>
      </c>
      <c r="K15" s="5">
        <v>5</v>
      </c>
      <c r="L15" s="8" t="s">
        <v>226</v>
      </c>
      <c r="M15" s="8" t="s">
        <v>78</v>
      </c>
      <c r="N15" s="8" t="s">
        <v>241</v>
      </c>
      <c r="O15" s="8" t="s">
        <v>208</v>
      </c>
      <c r="P15" s="8" t="s">
        <v>242</v>
      </c>
    </row>
    <row r="16" spans="1:16" ht="103.5" customHeight="1">
      <c r="A16" s="7" t="s">
        <v>243</v>
      </c>
      <c r="B16" s="5" t="s">
        <v>141</v>
      </c>
      <c r="C16" s="8" t="s">
        <v>244</v>
      </c>
      <c r="D16" s="8" t="s">
        <v>245</v>
      </c>
      <c r="E16" s="8" t="s">
        <v>246</v>
      </c>
      <c r="F16" s="8" t="s">
        <v>247</v>
      </c>
      <c r="G16" s="8" t="s">
        <v>248</v>
      </c>
      <c r="H16" s="9" t="str">
        <f t="shared" si="0"/>
        <v>Como autorizador comercial, quiero aprobar las solicitudes que correspondan y enviar la orden de venta al ERP, para crear únicamente documentos validados y mantener su trazabilidad</v>
      </c>
      <c r="I16" s="8" t="s">
        <v>335</v>
      </c>
      <c r="J16" s="5" t="s">
        <v>73</v>
      </c>
      <c r="K16" s="5">
        <v>8</v>
      </c>
      <c r="L16" s="8" t="s">
        <v>249</v>
      </c>
      <c r="M16" s="8" t="s">
        <v>78</v>
      </c>
      <c r="N16" s="8" t="s">
        <v>241</v>
      </c>
      <c r="O16" s="8" t="s">
        <v>193</v>
      </c>
      <c r="P16" s="8" t="s">
        <v>250</v>
      </c>
    </row>
    <row r="17" spans="1:16" ht="103.5" customHeight="1">
      <c r="A17" s="7" t="s">
        <v>251</v>
      </c>
      <c r="B17" s="5" t="s">
        <v>159</v>
      </c>
      <c r="C17" s="8" t="s">
        <v>252</v>
      </c>
      <c r="D17" s="8" t="s">
        <v>253</v>
      </c>
      <c r="E17" s="8" t="s">
        <v>197</v>
      </c>
      <c r="F17" s="8" t="s">
        <v>254</v>
      </c>
      <c r="G17" s="8" t="s">
        <v>255</v>
      </c>
      <c r="H17" s="9" t="str">
        <f t="shared" si="0"/>
        <v>Como autorizador, quiero recibir avisos de los procesos pendientes y recordatorios cuando superen una hora, para atender oportunamente las decisiones que me corresponden</v>
      </c>
      <c r="I17" s="8" t="s">
        <v>256</v>
      </c>
      <c r="J17" s="5" t="s">
        <v>73</v>
      </c>
      <c r="K17" s="5">
        <v>5</v>
      </c>
      <c r="L17" s="8" t="s">
        <v>257</v>
      </c>
      <c r="M17" s="8" t="s">
        <v>336</v>
      </c>
      <c r="N17" s="8" t="s">
        <v>189</v>
      </c>
      <c r="O17" s="8" t="s">
        <v>140</v>
      </c>
      <c r="P17" s="8" t="s">
        <v>258</v>
      </c>
    </row>
    <row r="18" spans="1:16" ht="103.5" customHeight="1">
      <c r="A18" s="7" t="s">
        <v>259</v>
      </c>
      <c r="B18" s="5" t="s">
        <v>159</v>
      </c>
      <c r="C18" s="8" t="s">
        <v>260</v>
      </c>
      <c r="D18" s="8" t="s">
        <v>261</v>
      </c>
      <c r="E18" s="8" t="s">
        <v>262</v>
      </c>
      <c r="F18" s="8" t="s">
        <v>263</v>
      </c>
      <c r="G18" s="8" t="s">
        <v>264</v>
      </c>
      <c r="H18" s="9" t="str">
        <f t="shared" si="0"/>
        <v>Como participante de un proceso, quiero recibir y administrar notificaciones de aprobaciones, rechazos, observaciones y cambios de estado, para saber cuándo debo actuar y acceder directamente al proceso</v>
      </c>
      <c r="I18" s="8" t="s">
        <v>265</v>
      </c>
      <c r="J18" s="5" t="s">
        <v>73</v>
      </c>
      <c r="K18" s="5">
        <v>5</v>
      </c>
      <c r="L18" s="8" t="s">
        <v>266</v>
      </c>
      <c r="M18" s="8" t="s">
        <v>78</v>
      </c>
      <c r="N18" s="8" t="s">
        <v>224</v>
      </c>
      <c r="O18" s="8" t="s">
        <v>140</v>
      </c>
      <c r="P18" s="8" t="s">
        <v>267</v>
      </c>
    </row>
    <row r="19" spans="1:16" ht="103.5" customHeight="1">
      <c r="A19" s="7" t="s">
        <v>268</v>
      </c>
      <c r="B19" s="5" t="s">
        <v>159</v>
      </c>
      <c r="C19" s="8" t="s">
        <v>269</v>
      </c>
      <c r="D19" s="8" t="s">
        <v>270</v>
      </c>
      <c r="E19" s="8" t="s">
        <v>271</v>
      </c>
      <c r="F19" s="8" t="s">
        <v>272</v>
      </c>
      <c r="G19" s="8" t="s">
        <v>273</v>
      </c>
      <c r="H19" s="9" t="str">
        <f t="shared" si="0"/>
        <v>Como usuario participante o jefatura autorizada, quiero consultar el estado y el historial de cada proceso, para conocer quién realizó cada acción, cuándo y con qué resultado</v>
      </c>
      <c r="I19" s="8" t="s">
        <v>274</v>
      </c>
      <c r="J19" s="5" t="s">
        <v>73</v>
      </c>
      <c r="K19" s="5">
        <v>8</v>
      </c>
      <c r="L19" s="8" t="s">
        <v>275</v>
      </c>
      <c r="M19" s="8" t="s">
        <v>78</v>
      </c>
      <c r="N19" s="8" t="s">
        <v>276</v>
      </c>
      <c r="O19" s="8" t="s">
        <v>140</v>
      </c>
      <c r="P19" s="8" t="s">
        <v>277</v>
      </c>
    </row>
    <row r="20" spans="1:16" ht="103.5" customHeight="1">
      <c r="A20" s="7" t="s">
        <v>278</v>
      </c>
      <c r="B20" s="5" t="s">
        <v>176</v>
      </c>
      <c r="C20" s="8" t="s">
        <v>279</v>
      </c>
      <c r="D20" s="8" t="s">
        <v>280</v>
      </c>
      <c r="E20" s="8" t="s">
        <v>281</v>
      </c>
      <c r="F20" s="8" t="s">
        <v>282</v>
      </c>
      <c r="G20" s="8" t="s">
        <v>283</v>
      </c>
      <c r="H20" s="9" t="str">
        <f t="shared" si="0"/>
        <v>Como usuario autorizado de la plataforma, quiero obtener productos, clientes, stock y datos permitidos mediante la API de lectura, para trabajar desde la web sin modificar directamente la información oficial del ERP</v>
      </c>
      <c r="I20" s="8" t="s">
        <v>284</v>
      </c>
      <c r="J20" s="5" t="s">
        <v>73</v>
      </c>
      <c r="K20" s="5">
        <v>8</v>
      </c>
      <c r="L20" s="8" t="s">
        <v>188</v>
      </c>
      <c r="M20" s="8" t="s">
        <v>78</v>
      </c>
      <c r="N20" s="8" t="s">
        <v>224</v>
      </c>
      <c r="O20" s="8" t="s">
        <v>193</v>
      </c>
      <c r="P20" s="8" t="s">
        <v>285</v>
      </c>
    </row>
    <row r="21" spans="1:16" ht="103.5" customHeight="1">
      <c r="A21" s="7" t="s">
        <v>286</v>
      </c>
      <c r="B21" s="5" t="s">
        <v>176</v>
      </c>
      <c r="C21" s="8" t="s">
        <v>287</v>
      </c>
      <c r="D21" s="8" t="s">
        <v>288</v>
      </c>
      <c r="E21" s="8" t="s">
        <v>289</v>
      </c>
      <c r="F21" s="8" t="s">
        <v>290</v>
      </c>
      <c r="G21" s="8" t="s">
        <v>291</v>
      </c>
      <c r="H21" s="9" t="str">
        <f t="shared" si="0"/>
        <v>Como usuario autorizado, quiero enviar al ERP solo operaciones previamente validadas mediante Service Layer, para mantener la integridad y las reglas oficiales de SAP Business One</v>
      </c>
      <c r="I21" s="8" t="s">
        <v>292</v>
      </c>
      <c r="J21" s="5" t="s">
        <v>73</v>
      </c>
      <c r="K21" s="5">
        <v>8</v>
      </c>
      <c r="L21" s="8" t="s">
        <v>188</v>
      </c>
      <c r="M21" s="8" t="s">
        <v>78</v>
      </c>
      <c r="N21" s="8" t="s">
        <v>241</v>
      </c>
      <c r="O21" s="8" t="s">
        <v>193</v>
      </c>
      <c r="P21" s="8" t="s">
        <v>293</v>
      </c>
    </row>
    <row r="22" spans="1:16" ht="103.5" customHeight="1">
      <c r="A22" s="7" t="s">
        <v>294</v>
      </c>
      <c r="B22" s="5" t="s">
        <v>176</v>
      </c>
      <c r="C22" s="8" t="s">
        <v>295</v>
      </c>
      <c r="D22" s="8" t="s">
        <v>296</v>
      </c>
      <c r="E22" s="8" t="s">
        <v>297</v>
      </c>
      <c r="F22" s="8" t="s">
        <v>298</v>
      </c>
      <c r="G22" s="8" t="s">
        <v>299</v>
      </c>
      <c r="H22" s="9" t="str">
        <f t="shared" si="0"/>
        <v>Como responsable de operación, quiero consultar el resultado de cada envío y reintentar los fallidos de forma segura, para resolver errores sin duplicar documentos ni líneas en el ERP</v>
      </c>
      <c r="I22" s="8" t="s">
        <v>300</v>
      </c>
      <c r="J22" s="5" t="s">
        <v>73</v>
      </c>
      <c r="K22" s="5">
        <v>8</v>
      </c>
      <c r="L22" s="8" t="s">
        <v>286</v>
      </c>
      <c r="M22" s="8" t="s">
        <v>78</v>
      </c>
      <c r="N22" s="8" t="s">
        <v>241</v>
      </c>
      <c r="O22" s="8" t="s">
        <v>193</v>
      </c>
      <c r="P22" s="8" t="s">
        <v>301</v>
      </c>
    </row>
    <row r="23" spans="1:16" ht="103.5" customHeight="1">
      <c r="A23" s="7" t="s">
        <v>302</v>
      </c>
      <c r="B23" s="5" t="s">
        <v>195</v>
      </c>
      <c r="C23" s="8" t="s">
        <v>303</v>
      </c>
      <c r="D23" s="8" t="s">
        <v>304</v>
      </c>
      <c r="E23" s="8" t="s">
        <v>219</v>
      </c>
      <c r="F23" s="8" t="s">
        <v>305</v>
      </c>
      <c r="G23" s="8" t="s">
        <v>306</v>
      </c>
      <c r="H23" s="9" t="str">
        <f t="shared" si="0"/>
        <v>Como vendedor o asistente de vendedor, quiero registrar un caso de posventa con cliente, productos, respaldo y evidencias, para iniciar formalmente su evaluación y seguimiento</v>
      </c>
      <c r="I23" s="8" t="s">
        <v>307</v>
      </c>
      <c r="J23" s="5" t="s">
        <v>73</v>
      </c>
      <c r="K23" s="5">
        <v>8</v>
      </c>
      <c r="L23" s="8" t="s">
        <v>308</v>
      </c>
      <c r="M23" s="8" t="s">
        <v>78</v>
      </c>
      <c r="N23" s="8" t="s">
        <v>276</v>
      </c>
      <c r="O23" s="8" t="s">
        <v>208</v>
      </c>
      <c r="P23" s="8" t="s">
        <v>309</v>
      </c>
    </row>
    <row r="24" spans="1:16" ht="103.5" customHeight="1">
      <c r="A24" s="7" t="s">
        <v>310</v>
      </c>
      <c r="B24" s="5" t="s">
        <v>195</v>
      </c>
      <c r="C24" s="8" t="s">
        <v>311</v>
      </c>
      <c r="D24" s="8" t="s">
        <v>312</v>
      </c>
      <c r="E24" s="8" t="s">
        <v>313</v>
      </c>
      <c r="F24" s="8" t="s">
        <v>314</v>
      </c>
      <c r="G24" s="8" t="s">
        <v>315</v>
      </c>
      <c r="H24" s="9" t="str">
        <f t="shared" si="0"/>
        <v>Como autorizador de posventa, quiero evaluar las condiciones, aprobar o rechazar el caso y liberar su comprobante QR, para respaldar la decisión y continuar el flujo con el cliente</v>
      </c>
      <c r="I24" s="8" t="s">
        <v>331</v>
      </c>
      <c r="J24" s="5" t="s">
        <v>73</v>
      </c>
      <c r="K24" s="5">
        <v>8</v>
      </c>
      <c r="L24" s="8" t="s">
        <v>316</v>
      </c>
      <c r="M24" s="8" t="s">
        <v>78</v>
      </c>
      <c r="N24" s="8" t="s">
        <v>276</v>
      </c>
      <c r="O24" s="8" t="s">
        <v>140</v>
      </c>
      <c r="P24" s="8" t="s">
        <v>317</v>
      </c>
    </row>
    <row r="25" spans="1:16" ht="103.5" customHeight="1">
      <c r="A25" s="7" t="s">
        <v>318</v>
      </c>
      <c r="B25" s="5" t="s">
        <v>195</v>
      </c>
      <c r="C25" s="8" t="s">
        <v>319</v>
      </c>
      <c r="D25" s="8" t="s">
        <v>320</v>
      </c>
      <c r="E25" s="8" t="s">
        <v>313</v>
      </c>
      <c r="F25" s="8" t="s">
        <v>321</v>
      </c>
      <c r="G25" s="8" t="s">
        <v>322</v>
      </c>
      <c r="H25" s="9" t="str">
        <f t="shared" si="0"/>
        <v>Como autorizador de posventa, quiero actualizar el caso por sus estados y registrar su resolución final, para mantener el seguimiento hasta un cierre controlado</v>
      </c>
      <c r="I25" s="8" t="s">
        <v>323</v>
      </c>
      <c r="J25" s="5" t="s">
        <v>73</v>
      </c>
      <c r="K25" s="5">
        <v>8</v>
      </c>
      <c r="L25" s="8" t="s">
        <v>324</v>
      </c>
      <c r="M25" s="8" t="s">
        <v>78</v>
      </c>
      <c r="N25" s="8" t="s">
        <v>325</v>
      </c>
      <c r="O25" s="8" t="s">
        <v>208</v>
      </c>
      <c r="P25" s="8" t="s">
        <v>326</v>
      </c>
    </row>
    <row r="26" spans="1:16" ht="14.25" customHeight="1"/>
    <row r="27" spans="1:16" ht="14.25" customHeight="1"/>
    <row r="28" spans="1:16" ht="14.25" customHeight="1"/>
    <row r="29" spans="1:16" ht="14.25" customHeight="1"/>
    <row r="30" spans="1:16" ht="14.25" customHeight="1"/>
    <row r="31" spans="1:16" ht="14.25" customHeight="1"/>
    <row r="32" spans="1: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P2"/>
    <mergeCell ref="A4:P4"/>
  </mergeCells>
  <conditionalFormatting sqref="M6:M25">
    <cfRule type="containsText" dxfId="1" priority="1" operator="containsText" text="Terminado">
      <formula>NOT(ISERROR(SEARCH(("Terminado"),(M6))))</formula>
    </cfRule>
    <cfRule type="containsText" dxfId="0" priority="2" operator="containsText" text="Bloqueado">
      <formula>NOT(ISERROR(SEARCH(("Bloqueado"),(M6))))</formula>
    </cfRule>
  </conditionalFormatting>
  <dataValidations count="3">
    <dataValidation type="decimal" allowBlank="1" sqref="K6:K25" xr:uid="{00000000-0002-0000-0100-000000000000}">
      <formula1>0</formula1>
      <formula2>100</formula2>
    </dataValidation>
    <dataValidation type="list" allowBlank="1" sqref="J6:J25" xr:uid="{00000000-0002-0000-0100-000001000000}">
      <formula1>"Crítica,Alta,Media,Baja"</formula1>
    </dataValidation>
    <dataValidation type="list" allowBlank="1" sqref="M6:M25" xr:uid="{00000000-0002-0000-0100-000002000000}">
      <formula1>"Propuesto,En refinamiento,Listo,En Sprint,En curso,En pruebas,Terminado,Bloqueado"</formula1>
    </dataValidation>
  </dataValidations>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100-000003000000}">
          <x14:formula1>
            <xm:f>'Épicas y funciones'!$A$6:$A$11</xm:f>
          </x14:formula1>
          <xm:sqref>B6:B25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EA6C4"/>
  </sheetPr>
  <dimension ref="A1:M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2.625" defaultRowHeight="15" customHeight="1"/>
  <cols>
    <col min="1" max="1" width="11" customWidth="1"/>
    <col min="2" max="11" width="28" customWidth="1"/>
    <col min="12" max="12" width="15" customWidth="1"/>
    <col min="13" max="13" width="18" customWidth="1"/>
    <col min="14" max="26" width="9" customWidth="1"/>
  </cols>
  <sheetData>
    <row r="1" spans="1:13" ht="14.25" customHeight="1"/>
    <row r="2" spans="1:13" ht="27.75" customHeight="1">
      <c r="A2" s="14" t="s">
        <v>18</v>
      </c>
      <c r="B2" s="15"/>
      <c r="C2" s="15"/>
      <c r="D2" s="15"/>
      <c r="E2" s="15"/>
      <c r="F2" s="15"/>
      <c r="G2" s="15"/>
      <c r="H2" s="15"/>
      <c r="I2" s="15"/>
      <c r="J2" s="15"/>
      <c r="K2" s="15"/>
      <c r="L2" s="15"/>
      <c r="M2" s="15"/>
    </row>
    <row r="3" spans="1:13" ht="14.25" customHeight="1">
      <c r="A3" s="1"/>
      <c r="B3" s="1"/>
      <c r="C3" s="1"/>
      <c r="D3" s="1"/>
      <c r="E3" s="1"/>
      <c r="F3" s="1"/>
      <c r="G3" s="1"/>
      <c r="H3" s="1"/>
      <c r="I3" s="1"/>
      <c r="J3" s="1"/>
      <c r="K3" s="1"/>
      <c r="L3" s="1"/>
      <c r="M3" s="1"/>
    </row>
    <row r="4" spans="1:13" ht="14.25" customHeight="1">
      <c r="A4" s="16" t="s">
        <v>20</v>
      </c>
      <c r="B4" s="15"/>
      <c r="C4" s="15"/>
      <c r="D4" s="15"/>
      <c r="E4" s="15"/>
      <c r="F4" s="15"/>
      <c r="G4" s="15"/>
      <c r="H4" s="15"/>
      <c r="I4" s="15"/>
      <c r="J4" s="15"/>
      <c r="K4" s="15"/>
      <c r="L4" s="15"/>
      <c r="M4" s="15"/>
    </row>
    <row r="5" spans="1:13" ht="33.75" customHeight="1">
      <c r="A5" s="4" t="s">
        <v>23</v>
      </c>
      <c r="B5" s="4" t="s">
        <v>28</v>
      </c>
      <c r="C5" s="4" t="s">
        <v>32</v>
      </c>
      <c r="D5" s="4" t="s">
        <v>36</v>
      </c>
      <c r="E5" s="4" t="s">
        <v>40</v>
      </c>
      <c r="F5" s="4" t="s">
        <v>43</v>
      </c>
      <c r="G5" s="4" t="s">
        <v>45</v>
      </c>
      <c r="H5" s="4" t="s">
        <v>37</v>
      </c>
      <c r="I5" s="4" t="s">
        <v>31</v>
      </c>
      <c r="J5" s="4" t="s">
        <v>47</v>
      </c>
      <c r="K5" s="4" t="s">
        <v>49</v>
      </c>
      <c r="L5" s="4" t="s">
        <v>19</v>
      </c>
      <c r="M5" s="4" t="s">
        <v>44</v>
      </c>
    </row>
    <row r="6" spans="1:13" ht="127.5" customHeight="1">
      <c r="A6" s="7" t="s">
        <v>54</v>
      </c>
      <c r="B6" s="10" t="s">
        <v>58</v>
      </c>
      <c r="C6" s="8" t="s">
        <v>63</v>
      </c>
      <c r="D6" s="8" t="s">
        <v>65</v>
      </c>
      <c r="E6" s="8" t="s">
        <v>66</v>
      </c>
      <c r="F6" s="8" t="s">
        <v>68</v>
      </c>
      <c r="G6" s="8" t="s">
        <v>70</v>
      </c>
      <c r="H6" s="8" t="s">
        <v>75</v>
      </c>
      <c r="I6" s="5" t="s">
        <v>73</v>
      </c>
      <c r="J6" s="5" t="s">
        <v>81</v>
      </c>
      <c r="K6" s="8" t="s">
        <v>83</v>
      </c>
      <c r="L6" s="8" t="s">
        <v>86</v>
      </c>
      <c r="M6" s="8" t="s">
        <v>82</v>
      </c>
    </row>
    <row r="7" spans="1:13" ht="127.5" customHeight="1">
      <c r="A7" s="7" t="s">
        <v>97</v>
      </c>
      <c r="B7" s="10" t="s">
        <v>101</v>
      </c>
      <c r="C7" s="8" t="s">
        <v>106</v>
      </c>
      <c r="D7" s="8" t="s">
        <v>115</v>
      </c>
      <c r="E7" s="8" t="s">
        <v>124</v>
      </c>
      <c r="F7" s="8" t="s">
        <v>131</v>
      </c>
      <c r="G7" s="8" t="s">
        <v>133</v>
      </c>
      <c r="H7" s="8" t="s">
        <v>134</v>
      </c>
      <c r="I7" s="5" t="s">
        <v>73</v>
      </c>
      <c r="J7" s="5" t="s">
        <v>81</v>
      </c>
      <c r="K7" s="8" t="s">
        <v>137</v>
      </c>
      <c r="L7" s="8" t="s">
        <v>86</v>
      </c>
      <c r="M7" s="8" t="s">
        <v>140</v>
      </c>
    </row>
    <row r="8" spans="1:13" ht="127.5" customHeight="1">
      <c r="A8" s="7" t="s">
        <v>141</v>
      </c>
      <c r="B8" s="10" t="s">
        <v>143</v>
      </c>
      <c r="C8" s="8" t="s">
        <v>145</v>
      </c>
      <c r="D8" s="8" t="s">
        <v>146</v>
      </c>
      <c r="E8" s="8" t="s">
        <v>148</v>
      </c>
      <c r="F8" s="8" t="s">
        <v>149</v>
      </c>
      <c r="G8" s="8" t="s">
        <v>150</v>
      </c>
      <c r="H8" s="8" t="s">
        <v>151</v>
      </c>
      <c r="I8" s="5" t="s">
        <v>73</v>
      </c>
      <c r="J8" s="5" t="s">
        <v>152</v>
      </c>
      <c r="K8" s="8" t="s">
        <v>154</v>
      </c>
      <c r="L8" s="8" t="s">
        <v>86</v>
      </c>
      <c r="M8" s="8" t="s">
        <v>156</v>
      </c>
    </row>
    <row r="9" spans="1:13" ht="127.5" customHeight="1">
      <c r="A9" s="7" t="s">
        <v>159</v>
      </c>
      <c r="B9" s="10" t="s">
        <v>160</v>
      </c>
      <c r="C9" s="8" t="s">
        <v>163</v>
      </c>
      <c r="D9" s="8" t="s">
        <v>164</v>
      </c>
      <c r="E9" s="8" t="s">
        <v>165</v>
      </c>
      <c r="F9" s="8" t="s">
        <v>167</v>
      </c>
      <c r="G9" s="8" t="s">
        <v>168</v>
      </c>
      <c r="H9" s="8" t="s">
        <v>169</v>
      </c>
      <c r="I9" s="5" t="s">
        <v>73</v>
      </c>
      <c r="J9" s="5" t="s">
        <v>171</v>
      </c>
      <c r="K9" s="8" t="s">
        <v>172</v>
      </c>
      <c r="L9" s="8" t="s">
        <v>86</v>
      </c>
      <c r="M9" s="8" t="s">
        <v>140</v>
      </c>
    </row>
    <row r="10" spans="1:13" ht="127.5" customHeight="1">
      <c r="A10" s="7" t="s">
        <v>176</v>
      </c>
      <c r="B10" s="10" t="s">
        <v>178</v>
      </c>
      <c r="C10" s="8" t="s">
        <v>181</v>
      </c>
      <c r="D10" s="8" t="s">
        <v>183</v>
      </c>
      <c r="E10" s="8" t="s">
        <v>184</v>
      </c>
      <c r="F10" s="8" t="s">
        <v>185</v>
      </c>
      <c r="G10" s="8" t="s">
        <v>186</v>
      </c>
      <c r="H10" s="8" t="s">
        <v>187</v>
      </c>
      <c r="I10" s="5" t="s">
        <v>73</v>
      </c>
      <c r="J10" s="5" t="s">
        <v>81</v>
      </c>
      <c r="K10" s="8" t="s">
        <v>190</v>
      </c>
      <c r="L10" s="8" t="s">
        <v>86</v>
      </c>
      <c r="M10" s="8" t="s">
        <v>193</v>
      </c>
    </row>
    <row r="11" spans="1:13" ht="127.5" customHeight="1">
      <c r="A11" s="7" t="s">
        <v>195</v>
      </c>
      <c r="B11" s="10" t="s">
        <v>111</v>
      </c>
      <c r="C11" s="8" t="s">
        <v>198</v>
      </c>
      <c r="D11" s="8" t="s">
        <v>200</v>
      </c>
      <c r="E11" s="8" t="s">
        <v>201</v>
      </c>
      <c r="F11" s="8" t="s">
        <v>202</v>
      </c>
      <c r="G11" s="8" t="s">
        <v>203</v>
      </c>
      <c r="H11" s="8" t="s">
        <v>204</v>
      </c>
      <c r="I11" s="5" t="s">
        <v>73</v>
      </c>
      <c r="J11" s="5" t="s">
        <v>152</v>
      </c>
      <c r="K11" s="8" t="s">
        <v>205</v>
      </c>
      <c r="L11" s="8" t="s">
        <v>86</v>
      </c>
      <c r="M11" s="8" t="s">
        <v>208</v>
      </c>
    </row>
    <row r="12" spans="1:13" ht="14.25" customHeight="1"/>
    <row r="13" spans="1:13" ht="14.25" customHeight="1"/>
    <row r="14" spans="1:13" ht="14.25" customHeight="1"/>
    <row r="15" spans="1:13" ht="14.25" customHeight="1"/>
    <row r="16" spans="1: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2:M2"/>
    <mergeCell ref="A4:M4"/>
  </mergeCells>
  <dataValidations count="3">
    <dataValidation type="list" allowBlank="1" sqref="I6:I11" xr:uid="{00000000-0002-0000-0200-000000000000}">
      <formula1>"Crítica,Alta,Media,Baja"</formula1>
    </dataValidation>
    <dataValidation type="list" allowBlank="1" sqref="L6:L11" xr:uid="{00000000-0002-0000-0200-000001000000}">
      <formula1>"Propuesta,En análisis,Aprobada,En desarrollo,Completada,Descartada"</formula1>
    </dataValidation>
    <dataValidation type="list" allowBlank="1" sqref="J6:J11" xr:uid="{00000000-0002-0000-0200-000002000000}">
      <formula1>"XS,S,M,L,XL"</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C4D6"/>
  </sheetPr>
  <dimension ref="A1:H1000"/>
  <sheetViews>
    <sheetView showGridLines="0" workbookViewId="0">
      <pane ySplit="4" topLeftCell="A5" activePane="bottomLeft" state="frozen"/>
      <selection pane="bottomLeft" activeCell="B6" sqref="B6"/>
    </sheetView>
  </sheetViews>
  <sheetFormatPr baseColWidth="10" defaultColWidth="12.625" defaultRowHeight="15" customHeight="1"/>
  <cols>
    <col min="1" max="1" width="18" customWidth="1"/>
    <col min="2" max="2" width="14" customWidth="1"/>
    <col min="3" max="3" width="22" customWidth="1"/>
    <col min="4" max="4" width="27" customWidth="1"/>
    <col min="5" max="6" width="22" customWidth="1"/>
    <col min="7" max="7" width="23" customWidth="1"/>
    <col min="8" max="8" width="22" customWidth="1"/>
    <col min="9" max="26" width="9" customWidth="1"/>
  </cols>
  <sheetData>
    <row r="1" spans="1:8" ht="14.25" customHeight="1"/>
    <row r="2" spans="1:8" ht="27.75" customHeight="1">
      <c r="A2" s="14" t="s">
        <v>0</v>
      </c>
      <c r="B2" s="15"/>
      <c r="C2" s="15"/>
      <c r="D2" s="15"/>
      <c r="E2" s="15"/>
      <c r="F2" s="15"/>
      <c r="G2" s="15"/>
      <c r="H2" s="15"/>
    </row>
    <row r="3" spans="1:8" ht="14.25" customHeight="1">
      <c r="A3" s="1"/>
      <c r="B3" s="1"/>
      <c r="C3" s="1"/>
      <c r="D3" s="1"/>
      <c r="E3" s="1"/>
      <c r="F3" s="1"/>
      <c r="G3" s="1"/>
      <c r="H3" s="1"/>
    </row>
    <row r="4" spans="1:8" ht="14.25" customHeight="1">
      <c r="A4" s="16" t="s">
        <v>1</v>
      </c>
      <c r="B4" s="15"/>
      <c r="C4" s="15"/>
      <c r="D4" s="15"/>
      <c r="E4" s="15"/>
      <c r="F4" s="15"/>
      <c r="G4" s="15"/>
      <c r="H4" s="15"/>
    </row>
    <row r="5" spans="1:8" ht="14.25" customHeight="1">
      <c r="A5" s="2"/>
      <c r="B5" s="2"/>
      <c r="C5" s="2"/>
      <c r="D5" s="2"/>
      <c r="E5" s="2"/>
      <c r="F5" s="2"/>
      <c r="G5" s="2"/>
      <c r="H5" s="2"/>
    </row>
    <row r="6" spans="1:8" ht="24" customHeight="1">
      <c r="A6" s="17" t="s">
        <v>2</v>
      </c>
      <c r="B6" s="18"/>
      <c r="C6" s="18"/>
      <c r="D6" s="18"/>
      <c r="E6" s="18"/>
      <c r="F6" s="18"/>
      <c r="G6" s="18"/>
      <c r="H6" s="19"/>
    </row>
    <row r="7" spans="1:8" ht="24.75" customHeight="1">
      <c r="A7" s="3" t="s">
        <v>3</v>
      </c>
      <c r="B7" s="28" t="s">
        <v>4</v>
      </c>
      <c r="C7" s="18"/>
      <c r="D7" s="18"/>
      <c r="E7" s="18"/>
      <c r="F7" s="18"/>
      <c r="G7" s="18"/>
      <c r="H7" s="19"/>
    </row>
    <row r="8" spans="1:8" ht="24.75" customHeight="1">
      <c r="A8" s="3" t="s">
        <v>5</v>
      </c>
      <c r="B8" s="28" t="s">
        <v>6</v>
      </c>
      <c r="C8" s="18"/>
      <c r="D8" s="18"/>
      <c r="E8" s="18"/>
      <c r="F8" s="18"/>
      <c r="G8" s="18"/>
      <c r="H8" s="19"/>
    </row>
    <row r="9" spans="1:8" ht="24.75" customHeight="1">
      <c r="A9" s="3" t="s">
        <v>9</v>
      </c>
      <c r="B9" s="28" t="s">
        <v>10</v>
      </c>
      <c r="C9" s="18"/>
      <c r="D9" s="18"/>
      <c r="E9" s="18"/>
      <c r="F9" s="18"/>
      <c r="G9" s="18"/>
      <c r="H9" s="19"/>
    </row>
    <row r="10" spans="1:8" ht="24.75" customHeight="1">
      <c r="A10" s="3" t="s">
        <v>11</v>
      </c>
      <c r="B10" s="28" t="s">
        <v>12</v>
      </c>
      <c r="C10" s="18"/>
      <c r="D10" s="18"/>
      <c r="E10" s="18"/>
      <c r="F10" s="18"/>
      <c r="G10" s="18"/>
      <c r="H10" s="19"/>
    </row>
    <row r="11" spans="1:8" ht="24.75" customHeight="1">
      <c r="A11" s="3" t="s">
        <v>16</v>
      </c>
      <c r="B11" s="29">
        <v>46285</v>
      </c>
      <c r="C11" s="18"/>
      <c r="D11" s="18"/>
      <c r="E11" s="18"/>
      <c r="F11" s="18"/>
      <c r="G11" s="18"/>
      <c r="H11" s="19"/>
    </row>
    <row r="12" spans="1:8" ht="24.75" customHeight="1">
      <c r="A12" s="3" t="s">
        <v>19</v>
      </c>
      <c r="B12" s="28" t="s">
        <v>21</v>
      </c>
      <c r="C12" s="18"/>
      <c r="D12" s="18"/>
      <c r="E12" s="18"/>
      <c r="F12" s="18"/>
      <c r="G12" s="18"/>
      <c r="H12" s="19"/>
    </row>
    <row r="13" spans="1:8" ht="14.25" customHeight="1">
      <c r="A13" s="2"/>
      <c r="B13" s="2"/>
      <c r="C13" s="2"/>
      <c r="D13" s="2"/>
      <c r="E13" s="2"/>
      <c r="F13" s="2"/>
      <c r="G13" s="2"/>
      <c r="H13" s="2"/>
    </row>
    <row r="14" spans="1:8" ht="24" customHeight="1">
      <c r="A14" s="17" t="s">
        <v>26</v>
      </c>
      <c r="B14" s="18"/>
      <c r="C14" s="18"/>
      <c r="D14" s="18"/>
      <c r="E14" s="18"/>
      <c r="F14" s="18"/>
      <c r="G14" s="18"/>
      <c r="H14" s="19"/>
    </row>
    <row r="15" spans="1:8" ht="24" customHeight="1">
      <c r="A15" s="21" t="s">
        <v>38</v>
      </c>
      <c r="B15" s="19"/>
      <c r="C15" s="22" t="s">
        <v>42</v>
      </c>
      <c r="D15" s="23"/>
      <c r="E15" s="23"/>
      <c r="F15" s="23"/>
      <c r="G15" s="23"/>
      <c r="H15" s="24"/>
    </row>
    <row r="16" spans="1:8" ht="24" customHeight="1">
      <c r="A16" s="2"/>
      <c r="B16" s="2"/>
      <c r="C16" s="25"/>
      <c r="D16" s="26"/>
      <c r="E16" s="26"/>
      <c r="F16" s="26"/>
      <c r="G16" s="26"/>
      <c r="H16" s="27"/>
    </row>
    <row r="17" spans="1:8" ht="14.25" customHeight="1">
      <c r="A17" s="2"/>
      <c r="B17" s="2"/>
      <c r="C17" s="6"/>
      <c r="D17" s="6"/>
      <c r="E17" s="6"/>
      <c r="F17" s="6"/>
      <c r="G17" s="6"/>
      <c r="H17" s="6"/>
    </row>
    <row r="18" spans="1:8" ht="24" customHeight="1">
      <c r="A18" s="21" t="s">
        <v>48</v>
      </c>
      <c r="B18" s="19"/>
      <c r="C18" s="22" t="s">
        <v>50</v>
      </c>
      <c r="D18" s="23"/>
      <c r="E18" s="23"/>
      <c r="F18" s="23"/>
      <c r="G18" s="23"/>
      <c r="H18" s="24"/>
    </row>
    <row r="19" spans="1:8" ht="24" customHeight="1">
      <c r="A19" s="2"/>
      <c r="B19" s="2"/>
      <c r="C19" s="25"/>
      <c r="D19" s="26"/>
      <c r="E19" s="26"/>
      <c r="F19" s="26"/>
      <c r="G19" s="26"/>
      <c r="H19" s="27"/>
    </row>
    <row r="20" spans="1:8" ht="14.25" customHeight="1">
      <c r="A20" s="2"/>
      <c r="B20" s="2"/>
      <c r="C20" s="6"/>
      <c r="D20" s="6"/>
      <c r="E20" s="6"/>
      <c r="F20" s="6"/>
      <c r="G20" s="6"/>
      <c r="H20" s="6"/>
    </row>
    <row r="21" spans="1:8" ht="24" customHeight="1">
      <c r="A21" s="21" t="s">
        <v>52</v>
      </c>
      <c r="B21" s="19"/>
      <c r="C21" s="22" t="s">
        <v>53</v>
      </c>
      <c r="D21" s="23"/>
      <c r="E21" s="23"/>
      <c r="F21" s="23"/>
      <c r="G21" s="23"/>
      <c r="H21" s="24"/>
    </row>
    <row r="22" spans="1:8" ht="24" customHeight="1">
      <c r="A22" s="2"/>
      <c r="B22" s="2"/>
      <c r="C22" s="25"/>
      <c r="D22" s="26"/>
      <c r="E22" s="26"/>
      <c r="F22" s="26"/>
      <c r="G22" s="26"/>
      <c r="H22" s="27"/>
    </row>
    <row r="23" spans="1:8" ht="14.25" customHeight="1">
      <c r="A23" s="2"/>
      <c r="B23" s="2"/>
      <c r="C23" s="6"/>
      <c r="D23" s="6"/>
      <c r="E23" s="6"/>
      <c r="F23" s="6"/>
      <c r="G23" s="6"/>
      <c r="H23" s="6"/>
    </row>
    <row r="24" spans="1:8" ht="24" customHeight="1">
      <c r="A24" s="21" t="s">
        <v>57</v>
      </c>
      <c r="B24" s="19"/>
      <c r="C24" s="22" t="s">
        <v>60</v>
      </c>
      <c r="D24" s="23"/>
      <c r="E24" s="23"/>
      <c r="F24" s="23"/>
      <c r="G24" s="23"/>
      <c r="H24" s="24"/>
    </row>
    <row r="25" spans="1:8" ht="24" customHeight="1">
      <c r="A25" s="2"/>
      <c r="B25" s="2"/>
      <c r="C25" s="25"/>
      <c r="D25" s="26"/>
      <c r="E25" s="26"/>
      <c r="F25" s="26"/>
      <c r="G25" s="26"/>
      <c r="H25" s="27"/>
    </row>
    <row r="26" spans="1:8" ht="14.25" customHeight="1">
      <c r="A26" s="2"/>
      <c r="B26" s="2"/>
      <c r="C26" s="6"/>
      <c r="D26" s="6"/>
      <c r="E26" s="6"/>
      <c r="F26" s="6"/>
      <c r="G26" s="6"/>
      <c r="H26" s="6"/>
    </row>
    <row r="27" spans="1:8" ht="24" customHeight="1">
      <c r="A27" s="21" t="s">
        <v>0</v>
      </c>
      <c r="B27" s="19"/>
      <c r="C27" s="22" t="s">
        <v>64</v>
      </c>
      <c r="D27" s="23"/>
      <c r="E27" s="23"/>
      <c r="F27" s="23"/>
      <c r="G27" s="23"/>
      <c r="H27" s="24"/>
    </row>
    <row r="28" spans="1:8" ht="24" customHeight="1">
      <c r="A28" s="2"/>
      <c r="B28" s="2"/>
      <c r="C28" s="25"/>
      <c r="D28" s="26"/>
      <c r="E28" s="26"/>
      <c r="F28" s="26"/>
      <c r="G28" s="26"/>
      <c r="H28" s="27"/>
    </row>
    <row r="29" spans="1:8" ht="14.25" customHeight="1">
      <c r="A29" s="2"/>
      <c r="B29" s="2"/>
      <c r="C29" s="6"/>
      <c r="D29" s="6"/>
      <c r="E29" s="6"/>
      <c r="F29" s="6"/>
      <c r="G29" s="6"/>
      <c r="H29" s="6"/>
    </row>
    <row r="30" spans="1:8" ht="39.75" customHeight="1">
      <c r="A30" s="21" t="s">
        <v>67</v>
      </c>
      <c r="B30" s="19"/>
      <c r="C30" s="22" t="s">
        <v>69</v>
      </c>
      <c r="D30" s="23"/>
      <c r="E30" s="23"/>
      <c r="F30" s="23"/>
      <c r="G30" s="23"/>
      <c r="H30" s="24"/>
    </row>
    <row r="31" spans="1:8" ht="39.75" customHeight="1">
      <c r="A31" s="2"/>
      <c r="B31" s="2"/>
      <c r="C31" s="25"/>
      <c r="D31" s="26"/>
      <c r="E31" s="26"/>
      <c r="F31" s="26"/>
      <c r="G31" s="26"/>
      <c r="H31" s="27"/>
    </row>
    <row r="32" spans="1:8" ht="14.25" customHeight="1">
      <c r="A32" s="2"/>
      <c r="B32" s="2"/>
      <c r="C32" s="6"/>
      <c r="D32" s="6"/>
      <c r="E32" s="6"/>
      <c r="F32" s="6"/>
      <c r="G32" s="6"/>
      <c r="H32" s="6"/>
    </row>
    <row r="33" spans="1:8" ht="24" customHeight="1">
      <c r="A33" s="21" t="s">
        <v>72</v>
      </c>
      <c r="B33" s="19"/>
      <c r="C33" s="22" t="s">
        <v>74</v>
      </c>
      <c r="D33" s="23"/>
      <c r="E33" s="23"/>
      <c r="F33" s="23"/>
      <c r="G33" s="23"/>
      <c r="H33" s="24"/>
    </row>
    <row r="34" spans="1:8" ht="24" customHeight="1">
      <c r="A34" s="2"/>
      <c r="B34" s="2"/>
      <c r="C34" s="25"/>
      <c r="D34" s="26"/>
      <c r="E34" s="26"/>
      <c r="F34" s="26"/>
      <c r="G34" s="26"/>
      <c r="H34" s="27"/>
    </row>
    <row r="35" spans="1:8" ht="14.25" customHeight="1">
      <c r="A35" s="2"/>
      <c r="B35" s="2"/>
      <c r="C35" s="6"/>
      <c r="D35" s="6"/>
      <c r="E35" s="6"/>
      <c r="F35" s="6"/>
      <c r="G35" s="6"/>
      <c r="H35" s="6"/>
    </row>
    <row r="36" spans="1:8" ht="24" customHeight="1">
      <c r="A36" s="21" t="s">
        <v>77</v>
      </c>
      <c r="B36" s="19"/>
      <c r="C36" s="22" t="s">
        <v>79</v>
      </c>
      <c r="D36" s="23"/>
      <c r="E36" s="23"/>
      <c r="F36" s="23"/>
      <c r="G36" s="23"/>
      <c r="H36" s="24"/>
    </row>
    <row r="37" spans="1:8" ht="24" customHeight="1">
      <c r="A37" s="2"/>
      <c r="B37" s="2"/>
      <c r="C37" s="25"/>
      <c r="D37" s="26"/>
      <c r="E37" s="26"/>
      <c r="F37" s="26"/>
      <c r="G37" s="26"/>
      <c r="H37" s="27"/>
    </row>
    <row r="38" spans="1:8" ht="14.25" customHeight="1">
      <c r="A38" s="2"/>
      <c r="B38" s="2"/>
      <c r="C38" s="2"/>
      <c r="D38" s="2"/>
      <c r="E38" s="2"/>
      <c r="F38" s="2"/>
      <c r="G38" s="2"/>
      <c r="H38" s="2"/>
    </row>
    <row r="39" spans="1:8" ht="14.25" customHeight="1">
      <c r="A39" s="2"/>
      <c r="B39" s="2"/>
      <c r="C39" s="2"/>
      <c r="D39" s="2"/>
      <c r="E39" s="2"/>
      <c r="F39" s="2"/>
      <c r="G39" s="2"/>
      <c r="H39" s="2"/>
    </row>
    <row r="40" spans="1:8" ht="24" customHeight="1">
      <c r="A40" s="17" t="s">
        <v>85</v>
      </c>
      <c r="B40" s="18"/>
      <c r="C40" s="18"/>
      <c r="D40" s="18"/>
      <c r="E40" s="18"/>
      <c r="F40" s="18"/>
      <c r="G40" s="18"/>
      <c r="H40" s="19"/>
    </row>
    <row r="41" spans="1:8" ht="33.75" customHeight="1">
      <c r="A41" s="4" t="s">
        <v>88</v>
      </c>
      <c r="B41" s="4" t="s">
        <v>89</v>
      </c>
      <c r="C41" s="4" t="s">
        <v>90</v>
      </c>
      <c r="D41" s="4" t="s">
        <v>91</v>
      </c>
      <c r="E41" s="4" t="s">
        <v>92</v>
      </c>
      <c r="F41" s="4" t="s">
        <v>93</v>
      </c>
      <c r="G41" s="4" t="s">
        <v>94</v>
      </c>
      <c r="H41" s="4" t="s">
        <v>95</v>
      </c>
    </row>
    <row r="42" spans="1:8" ht="45" customHeight="1">
      <c r="A42" s="11" t="s">
        <v>98</v>
      </c>
      <c r="B42" s="11" t="s">
        <v>100</v>
      </c>
      <c r="C42" s="13" t="s">
        <v>102</v>
      </c>
      <c r="D42" s="13" t="s">
        <v>104</v>
      </c>
      <c r="E42" s="13" t="s">
        <v>105</v>
      </c>
      <c r="F42" s="13" t="s">
        <v>9</v>
      </c>
      <c r="G42" s="13" t="s">
        <v>0</v>
      </c>
      <c r="H42" s="13" t="s">
        <v>107</v>
      </c>
    </row>
    <row r="43" spans="1:8" ht="45" customHeight="1">
      <c r="A43" s="11" t="s">
        <v>108</v>
      </c>
      <c r="B43" s="11" t="s">
        <v>109</v>
      </c>
      <c r="C43" s="13" t="s">
        <v>110</v>
      </c>
      <c r="D43" s="13" t="s">
        <v>111</v>
      </c>
      <c r="E43" s="13" t="s">
        <v>112</v>
      </c>
      <c r="F43" s="13" t="s">
        <v>9</v>
      </c>
      <c r="G43" s="13" t="s">
        <v>114</v>
      </c>
      <c r="H43" s="13" t="s">
        <v>116</v>
      </c>
    </row>
    <row r="44" spans="1:8" ht="45" customHeight="1">
      <c r="A44" s="11" t="s">
        <v>117</v>
      </c>
      <c r="B44" s="11" t="s">
        <v>118</v>
      </c>
      <c r="C44" s="13" t="s">
        <v>119</v>
      </c>
      <c r="D44" s="13" t="s">
        <v>120</v>
      </c>
      <c r="E44" s="13" t="s">
        <v>121</v>
      </c>
      <c r="F44" s="13" t="s">
        <v>122</v>
      </c>
      <c r="G44" s="13" t="s">
        <v>8</v>
      </c>
      <c r="H44" s="13" t="s">
        <v>123</v>
      </c>
    </row>
    <row r="45" spans="1:8" ht="45" customHeight="1">
      <c r="A45" s="11" t="s">
        <v>125</v>
      </c>
      <c r="B45" s="11" t="s">
        <v>126</v>
      </c>
      <c r="C45" s="13" t="s">
        <v>127</v>
      </c>
      <c r="D45" s="13" t="s">
        <v>128</v>
      </c>
      <c r="E45" s="13" t="s">
        <v>129</v>
      </c>
      <c r="F45" s="13" t="s">
        <v>9</v>
      </c>
      <c r="G45" s="13" t="s">
        <v>7</v>
      </c>
      <c r="H45" s="13" t="s">
        <v>130</v>
      </c>
    </row>
    <row r="46" spans="1:8" ht="14.25" customHeight="1">
      <c r="A46" s="2"/>
      <c r="B46" s="2"/>
      <c r="C46" s="2"/>
      <c r="D46" s="2"/>
      <c r="E46" s="2"/>
      <c r="F46" s="2"/>
      <c r="G46" s="2"/>
      <c r="H46" s="2"/>
    </row>
    <row r="47" spans="1:8" ht="14.25" customHeight="1">
      <c r="A47" s="2"/>
      <c r="B47" s="2"/>
      <c r="C47" s="2"/>
      <c r="D47" s="2"/>
      <c r="E47" s="2"/>
      <c r="F47" s="2"/>
      <c r="G47" s="2"/>
      <c r="H47" s="2"/>
    </row>
    <row r="48" spans="1:8" ht="24" customHeight="1">
      <c r="A48" s="17" t="s">
        <v>132</v>
      </c>
      <c r="B48" s="18"/>
      <c r="C48" s="18"/>
      <c r="D48" s="18"/>
      <c r="E48" s="18"/>
      <c r="F48" s="18"/>
      <c r="G48" s="18"/>
      <c r="H48" s="19"/>
    </row>
    <row r="49" spans="1:8" ht="14.25" customHeight="1">
      <c r="A49" s="20" t="s">
        <v>135</v>
      </c>
      <c r="B49" s="15"/>
      <c r="C49" s="15"/>
      <c r="D49" s="15"/>
      <c r="E49" s="15"/>
      <c r="F49" s="15"/>
      <c r="G49" s="15"/>
      <c r="H49" s="15"/>
    </row>
    <row r="50" spans="1:8" ht="14.25" customHeight="1">
      <c r="A50" s="20" t="s">
        <v>136</v>
      </c>
      <c r="B50" s="15"/>
      <c r="C50" s="15"/>
      <c r="D50" s="15"/>
      <c r="E50" s="15"/>
      <c r="F50" s="15"/>
      <c r="G50" s="15"/>
      <c r="H50" s="15"/>
    </row>
    <row r="51" spans="1:8" ht="14.25" customHeight="1"/>
    <row r="52" spans="1:8" ht="14.25" customHeight="1"/>
    <row r="53" spans="1:8" ht="14.25" customHeight="1"/>
    <row r="54" spans="1:8" ht="14.25" customHeight="1"/>
    <row r="55" spans="1:8" ht="14.25" customHeight="1"/>
    <row r="56" spans="1:8" ht="14.25" customHeight="1"/>
    <row r="57" spans="1:8" ht="14.25" customHeight="1"/>
    <row r="58" spans="1:8" ht="14.25" customHeight="1"/>
    <row r="59" spans="1:8" ht="14.25" customHeight="1"/>
    <row r="60" spans="1:8" ht="14.25" customHeight="1"/>
    <row r="61" spans="1:8" ht="14.25" customHeight="1"/>
    <row r="62" spans="1:8" ht="14.25" customHeight="1"/>
    <row r="63" spans="1:8" ht="14.25" customHeight="1"/>
    <row r="64" spans="1:8"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A2:H2"/>
    <mergeCell ref="A4:H4"/>
    <mergeCell ref="A6:H6"/>
    <mergeCell ref="B7:H7"/>
    <mergeCell ref="B8:H8"/>
    <mergeCell ref="B9:H9"/>
    <mergeCell ref="B10:H10"/>
    <mergeCell ref="B11:H11"/>
    <mergeCell ref="B12:H12"/>
    <mergeCell ref="A14:H14"/>
    <mergeCell ref="A15:B15"/>
    <mergeCell ref="C15:H16"/>
    <mergeCell ref="A18:B18"/>
    <mergeCell ref="C18:H19"/>
    <mergeCell ref="A30:B30"/>
    <mergeCell ref="A48:H48"/>
    <mergeCell ref="A49:H49"/>
    <mergeCell ref="A50:H50"/>
    <mergeCell ref="A21:B21"/>
    <mergeCell ref="C21:H22"/>
    <mergeCell ref="A24:B24"/>
    <mergeCell ref="C24:H25"/>
    <mergeCell ref="A27:B27"/>
    <mergeCell ref="C27:H28"/>
    <mergeCell ref="C30:H31"/>
    <mergeCell ref="A33:B33"/>
    <mergeCell ref="A36:B36"/>
    <mergeCell ref="C33:H34"/>
    <mergeCell ref="C36:H37"/>
    <mergeCell ref="A40:H40"/>
  </mergeCells>
  <dataValidations count="1">
    <dataValidation type="list" allowBlank="1" sqref="B12" xr:uid="{00000000-0002-0000-0300-000000000000}">
      <formula1>"Borrador,En revisión,Aprobado"</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Product Backlog</vt:lpstr>
      <vt:lpstr>Historias de usuario</vt:lpstr>
      <vt:lpstr>Épicas y funciones</vt:lpstr>
      <vt:lpstr>Product Goal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Matías Orellana</cp:lastModifiedBy>
  <dcterms:modified xsi:type="dcterms:W3CDTF">2026-09-29T13:33:58Z</dcterms:modified>
  <dc:creator>Matías Orellana</dc:creator>
</cp:coreProperties>
</file>