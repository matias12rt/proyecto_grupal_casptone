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xr:revisionPtr revIDLastSave="0" documentId="13_ncr:1_{79154BB9-DCD4-4D51-A719-76D4A6B0D0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de trazabilidad" sheetId="1" r:id="rId1"/>
    <sheet name="Objetivos y procesos" sheetId="2" r:id="rId2"/>
    <sheet name="Requerimientos" sheetId="3" r:id="rId3"/>
    <sheet name="Historias y criterios" sheetId="4" r:id="rId4"/>
    <sheet name="Casos y evidenc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5" l="1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J83" i="4"/>
  <c r="J82" i="4"/>
  <c r="J84" i="1" s="1"/>
  <c r="J81" i="4"/>
  <c r="J83" i="1" s="1"/>
  <c r="J80" i="4"/>
  <c r="J82" i="1" s="1"/>
  <c r="J79" i="4"/>
  <c r="J81" i="1" s="1"/>
  <c r="J78" i="4"/>
  <c r="J80" i="1" s="1"/>
  <c r="J77" i="4"/>
  <c r="J79" i="1" s="1"/>
  <c r="J76" i="4"/>
  <c r="J78" i="1" s="1"/>
  <c r="J75" i="4"/>
  <c r="J77" i="1" s="1"/>
  <c r="J74" i="4"/>
  <c r="J76" i="1" s="1"/>
  <c r="J73" i="4"/>
  <c r="J75" i="1" s="1"/>
  <c r="J72" i="4"/>
  <c r="J74" i="1" s="1"/>
  <c r="J71" i="4"/>
  <c r="J73" i="1" s="1"/>
  <c r="J70" i="4"/>
  <c r="J72" i="1" s="1"/>
  <c r="J69" i="4"/>
  <c r="J71" i="1" s="1"/>
  <c r="J68" i="4"/>
  <c r="J70" i="1" s="1"/>
  <c r="J67" i="4"/>
  <c r="J66" i="4"/>
  <c r="J65" i="4"/>
  <c r="J64" i="4"/>
  <c r="J63" i="4"/>
  <c r="J62" i="4"/>
  <c r="J61" i="4"/>
  <c r="J60" i="4"/>
  <c r="J59" i="4"/>
  <c r="J58" i="4"/>
  <c r="J57" i="4"/>
  <c r="J59" i="1" s="1"/>
  <c r="J56" i="4"/>
  <c r="J58" i="1" s="1"/>
  <c r="J55" i="4"/>
  <c r="J57" i="1" s="1"/>
  <c r="J54" i="4"/>
  <c r="J56" i="1" s="1"/>
  <c r="J53" i="4"/>
  <c r="J55" i="1" s="1"/>
  <c r="J52" i="4"/>
  <c r="J54" i="1" s="1"/>
  <c r="J51" i="4"/>
  <c r="J53" i="1" s="1"/>
  <c r="J50" i="4"/>
  <c r="J52" i="1" s="1"/>
  <c r="J49" i="4"/>
  <c r="J51" i="1" s="1"/>
  <c r="J48" i="4"/>
  <c r="J50" i="1" s="1"/>
  <c r="J47" i="4"/>
  <c r="J49" i="1" s="1"/>
  <c r="J46" i="4"/>
  <c r="J48" i="1" s="1"/>
  <c r="J45" i="4"/>
  <c r="J47" i="1" s="1"/>
  <c r="J44" i="4"/>
  <c r="J46" i="1" s="1"/>
  <c r="J43" i="4"/>
  <c r="J45" i="1" s="1"/>
  <c r="J42" i="4"/>
  <c r="J44" i="1" s="1"/>
  <c r="J41" i="4"/>
  <c r="J43" i="1" s="1"/>
  <c r="J40" i="4"/>
  <c r="J39" i="4"/>
  <c r="J38" i="4"/>
  <c r="J37" i="4"/>
  <c r="J36" i="4"/>
  <c r="J35" i="4"/>
  <c r="J34" i="4"/>
  <c r="J33" i="4"/>
  <c r="J32" i="4"/>
  <c r="J31" i="4"/>
  <c r="J33" i="1" s="1"/>
  <c r="J30" i="4"/>
  <c r="J32" i="1" s="1"/>
  <c r="J29" i="4"/>
  <c r="J31" i="1" s="1"/>
  <c r="J28" i="4"/>
  <c r="J30" i="1" s="1"/>
  <c r="J27" i="4"/>
  <c r="J29" i="1" s="1"/>
  <c r="J26" i="4"/>
  <c r="J28" i="1" s="1"/>
  <c r="J25" i="4"/>
  <c r="J27" i="1" s="1"/>
  <c r="J24" i="4"/>
  <c r="J26" i="1" s="1"/>
  <c r="J23" i="4"/>
  <c r="J25" i="1" s="1"/>
  <c r="J22" i="4"/>
  <c r="J24" i="1" s="1"/>
  <c r="J21" i="4"/>
  <c r="J23" i="1" s="1"/>
  <c r="J20" i="4"/>
  <c r="J22" i="1" s="1"/>
  <c r="J19" i="4"/>
  <c r="J21" i="1" s="1"/>
  <c r="J18" i="4"/>
  <c r="J20" i="1" s="1"/>
  <c r="J17" i="4"/>
  <c r="J19" i="1" s="1"/>
  <c r="J16" i="4"/>
  <c r="J18" i="1" s="1"/>
  <c r="J15" i="4"/>
  <c r="J17" i="1" s="1"/>
  <c r="J14" i="4"/>
  <c r="J16" i="1" s="1"/>
  <c r="J13" i="4"/>
  <c r="J15" i="1" s="1"/>
  <c r="J12" i="4"/>
  <c r="J14" i="1" s="1"/>
  <c r="J11" i="4"/>
  <c r="J13" i="1" s="1"/>
  <c r="J10" i="4"/>
  <c r="J12" i="1" s="1"/>
  <c r="J9" i="4"/>
  <c r="J11" i="1" s="1"/>
  <c r="J8" i="4"/>
  <c r="J10" i="1" s="1"/>
  <c r="J7" i="4"/>
  <c r="J9" i="1" s="1"/>
  <c r="J6" i="4"/>
  <c r="J8" i="1" s="1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Q85" i="1"/>
  <c r="P85" i="1"/>
  <c r="O85" i="1"/>
  <c r="B85" i="1" s="1"/>
  <c r="N85" i="1"/>
  <c r="L85" i="1"/>
  <c r="J85" i="1"/>
  <c r="I85" i="1"/>
  <c r="H85" i="1"/>
  <c r="E85" i="1"/>
  <c r="F85" i="1" s="1"/>
  <c r="C85" i="1"/>
  <c r="D85" i="1" s="1"/>
  <c r="Q84" i="1"/>
  <c r="P84" i="1"/>
  <c r="O84" i="1"/>
  <c r="N84" i="1"/>
  <c r="L84" i="1"/>
  <c r="I84" i="1"/>
  <c r="H84" i="1"/>
  <c r="E84" i="1"/>
  <c r="F84" i="1" s="1"/>
  <c r="C84" i="1"/>
  <c r="D84" i="1" s="1"/>
  <c r="B84" i="1"/>
  <c r="Q83" i="1"/>
  <c r="P83" i="1"/>
  <c r="O83" i="1"/>
  <c r="N83" i="1"/>
  <c r="L83" i="1"/>
  <c r="I83" i="1"/>
  <c r="H83" i="1"/>
  <c r="E83" i="1"/>
  <c r="F83" i="1" s="1"/>
  <c r="C83" i="1"/>
  <c r="D83" i="1" s="1"/>
  <c r="B83" i="1"/>
  <c r="Q82" i="1"/>
  <c r="P82" i="1"/>
  <c r="O82" i="1"/>
  <c r="B82" i="1" s="1"/>
  <c r="N82" i="1"/>
  <c r="L82" i="1"/>
  <c r="I82" i="1"/>
  <c r="H82" i="1"/>
  <c r="E82" i="1"/>
  <c r="F82" i="1" s="1"/>
  <c r="C82" i="1"/>
  <c r="D82" i="1" s="1"/>
  <c r="Q81" i="1"/>
  <c r="P81" i="1"/>
  <c r="O81" i="1"/>
  <c r="N81" i="1"/>
  <c r="L81" i="1"/>
  <c r="I81" i="1"/>
  <c r="H81" i="1"/>
  <c r="E81" i="1"/>
  <c r="F81" i="1" s="1"/>
  <c r="C81" i="1"/>
  <c r="D81" i="1" s="1"/>
  <c r="B81" i="1"/>
  <c r="Q80" i="1"/>
  <c r="P80" i="1"/>
  <c r="O80" i="1"/>
  <c r="N80" i="1"/>
  <c r="L80" i="1"/>
  <c r="I80" i="1"/>
  <c r="H80" i="1"/>
  <c r="E80" i="1"/>
  <c r="F80" i="1" s="1"/>
  <c r="C80" i="1"/>
  <c r="D80" i="1" s="1"/>
  <c r="B80" i="1"/>
  <c r="Q79" i="1"/>
  <c r="P79" i="1"/>
  <c r="O79" i="1"/>
  <c r="N79" i="1"/>
  <c r="L79" i="1"/>
  <c r="I79" i="1"/>
  <c r="H79" i="1"/>
  <c r="E79" i="1"/>
  <c r="F79" i="1" s="1"/>
  <c r="C79" i="1"/>
  <c r="D79" i="1" s="1"/>
  <c r="B79" i="1"/>
  <c r="Q78" i="1"/>
  <c r="P78" i="1"/>
  <c r="O78" i="1"/>
  <c r="N78" i="1"/>
  <c r="L78" i="1"/>
  <c r="I78" i="1"/>
  <c r="H78" i="1"/>
  <c r="E78" i="1"/>
  <c r="F78" i="1" s="1"/>
  <c r="C78" i="1"/>
  <c r="D78" i="1" s="1"/>
  <c r="B78" i="1"/>
  <c r="Q77" i="1"/>
  <c r="P77" i="1"/>
  <c r="O77" i="1"/>
  <c r="N77" i="1"/>
  <c r="L77" i="1"/>
  <c r="I77" i="1"/>
  <c r="H77" i="1"/>
  <c r="E77" i="1"/>
  <c r="F77" i="1" s="1"/>
  <c r="C77" i="1"/>
  <c r="D77" i="1" s="1"/>
  <c r="B77" i="1"/>
  <c r="Q76" i="1"/>
  <c r="P76" i="1"/>
  <c r="O76" i="1"/>
  <c r="N76" i="1"/>
  <c r="L76" i="1"/>
  <c r="I76" i="1"/>
  <c r="H76" i="1"/>
  <c r="E76" i="1"/>
  <c r="F76" i="1" s="1"/>
  <c r="C76" i="1"/>
  <c r="D76" i="1" s="1"/>
  <c r="B76" i="1"/>
  <c r="Q75" i="1"/>
  <c r="P75" i="1"/>
  <c r="O75" i="1"/>
  <c r="N75" i="1"/>
  <c r="L75" i="1"/>
  <c r="I75" i="1"/>
  <c r="H75" i="1"/>
  <c r="E75" i="1"/>
  <c r="F75" i="1" s="1"/>
  <c r="C75" i="1"/>
  <c r="D75" i="1" s="1"/>
  <c r="B75" i="1"/>
  <c r="Q74" i="1"/>
  <c r="P74" i="1"/>
  <c r="O74" i="1"/>
  <c r="N74" i="1"/>
  <c r="L74" i="1"/>
  <c r="I74" i="1"/>
  <c r="H74" i="1"/>
  <c r="E74" i="1"/>
  <c r="F74" i="1" s="1"/>
  <c r="C74" i="1"/>
  <c r="D74" i="1" s="1"/>
  <c r="B74" i="1"/>
  <c r="Q73" i="1"/>
  <c r="P73" i="1"/>
  <c r="O73" i="1"/>
  <c r="N73" i="1"/>
  <c r="L73" i="1"/>
  <c r="I73" i="1"/>
  <c r="H73" i="1"/>
  <c r="E73" i="1"/>
  <c r="F73" i="1" s="1"/>
  <c r="C73" i="1"/>
  <c r="D73" i="1" s="1"/>
  <c r="B73" i="1"/>
  <c r="Q72" i="1"/>
  <c r="P72" i="1"/>
  <c r="O72" i="1"/>
  <c r="N72" i="1"/>
  <c r="L72" i="1"/>
  <c r="I72" i="1"/>
  <c r="H72" i="1"/>
  <c r="E72" i="1"/>
  <c r="F72" i="1" s="1"/>
  <c r="C72" i="1"/>
  <c r="D72" i="1" s="1"/>
  <c r="B72" i="1"/>
  <c r="Q71" i="1"/>
  <c r="P71" i="1"/>
  <c r="O71" i="1"/>
  <c r="N71" i="1"/>
  <c r="L71" i="1"/>
  <c r="I71" i="1"/>
  <c r="H71" i="1"/>
  <c r="E71" i="1"/>
  <c r="F71" i="1" s="1"/>
  <c r="C71" i="1"/>
  <c r="D71" i="1" s="1"/>
  <c r="B71" i="1"/>
  <c r="Q70" i="1"/>
  <c r="P70" i="1"/>
  <c r="O70" i="1"/>
  <c r="N70" i="1"/>
  <c r="L70" i="1"/>
  <c r="I70" i="1"/>
  <c r="H70" i="1"/>
  <c r="E70" i="1"/>
  <c r="F70" i="1" s="1"/>
  <c r="C70" i="1"/>
  <c r="D70" i="1" s="1"/>
  <c r="B70" i="1"/>
  <c r="Q69" i="1"/>
  <c r="P69" i="1"/>
  <c r="O69" i="1"/>
  <c r="N69" i="1"/>
  <c r="L69" i="1"/>
  <c r="J69" i="1"/>
  <c r="I69" i="1"/>
  <c r="H69" i="1"/>
  <c r="E69" i="1"/>
  <c r="F69" i="1" s="1"/>
  <c r="C69" i="1"/>
  <c r="D69" i="1" s="1"/>
  <c r="B69" i="1"/>
  <c r="Q68" i="1"/>
  <c r="P68" i="1"/>
  <c r="O68" i="1"/>
  <c r="N68" i="1"/>
  <c r="L68" i="1"/>
  <c r="J68" i="1"/>
  <c r="I68" i="1"/>
  <c r="H68" i="1"/>
  <c r="E68" i="1"/>
  <c r="F68" i="1" s="1"/>
  <c r="C68" i="1"/>
  <c r="D68" i="1" s="1"/>
  <c r="B68" i="1"/>
  <c r="Q67" i="1"/>
  <c r="P67" i="1"/>
  <c r="O67" i="1"/>
  <c r="N67" i="1"/>
  <c r="L67" i="1"/>
  <c r="J67" i="1"/>
  <c r="I67" i="1"/>
  <c r="H67" i="1"/>
  <c r="E67" i="1"/>
  <c r="F67" i="1" s="1"/>
  <c r="C67" i="1"/>
  <c r="D67" i="1" s="1"/>
  <c r="B67" i="1"/>
  <c r="Q66" i="1"/>
  <c r="P66" i="1"/>
  <c r="O66" i="1"/>
  <c r="N66" i="1"/>
  <c r="L66" i="1"/>
  <c r="J66" i="1"/>
  <c r="I66" i="1"/>
  <c r="H66" i="1"/>
  <c r="E66" i="1"/>
  <c r="F66" i="1" s="1"/>
  <c r="C66" i="1"/>
  <c r="D66" i="1" s="1"/>
  <c r="B66" i="1"/>
  <c r="Q65" i="1"/>
  <c r="P65" i="1"/>
  <c r="O65" i="1"/>
  <c r="N65" i="1"/>
  <c r="L65" i="1"/>
  <c r="J65" i="1"/>
  <c r="I65" i="1"/>
  <c r="H65" i="1"/>
  <c r="E65" i="1"/>
  <c r="F65" i="1" s="1"/>
  <c r="C65" i="1"/>
  <c r="D65" i="1" s="1"/>
  <c r="B65" i="1"/>
  <c r="Q64" i="1"/>
  <c r="P64" i="1"/>
  <c r="O64" i="1"/>
  <c r="N64" i="1"/>
  <c r="L64" i="1"/>
  <c r="J64" i="1"/>
  <c r="I64" i="1"/>
  <c r="H64" i="1"/>
  <c r="E64" i="1"/>
  <c r="F64" i="1" s="1"/>
  <c r="C64" i="1"/>
  <c r="D64" i="1" s="1"/>
  <c r="B64" i="1"/>
  <c r="Q63" i="1"/>
  <c r="P63" i="1"/>
  <c r="O63" i="1"/>
  <c r="N63" i="1"/>
  <c r="L63" i="1"/>
  <c r="J63" i="1"/>
  <c r="I63" i="1"/>
  <c r="H63" i="1"/>
  <c r="E63" i="1"/>
  <c r="F63" i="1" s="1"/>
  <c r="C63" i="1"/>
  <c r="D63" i="1" s="1"/>
  <c r="B63" i="1"/>
  <c r="Q62" i="1"/>
  <c r="P62" i="1"/>
  <c r="O62" i="1"/>
  <c r="N62" i="1"/>
  <c r="L62" i="1"/>
  <c r="J62" i="1"/>
  <c r="I62" i="1"/>
  <c r="H62" i="1"/>
  <c r="E62" i="1"/>
  <c r="F62" i="1" s="1"/>
  <c r="C62" i="1"/>
  <c r="D62" i="1" s="1"/>
  <c r="B62" i="1"/>
  <c r="Q61" i="1"/>
  <c r="P61" i="1"/>
  <c r="O61" i="1"/>
  <c r="N61" i="1"/>
  <c r="L61" i="1"/>
  <c r="J61" i="1"/>
  <c r="I61" i="1"/>
  <c r="H61" i="1"/>
  <c r="E61" i="1"/>
  <c r="F61" i="1" s="1"/>
  <c r="C61" i="1"/>
  <c r="D61" i="1" s="1"/>
  <c r="B61" i="1"/>
  <c r="Q60" i="1"/>
  <c r="P60" i="1"/>
  <c r="O60" i="1"/>
  <c r="N60" i="1"/>
  <c r="L60" i="1"/>
  <c r="J60" i="1"/>
  <c r="I60" i="1"/>
  <c r="H60" i="1"/>
  <c r="E60" i="1"/>
  <c r="F60" i="1" s="1"/>
  <c r="C60" i="1"/>
  <c r="D60" i="1" s="1"/>
  <c r="B60" i="1"/>
  <c r="Q59" i="1"/>
  <c r="P59" i="1"/>
  <c r="O59" i="1"/>
  <c r="B59" i="1" s="1"/>
  <c r="N59" i="1"/>
  <c r="L59" i="1"/>
  <c r="I59" i="1"/>
  <c r="H59" i="1"/>
  <c r="E59" i="1"/>
  <c r="F59" i="1" s="1"/>
  <c r="C59" i="1"/>
  <c r="D59" i="1" s="1"/>
  <c r="Q58" i="1"/>
  <c r="P58" i="1"/>
  <c r="O58" i="1"/>
  <c r="N58" i="1"/>
  <c r="L58" i="1"/>
  <c r="I58" i="1"/>
  <c r="H58" i="1"/>
  <c r="E58" i="1"/>
  <c r="F58" i="1" s="1"/>
  <c r="C58" i="1"/>
  <c r="D58" i="1" s="1"/>
  <c r="B58" i="1"/>
  <c r="Q57" i="1"/>
  <c r="P57" i="1"/>
  <c r="O57" i="1"/>
  <c r="B57" i="1" s="1"/>
  <c r="N57" i="1"/>
  <c r="L57" i="1"/>
  <c r="I57" i="1"/>
  <c r="H57" i="1"/>
  <c r="E57" i="1"/>
  <c r="F57" i="1" s="1"/>
  <c r="C57" i="1"/>
  <c r="D57" i="1" s="1"/>
  <c r="Q56" i="1"/>
  <c r="P56" i="1"/>
  <c r="O56" i="1"/>
  <c r="N56" i="1"/>
  <c r="L56" i="1"/>
  <c r="I56" i="1"/>
  <c r="H56" i="1"/>
  <c r="E56" i="1"/>
  <c r="F56" i="1" s="1"/>
  <c r="C56" i="1"/>
  <c r="D56" i="1" s="1"/>
  <c r="B56" i="1"/>
  <c r="Q55" i="1"/>
  <c r="P55" i="1"/>
  <c r="O55" i="1"/>
  <c r="N55" i="1"/>
  <c r="L55" i="1"/>
  <c r="I55" i="1"/>
  <c r="H55" i="1"/>
  <c r="E55" i="1"/>
  <c r="F55" i="1" s="1"/>
  <c r="C55" i="1"/>
  <c r="D55" i="1" s="1"/>
  <c r="B55" i="1"/>
  <c r="Q54" i="1"/>
  <c r="P54" i="1"/>
  <c r="O54" i="1"/>
  <c r="N54" i="1"/>
  <c r="L54" i="1"/>
  <c r="I54" i="1"/>
  <c r="H54" i="1"/>
  <c r="E54" i="1"/>
  <c r="F54" i="1" s="1"/>
  <c r="C54" i="1"/>
  <c r="D54" i="1" s="1"/>
  <c r="B54" i="1"/>
  <c r="Q53" i="1"/>
  <c r="P53" i="1"/>
  <c r="O53" i="1"/>
  <c r="N53" i="1"/>
  <c r="L53" i="1"/>
  <c r="I53" i="1"/>
  <c r="H53" i="1"/>
  <c r="E53" i="1"/>
  <c r="F53" i="1" s="1"/>
  <c r="C53" i="1"/>
  <c r="D53" i="1" s="1"/>
  <c r="B53" i="1"/>
  <c r="Q52" i="1"/>
  <c r="P52" i="1"/>
  <c r="O52" i="1"/>
  <c r="N52" i="1"/>
  <c r="L52" i="1"/>
  <c r="I52" i="1"/>
  <c r="H52" i="1"/>
  <c r="E52" i="1"/>
  <c r="F52" i="1" s="1"/>
  <c r="C52" i="1"/>
  <c r="D52" i="1" s="1"/>
  <c r="B52" i="1"/>
  <c r="Q51" i="1"/>
  <c r="P51" i="1"/>
  <c r="O51" i="1"/>
  <c r="N51" i="1"/>
  <c r="L51" i="1"/>
  <c r="I51" i="1"/>
  <c r="H51" i="1"/>
  <c r="E51" i="1"/>
  <c r="F51" i="1" s="1"/>
  <c r="C51" i="1"/>
  <c r="D51" i="1" s="1"/>
  <c r="B51" i="1"/>
  <c r="Q50" i="1"/>
  <c r="P50" i="1"/>
  <c r="O50" i="1"/>
  <c r="N50" i="1"/>
  <c r="L50" i="1"/>
  <c r="I50" i="1"/>
  <c r="H50" i="1"/>
  <c r="E50" i="1"/>
  <c r="F50" i="1" s="1"/>
  <c r="C50" i="1"/>
  <c r="D50" i="1" s="1"/>
  <c r="B50" i="1"/>
  <c r="Q49" i="1"/>
  <c r="P49" i="1"/>
  <c r="O49" i="1"/>
  <c r="N49" i="1"/>
  <c r="L49" i="1"/>
  <c r="I49" i="1"/>
  <c r="H49" i="1"/>
  <c r="E49" i="1"/>
  <c r="F49" i="1" s="1"/>
  <c r="C49" i="1"/>
  <c r="D49" i="1" s="1"/>
  <c r="B49" i="1"/>
  <c r="Q48" i="1"/>
  <c r="P48" i="1"/>
  <c r="O48" i="1"/>
  <c r="N48" i="1"/>
  <c r="L48" i="1"/>
  <c r="I48" i="1"/>
  <c r="H48" i="1"/>
  <c r="E48" i="1"/>
  <c r="F48" i="1" s="1"/>
  <c r="C48" i="1"/>
  <c r="D48" i="1" s="1"/>
  <c r="B48" i="1"/>
  <c r="Q47" i="1"/>
  <c r="P47" i="1"/>
  <c r="O47" i="1"/>
  <c r="N47" i="1"/>
  <c r="L47" i="1"/>
  <c r="I47" i="1"/>
  <c r="H47" i="1"/>
  <c r="E47" i="1"/>
  <c r="F47" i="1" s="1"/>
  <c r="C47" i="1"/>
  <c r="D47" i="1" s="1"/>
  <c r="B47" i="1"/>
  <c r="Q46" i="1"/>
  <c r="P46" i="1"/>
  <c r="O46" i="1"/>
  <c r="N46" i="1"/>
  <c r="L46" i="1"/>
  <c r="I46" i="1"/>
  <c r="H46" i="1"/>
  <c r="E46" i="1"/>
  <c r="F46" i="1" s="1"/>
  <c r="C46" i="1"/>
  <c r="D46" i="1" s="1"/>
  <c r="B46" i="1"/>
  <c r="Q45" i="1"/>
  <c r="P45" i="1"/>
  <c r="O45" i="1"/>
  <c r="N45" i="1"/>
  <c r="L45" i="1"/>
  <c r="I45" i="1"/>
  <c r="H45" i="1"/>
  <c r="E45" i="1"/>
  <c r="F45" i="1" s="1"/>
  <c r="C45" i="1"/>
  <c r="D45" i="1" s="1"/>
  <c r="B45" i="1"/>
  <c r="Q44" i="1"/>
  <c r="P44" i="1"/>
  <c r="O44" i="1"/>
  <c r="N44" i="1"/>
  <c r="L44" i="1"/>
  <c r="I44" i="1"/>
  <c r="H44" i="1"/>
  <c r="E44" i="1"/>
  <c r="F44" i="1" s="1"/>
  <c r="C44" i="1"/>
  <c r="D44" i="1" s="1"/>
  <c r="B44" i="1"/>
  <c r="Q43" i="1"/>
  <c r="P43" i="1"/>
  <c r="O43" i="1"/>
  <c r="N43" i="1"/>
  <c r="L43" i="1"/>
  <c r="I43" i="1"/>
  <c r="H43" i="1"/>
  <c r="E43" i="1"/>
  <c r="F43" i="1" s="1"/>
  <c r="C43" i="1"/>
  <c r="D43" i="1" s="1"/>
  <c r="B43" i="1"/>
  <c r="Q42" i="1"/>
  <c r="P42" i="1"/>
  <c r="O42" i="1"/>
  <c r="N42" i="1"/>
  <c r="L42" i="1"/>
  <c r="J42" i="1"/>
  <c r="I42" i="1"/>
  <c r="H42" i="1"/>
  <c r="E42" i="1"/>
  <c r="F42" i="1" s="1"/>
  <c r="C42" i="1"/>
  <c r="D42" i="1" s="1"/>
  <c r="B42" i="1"/>
  <c r="Q41" i="1"/>
  <c r="P41" i="1"/>
  <c r="O41" i="1"/>
  <c r="N41" i="1"/>
  <c r="L41" i="1"/>
  <c r="J41" i="1"/>
  <c r="I41" i="1"/>
  <c r="H41" i="1"/>
  <c r="E41" i="1"/>
  <c r="F41" i="1" s="1"/>
  <c r="C41" i="1"/>
  <c r="D41" i="1" s="1"/>
  <c r="B41" i="1"/>
  <c r="Q40" i="1"/>
  <c r="P40" i="1"/>
  <c r="O40" i="1"/>
  <c r="N40" i="1"/>
  <c r="L40" i="1"/>
  <c r="J40" i="1"/>
  <c r="I40" i="1"/>
  <c r="H40" i="1"/>
  <c r="E40" i="1"/>
  <c r="F40" i="1" s="1"/>
  <c r="C40" i="1"/>
  <c r="D40" i="1" s="1"/>
  <c r="B40" i="1"/>
  <c r="Q39" i="1"/>
  <c r="P39" i="1"/>
  <c r="O39" i="1"/>
  <c r="N39" i="1"/>
  <c r="L39" i="1"/>
  <c r="J39" i="1"/>
  <c r="I39" i="1"/>
  <c r="H39" i="1"/>
  <c r="E39" i="1"/>
  <c r="F39" i="1" s="1"/>
  <c r="C39" i="1"/>
  <c r="D39" i="1" s="1"/>
  <c r="B39" i="1"/>
  <c r="Q38" i="1"/>
  <c r="P38" i="1"/>
  <c r="O38" i="1"/>
  <c r="N38" i="1"/>
  <c r="L38" i="1"/>
  <c r="J38" i="1"/>
  <c r="I38" i="1"/>
  <c r="H38" i="1"/>
  <c r="E38" i="1"/>
  <c r="F38" i="1" s="1"/>
  <c r="C38" i="1"/>
  <c r="D38" i="1" s="1"/>
  <c r="B38" i="1"/>
  <c r="Q37" i="1"/>
  <c r="P37" i="1"/>
  <c r="O37" i="1"/>
  <c r="N37" i="1"/>
  <c r="L37" i="1"/>
  <c r="J37" i="1"/>
  <c r="I37" i="1"/>
  <c r="H37" i="1"/>
  <c r="E37" i="1"/>
  <c r="F37" i="1" s="1"/>
  <c r="C37" i="1"/>
  <c r="D37" i="1" s="1"/>
  <c r="B37" i="1"/>
  <c r="Q36" i="1"/>
  <c r="P36" i="1"/>
  <c r="O36" i="1"/>
  <c r="N36" i="1"/>
  <c r="L36" i="1"/>
  <c r="J36" i="1"/>
  <c r="I36" i="1"/>
  <c r="H36" i="1"/>
  <c r="E36" i="1"/>
  <c r="F36" i="1" s="1"/>
  <c r="C36" i="1"/>
  <c r="D36" i="1" s="1"/>
  <c r="B36" i="1"/>
  <c r="Q35" i="1"/>
  <c r="P35" i="1"/>
  <c r="O35" i="1"/>
  <c r="N35" i="1"/>
  <c r="L35" i="1"/>
  <c r="J35" i="1"/>
  <c r="I35" i="1"/>
  <c r="H35" i="1"/>
  <c r="E35" i="1"/>
  <c r="F35" i="1" s="1"/>
  <c r="C35" i="1"/>
  <c r="D35" i="1" s="1"/>
  <c r="B35" i="1"/>
  <c r="Q34" i="1"/>
  <c r="P34" i="1"/>
  <c r="O34" i="1"/>
  <c r="N34" i="1"/>
  <c r="L34" i="1"/>
  <c r="J34" i="1"/>
  <c r="I34" i="1"/>
  <c r="H34" i="1"/>
  <c r="E34" i="1"/>
  <c r="F34" i="1" s="1"/>
  <c r="C34" i="1"/>
  <c r="D34" i="1" s="1"/>
  <c r="Q33" i="1"/>
  <c r="P33" i="1"/>
  <c r="O33" i="1"/>
  <c r="N33" i="1"/>
  <c r="L33" i="1"/>
  <c r="I33" i="1"/>
  <c r="H33" i="1"/>
  <c r="E33" i="1"/>
  <c r="F33" i="1" s="1"/>
  <c r="C33" i="1"/>
  <c r="D33" i="1" s="1"/>
  <c r="B33" i="1"/>
  <c r="Q32" i="1"/>
  <c r="P32" i="1"/>
  <c r="O32" i="1"/>
  <c r="B32" i="1" s="1"/>
  <c r="N32" i="1"/>
  <c r="L32" i="1"/>
  <c r="I32" i="1"/>
  <c r="H32" i="1"/>
  <c r="E32" i="1"/>
  <c r="F32" i="1" s="1"/>
  <c r="C32" i="1"/>
  <c r="D32" i="1" s="1"/>
  <c r="Q31" i="1"/>
  <c r="P31" i="1"/>
  <c r="O31" i="1"/>
  <c r="N31" i="1"/>
  <c r="L31" i="1"/>
  <c r="I31" i="1"/>
  <c r="H31" i="1"/>
  <c r="E31" i="1"/>
  <c r="F31" i="1" s="1"/>
  <c r="C31" i="1"/>
  <c r="D31" i="1" s="1"/>
  <c r="B31" i="1"/>
  <c r="Q30" i="1"/>
  <c r="P30" i="1"/>
  <c r="O30" i="1"/>
  <c r="N30" i="1"/>
  <c r="L30" i="1"/>
  <c r="I30" i="1"/>
  <c r="H30" i="1"/>
  <c r="E30" i="1"/>
  <c r="F30" i="1" s="1"/>
  <c r="C30" i="1"/>
  <c r="D30" i="1" s="1"/>
  <c r="B30" i="1"/>
  <c r="Q29" i="1"/>
  <c r="P29" i="1"/>
  <c r="O29" i="1"/>
  <c r="N29" i="1"/>
  <c r="L29" i="1"/>
  <c r="I29" i="1"/>
  <c r="H29" i="1"/>
  <c r="E29" i="1"/>
  <c r="F29" i="1" s="1"/>
  <c r="C29" i="1"/>
  <c r="D29" i="1" s="1"/>
  <c r="B29" i="1"/>
  <c r="Q28" i="1"/>
  <c r="P28" i="1"/>
  <c r="O28" i="1"/>
  <c r="N28" i="1"/>
  <c r="L28" i="1"/>
  <c r="I28" i="1"/>
  <c r="H28" i="1"/>
  <c r="E28" i="1"/>
  <c r="F28" i="1" s="1"/>
  <c r="C28" i="1"/>
  <c r="D28" i="1" s="1"/>
  <c r="B28" i="1"/>
  <c r="Q27" i="1"/>
  <c r="P27" i="1"/>
  <c r="O27" i="1"/>
  <c r="N27" i="1"/>
  <c r="L27" i="1"/>
  <c r="I27" i="1"/>
  <c r="H27" i="1"/>
  <c r="E27" i="1"/>
  <c r="F27" i="1" s="1"/>
  <c r="C27" i="1"/>
  <c r="D27" i="1" s="1"/>
  <c r="B27" i="1"/>
  <c r="Q26" i="1"/>
  <c r="P26" i="1"/>
  <c r="O26" i="1"/>
  <c r="N26" i="1"/>
  <c r="L26" i="1"/>
  <c r="I26" i="1"/>
  <c r="H26" i="1"/>
  <c r="E26" i="1"/>
  <c r="F26" i="1" s="1"/>
  <c r="C26" i="1"/>
  <c r="D26" i="1" s="1"/>
  <c r="B26" i="1"/>
  <c r="Q25" i="1"/>
  <c r="P25" i="1"/>
  <c r="O25" i="1"/>
  <c r="N25" i="1"/>
  <c r="L25" i="1"/>
  <c r="I25" i="1"/>
  <c r="H25" i="1"/>
  <c r="E25" i="1"/>
  <c r="F25" i="1" s="1"/>
  <c r="C25" i="1"/>
  <c r="D25" i="1" s="1"/>
  <c r="B25" i="1"/>
  <c r="Q24" i="1"/>
  <c r="P24" i="1"/>
  <c r="O24" i="1"/>
  <c r="N24" i="1"/>
  <c r="L24" i="1"/>
  <c r="I24" i="1"/>
  <c r="H24" i="1"/>
  <c r="E24" i="1"/>
  <c r="F24" i="1" s="1"/>
  <c r="C24" i="1"/>
  <c r="D24" i="1" s="1"/>
  <c r="B24" i="1"/>
  <c r="Q23" i="1"/>
  <c r="P23" i="1"/>
  <c r="O23" i="1"/>
  <c r="N23" i="1"/>
  <c r="L23" i="1"/>
  <c r="I23" i="1"/>
  <c r="H23" i="1"/>
  <c r="E23" i="1"/>
  <c r="F23" i="1" s="1"/>
  <c r="C23" i="1"/>
  <c r="D23" i="1" s="1"/>
  <c r="B23" i="1"/>
  <c r="Q22" i="1"/>
  <c r="P22" i="1"/>
  <c r="O22" i="1"/>
  <c r="N22" i="1"/>
  <c r="L22" i="1"/>
  <c r="I22" i="1"/>
  <c r="H22" i="1"/>
  <c r="E22" i="1"/>
  <c r="F22" i="1" s="1"/>
  <c r="C22" i="1"/>
  <c r="D22" i="1" s="1"/>
  <c r="B22" i="1"/>
  <c r="Q21" i="1"/>
  <c r="P21" i="1"/>
  <c r="O21" i="1"/>
  <c r="N21" i="1"/>
  <c r="L21" i="1"/>
  <c r="I21" i="1"/>
  <c r="H21" i="1"/>
  <c r="E21" i="1"/>
  <c r="F21" i="1" s="1"/>
  <c r="C21" i="1"/>
  <c r="D21" i="1" s="1"/>
  <c r="B21" i="1"/>
  <c r="Q20" i="1"/>
  <c r="P20" i="1"/>
  <c r="O20" i="1"/>
  <c r="N20" i="1"/>
  <c r="L20" i="1"/>
  <c r="I20" i="1"/>
  <c r="H20" i="1"/>
  <c r="E20" i="1"/>
  <c r="F20" i="1" s="1"/>
  <c r="C20" i="1"/>
  <c r="D20" i="1" s="1"/>
  <c r="B20" i="1"/>
  <c r="Q19" i="1"/>
  <c r="P19" i="1"/>
  <c r="O19" i="1"/>
  <c r="N19" i="1"/>
  <c r="L19" i="1"/>
  <c r="I19" i="1"/>
  <c r="H19" i="1"/>
  <c r="E19" i="1"/>
  <c r="F19" i="1" s="1"/>
  <c r="C19" i="1"/>
  <c r="D19" i="1" s="1"/>
  <c r="B19" i="1"/>
  <c r="Q18" i="1"/>
  <c r="P18" i="1"/>
  <c r="O18" i="1"/>
  <c r="N18" i="1"/>
  <c r="L18" i="1"/>
  <c r="I18" i="1"/>
  <c r="H18" i="1"/>
  <c r="E18" i="1"/>
  <c r="F18" i="1" s="1"/>
  <c r="C18" i="1"/>
  <c r="D18" i="1" s="1"/>
  <c r="B18" i="1"/>
  <c r="Q17" i="1"/>
  <c r="P17" i="1"/>
  <c r="O17" i="1"/>
  <c r="N17" i="1"/>
  <c r="L17" i="1"/>
  <c r="I17" i="1"/>
  <c r="H17" i="1"/>
  <c r="E17" i="1"/>
  <c r="F17" i="1" s="1"/>
  <c r="C17" i="1"/>
  <c r="D17" i="1" s="1"/>
  <c r="B17" i="1"/>
  <c r="Q16" i="1"/>
  <c r="P16" i="1"/>
  <c r="O16" i="1"/>
  <c r="N16" i="1"/>
  <c r="L16" i="1"/>
  <c r="I16" i="1"/>
  <c r="H16" i="1"/>
  <c r="E16" i="1"/>
  <c r="F16" i="1" s="1"/>
  <c r="C16" i="1"/>
  <c r="D16" i="1" s="1"/>
  <c r="B16" i="1"/>
  <c r="Q15" i="1"/>
  <c r="P15" i="1"/>
  <c r="O15" i="1"/>
  <c r="N15" i="1"/>
  <c r="L15" i="1"/>
  <c r="I15" i="1"/>
  <c r="H15" i="1"/>
  <c r="E15" i="1"/>
  <c r="F15" i="1" s="1"/>
  <c r="C15" i="1"/>
  <c r="D15" i="1" s="1"/>
  <c r="B15" i="1"/>
  <c r="Q14" i="1"/>
  <c r="P14" i="1"/>
  <c r="O14" i="1"/>
  <c r="N14" i="1"/>
  <c r="L14" i="1"/>
  <c r="I14" i="1"/>
  <c r="H14" i="1"/>
  <c r="E14" i="1"/>
  <c r="F14" i="1" s="1"/>
  <c r="C14" i="1"/>
  <c r="D14" i="1" s="1"/>
  <c r="B14" i="1"/>
  <c r="Q13" i="1"/>
  <c r="P13" i="1"/>
  <c r="O13" i="1"/>
  <c r="N13" i="1"/>
  <c r="L13" i="1"/>
  <c r="I13" i="1"/>
  <c r="H13" i="1"/>
  <c r="E13" i="1"/>
  <c r="F13" i="1" s="1"/>
  <c r="C13" i="1"/>
  <c r="D13" i="1" s="1"/>
  <c r="B13" i="1"/>
  <c r="Q12" i="1"/>
  <c r="P12" i="1"/>
  <c r="O12" i="1"/>
  <c r="N12" i="1"/>
  <c r="L12" i="1"/>
  <c r="I12" i="1"/>
  <c r="H12" i="1"/>
  <c r="E12" i="1"/>
  <c r="F12" i="1" s="1"/>
  <c r="C12" i="1"/>
  <c r="D12" i="1" s="1"/>
  <c r="B12" i="1"/>
  <c r="Q11" i="1"/>
  <c r="P11" i="1"/>
  <c r="O11" i="1"/>
  <c r="N11" i="1"/>
  <c r="L11" i="1"/>
  <c r="I11" i="1"/>
  <c r="H11" i="1"/>
  <c r="E11" i="1"/>
  <c r="F11" i="1" s="1"/>
  <c r="C11" i="1"/>
  <c r="D11" i="1" s="1"/>
  <c r="B11" i="1"/>
  <c r="Q10" i="1"/>
  <c r="P10" i="1"/>
  <c r="O10" i="1"/>
  <c r="N10" i="1"/>
  <c r="L10" i="1"/>
  <c r="I10" i="1"/>
  <c r="H10" i="1"/>
  <c r="E10" i="1"/>
  <c r="F10" i="1" s="1"/>
  <c r="C10" i="1"/>
  <c r="D10" i="1" s="1"/>
  <c r="B10" i="1"/>
  <c r="Q9" i="1"/>
  <c r="P9" i="1"/>
  <c r="O9" i="1"/>
  <c r="N9" i="1"/>
  <c r="L9" i="1"/>
  <c r="I9" i="1"/>
  <c r="H9" i="1"/>
  <c r="E9" i="1"/>
  <c r="F9" i="1" s="1"/>
  <c r="C9" i="1"/>
  <c r="D9" i="1" s="1"/>
  <c r="B9" i="1"/>
  <c r="Q8" i="1"/>
  <c r="P8" i="1"/>
  <c r="O8" i="1"/>
  <c r="N8" i="1"/>
  <c r="L8" i="1"/>
  <c r="I8" i="1"/>
  <c r="H8" i="1"/>
  <c r="E8" i="1"/>
  <c r="F8" i="1" s="1"/>
  <c r="C8" i="1"/>
  <c r="D8" i="1" s="1"/>
  <c r="B8" i="1"/>
  <c r="C5" i="1"/>
  <c r="B34" i="1" l="1"/>
  <c r="K5" i="1"/>
  <c r="I5" i="1"/>
  <c r="G5" i="1" l="1"/>
  <c r="E5" i="1"/>
</calcChain>
</file>

<file path=xl/sharedStrings.xml><?xml version="1.0" encoding="utf-8"?>
<sst xmlns="http://schemas.openxmlformats.org/spreadsheetml/2006/main" count="2588" uniqueCount="955">
  <si>
    <t>Matriz de trazabilidad</t>
  </si>
  <si>
    <t>Seleccione los códigos amarillos. Las descripciones y el estado de cobertura se completan automáticamente desde las hojas de apoyo.</t>
  </si>
  <si>
    <t>Resumen</t>
  </si>
  <si>
    <t>Relaciones registradas</t>
  </si>
  <si>
    <t>Completas</t>
  </si>
  <si>
    <t>Con pendientes</t>
  </si>
  <si>
    <t>Pruebas aprobadas</t>
  </si>
  <si>
    <t>Pruebas fallidas</t>
  </si>
  <si>
    <t>N.º</t>
  </si>
  <si>
    <t>Estado de trazabilidad</t>
  </si>
  <si>
    <t>ID Objetivo</t>
  </si>
  <si>
    <t>Objetivo</t>
  </si>
  <si>
    <t>ID Proceso</t>
  </si>
  <si>
    <t>Proceso / Módulo</t>
  </si>
  <si>
    <t>ID Requerimiento</t>
  </si>
  <si>
    <t>Requerimiento</t>
  </si>
  <si>
    <t>ID HU</t>
  </si>
  <si>
    <t>Historia de usuario</t>
  </si>
  <si>
    <t>ID Criterio</t>
  </si>
  <si>
    <t>Criterio de aceptación</t>
  </si>
  <si>
    <t>ID Caso de prueba</t>
  </si>
  <si>
    <t>Caso / Escenario</t>
  </si>
  <si>
    <t>Estado prueba</t>
  </si>
  <si>
    <t>ID Evidencia</t>
  </si>
  <si>
    <t>Evidencia / Enlace</t>
  </si>
  <si>
    <t>Observaciones</t>
  </si>
  <si>
    <t>RF-01</t>
  </si>
  <si>
    <t>CA-001</t>
  </si>
  <si>
    <t>CP-001</t>
  </si>
  <si>
    <t>CA-002</t>
  </si>
  <si>
    <t>CP-002</t>
  </si>
  <si>
    <t>CA-003</t>
  </si>
  <si>
    <t>CP-003</t>
  </si>
  <si>
    <t>RF-02</t>
  </si>
  <si>
    <t>CA-004</t>
  </si>
  <si>
    <t>CP-004</t>
  </si>
  <si>
    <t>RF-04</t>
  </si>
  <si>
    <t>CA-005</t>
  </si>
  <si>
    <t>CP-005</t>
  </si>
  <si>
    <t>CA-006</t>
  </si>
  <si>
    <t>CP-006</t>
  </si>
  <si>
    <t>RF-03</t>
  </si>
  <si>
    <t>CA-007</t>
  </si>
  <si>
    <t>CP-007</t>
  </si>
  <si>
    <t>CA-008</t>
  </si>
  <si>
    <t>CP-008</t>
  </si>
  <si>
    <t>RF-29</t>
  </si>
  <si>
    <t>CA-009</t>
  </si>
  <si>
    <t>CP-009</t>
  </si>
  <si>
    <t>RF-05</t>
  </si>
  <si>
    <t>CA-010</t>
  </si>
  <si>
    <t>CP-010</t>
  </si>
  <si>
    <t>RF-35</t>
  </si>
  <si>
    <t>CA-011</t>
  </si>
  <si>
    <t>CP-011</t>
  </si>
  <si>
    <t>RF-36</t>
  </si>
  <si>
    <t>CA-012</t>
  </si>
  <si>
    <t>CP-012</t>
  </si>
  <si>
    <t>RF-37</t>
  </si>
  <si>
    <t>CA-013</t>
  </si>
  <si>
    <t>CP-013</t>
  </si>
  <si>
    <t>CA-014</t>
  </si>
  <si>
    <t>CP-014</t>
  </si>
  <si>
    <t>RF-06</t>
  </si>
  <si>
    <t>CA-015</t>
  </si>
  <si>
    <t>CP-015</t>
  </si>
  <si>
    <t>CA-016</t>
  </si>
  <si>
    <t>CP-016</t>
  </si>
  <si>
    <t>RF-39</t>
  </si>
  <si>
    <t>CA-017</t>
  </si>
  <si>
    <t>CP-017</t>
  </si>
  <si>
    <t>CA-018</t>
  </si>
  <si>
    <t>CP-018</t>
  </si>
  <si>
    <t>RF-07</t>
  </si>
  <si>
    <t>CA-019</t>
  </si>
  <si>
    <t>CP-019</t>
  </si>
  <si>
    <t>CA-020</t>
  </si>
  <si>
    <t>CP-020</t>
  </si>
  <si>
    <t>CA-021</t>
  </si>
  <si>
    <t>CP-021</t>
  </si>
  <si>
    <t>CA-022</t>
  </si>
  <si>
    <t>CP-022</t>
  </si>
  <si>
    <t>RF-08</t>
  </si>
  <si>
    <t>CA-023</t>
  </si>
  <si>
    <t>CP-023</t>
  </si>
  <si>
    <t>CA-024</t>
  </si>
  <si>
    <t>CP-024</t>
  </si>
  <si>
    <t>RF-09</t>
  </si>
  <si>
    <t>CA-025</t>
  </si>
  <si>
    <t>CP-025</t>
  </si>
  <si>
    <t>RF-10</t>
  </si>
  <si>
    <t>CA-026</t>
  </si>
  <si>
    <t>CP-026</t>
  </si>
  <si>
    <t>RF-11</t>
  </si>
  <si>
    <t>CA-027</t>
  </si>
  <si>
    <t>CP-027</t>
  </si>
  <si>
    <t>RF-12</t>
  </si>
  <si>
    <t>CA-028</t>
  </si>
  <si>
    <t>CP-028</t>
  </si>
  <si>
    <t>CA-029</t>
  </si>
  <si>
    <t>CP-029</t>
  </si>
  <si>
    <t>CA-030</t>
  </si>
  <si>
    <t>CP-030</t>
  </si>
  <si>
    <t>RF-13</t>
  </si>
  <si>
    <t>CA-031</t>
  </si>
  <si>
    <t>CP-031</t>
  </si>
  <si>
    <t>RF-38</t>
  </si>
  <si>
    <t>CA-032</t>
  </si>
  <si>
    <t>CP-032</t>
  </si>
  <si>
    <t>CA-033</t>
  </si>
  <si>
    <t>CP-033</t>
  </si>
  <si>
    <t>CA-034</t>
  </si>
  <si>
    <t>CP-034</t>
  </si>
  <si>
    <t>RF-16</t>
  </si>
  <si>
    <t>CA-035</t>
  </si>
  <si>
    <t>CP-035</t>
  </si>
  <si>
    <t>RF-14</t>
  </si>
  <si>
    <t>CA-036</t>
  </si>
  <si>
    <t>CP-036</t>
  </si>
  <si>
    <t>CA-037</t>
  </si>
  <si>
    <t>CP-037</t>
  </si>
  <si>
    <t>CA-038</t>
  </si>
  <si>
    <t>CP-038</t>
  </si>
  <si>
    <t>RF-15</t>
  </si>
  <si>
    <t>CA-039</t>
  </si>
  <si>
    <t>CP-039</t>
  </si>
  <si>
    <t>CA-040</t>
  </si>
  <si>
    <t>CP-040</t>
  </si>
  <si>
    <t>CA-041</t>
  </si>
  <si>
    <t>CP-041</t>
  </si>
  <si>
    <t>RF-31</t>
  </si>
  <si>
    <t>CA-042</t>
  </si>
  <si>
    <t>CP-042</t>
  </si>
  <si>
    <t>RF-17</t>
  </si>
  <si>
    <t>CA-043</t>
  </si>
  <si>
    <t>CP-043</t>
  </si>
  <si>
    <t>CA-044</t>
  </si>
  <si>
    <t>CP-044</t>
  </si>
  <si>
    <t>CA-045</t>
  </si>
  <si>
    <t>CP-045</t>
  </si>
  <si>
    <t>CA-046</t>
  </si>
  <si>
    <t>CP-046</t>
  </si>
  <si>
    <t>RF-18</t>
  </si>
  <si>
    <t>CA-047</t>
  </si>
  <si>
    <t>CP-047</t>
  </si>
  <si>
    <t>CA-048</t>
  </si>
  <si>
    <t>CP-048</t>
  </si>
  <si>
    <t>CA-049</t>
  </si>
  <si>
    <t>CP-049</t>
  </si>
  <si>
    <t>CA-050</t>
  </si>
  <si>
    <t>CP-050</t>
  </si>
  <si>
    <t>RF-19</t>
  </si>
  <si>
    <t>CA-051</t>
  </si>
  <si>
    <t>CP-051</t>
  </si>
  <si>
    <t>RF-20</t>
  </si>
  <si>
    <t>CA-052</t>
  </si>
  <si>
    <t>CP-052</t>
  </si>
  <si>
    <t>CA-053</t>
  </si>
  <si>
    <t>CP-053</t>
  </si>
  <si>
    <t>CA-054</t>
  </si>
  <si>
    <t>CP-054</t>
  </si>
  <si>
    <t>RF-26</t>
  </si>
  <si>
    <t>CA-055</t>
  </si>
  <si>
    <t>CP-055</t>
  </si>
  <si>
    <t>CA-056</t>
  </si>
  <si>
    <t>CP-056</t>
  </si>
  <si>
    <t>CA-057</t>
  </si>
  <si>
    <t>CP-057</t>
  </si>
  <si>
    <t>CA-058</t>
  </si>
  <si>
    <t>CP-058</t>
  </si>
  <si>
    <t>RF-27</t>
  </si>
  <si>
    <t>CA-059</t>
  </si>
  <si>
    <t>CP-059</t>
  </si>
  <si>
    <t>CA-060</t>
  </si>
  <si>
    <t>CP-060</t>
  </si>
  <si>
    <t>CA-061</t>
  </si>
  <si>
    <t>CP-061</t>
  </si>
  <si>
    <t>CA-062</t>
  </si>
  <si>
    <t>CP-062</t>
  </si>
  <si>
    <t>RF-28</t>
  </si>
  <si>
    <t>CA-063</t>
  </si>
  <si>
    <t>CP-063</t>
  </si>
  <si>
    <t>CA-064</t>
  </si>
  <si>
    <t>CP-064</t>
  </si>
  <si>
    <t>RF-32</t>
  </si>
  <si>
    <t>CA-065</t>
  </si>
  <si>
    <t>CP-065</t>
  </si>
  <si>
    <t>CA-066</t>
  </si>
  <si>
    <t>CP-066</t>
  </si>
  <si>
    <t>RF-22</t>
  </si>
  <si>
    <t>CA-067</t>
  </si>
  <si>
    <t>CP-067</t>
  </si>
  <si>
    <t>CA-068</t>
  </si>
  <si>
    <t>CP-068</t>
  </si>
  <si>
    <t>RF-23</t>
  </si>
  <si>
    <t>CA-069</t>
  </si>
  <si>
    <t>CP-069</t>
  </si>
  <si>
    <t>CA-070</t>
  </si>
  <si>
    <t>CP-070</t>
  </si>
  <si>
    <t>RF-24</t>
  </si>
  <si>
    <t>CA-071</t>
  </si>
  <si>
    <t>CP-071</t>
  </si>
  <si>
    <t>RF-33</t>
  </si>
  <si>
    <t>CA-072</t>
  </si>
  <si>
    <t>CP-072</t>
  </si>
  <si>
    <t>RF-25</t>
  </si>
  <si>
    <t>CA-073</t>
  </si>
  <si>
    <t>CP-073</t>
  </si>
  <si>
    <t>CA-074</t>
  </si>
  <si>
    <t>CP-074</t>
  </si>
  <si>
    <t>RF-30</t>
  </si>
  <si>
    <t>CA-075</t>
  </si>
  <si>
    <t>CP-075</t>
  </si>
  <si>
    <t>CA-076</t>
  </si>
  <si>
    <t>CP-076</t>
  </si>
  <si>
    <t>CA-077</t>
  </si>
  <si>
    <t>CP-077</t>
  </si>
  <si>
    <t>RF-34</t>
  </si>
  <si>
    <t>CA-078</t>
  </si>
  <si>
    <t>CP-078</t>
  </si>
  <si>
    <t>Objetivos y procesos</t>
  </si>
  <si>
    <t>Relacione cada objetivo del proyecto con un proceso AS-IS o TO-BE. Puede repetir un proceso en varias filas si lo necesita.</t>
  </si>
  <si>
    <t>Proceso</t>
  </si>
  <si>
    <t>Módulo</t>
  </si>
  <si>
    <t>Indicador / Resultado esperado</t>
  </si>
  <si>
    <t>Responsable</t>
  </si>
  <si>
    <t>Estado</t>
  </si>
  <si>
    <t>OBJ-001</t>
  </si>
  <si>
    <t>Proteger la plataforma y asegurar que cada usuario opere con el perfil, empresa y vendedor correctos.</t>
  </si>
  <si>
    <t>PR-01</t>
  </si>
  <si>
    <t>Gestión de usuarios, roles y permisos</t>
  </si>
  <si>
    <t>HU-001 a HU-004 aceptadas; permisos validados en servidor y trazabilidad de accesos comprobada.</t>
  </si>
  <si>
    <t>Matías y Alexssander</t>
  </si>
  <si>
    <t>En revisión</t>
  </si>
  <si>
    <t>OBJ-002</t>
  </si>
  <si>
    <t>Reducir reprocesos y hacer visible la creación, activación o modificación de artículos desde su envío hasta la resolución.</t>
  </si>
  <si>
    <t>PR-02</t>
  </si>
  <si>
    <t>Solicitudes y autorizaciones</t>
  </si>
  <si>
    <t>HU-005 a HU-007 aceptadas; estados, reglas de adjuntos, permisos y resolución trazable verificados.</t>
  </si>
  <si>
    <t>Millaray y Matías</t>
  </si>
  <si>
    <t>OBJ-003</t>
  </si>
  <si>
    <t>Centralizar consultas, cotizaciones y órdenes de venta, aplicando vendedor, comisión, autorización e integración correctos.</t>
  </si>
  <si>
    <t>PR-03</t>
  </si>
  <si>
    <t>Gestión comercial, cotizaciones y órdenes de venta</t>
  </si>
  <si>
    <t>HU-008 a HU-011 aceptadas; documentos y restricciones comerciales probados de extremo a extremo.</t>
  </si>
  <si>
    <t>Alexssander y Millaray</t>
  </si>
  <si>
    <t>OBJ-004</t>
  </si>
  <si>
    <t>Entregar avisos oportunos y una trazabilidad común para todos los procesos incorporados.</t>
  </si>
  <si>
    <t>PR-04</t>
  </si>
  <si>
    <t>Notificaciones y trazabilidad</t>
  </si>
  <si>
    <t>HU-012 a HU-014 aceptadas; privacidad, recordatorios e historial verificados en los procesos integrados.</t>
  </si>
  <si>
    <t>OBJ-005</t>
  </si>
  <si>
    <t>Canalizar lecturas por API sobre HANA y escrituras autorizadas por Service Layer sin duplicidad ni operaciones parciales.</t>
  </si>
  <si>
    <t>PR-05</t>
  </si>
  <si>
    <t>Integración con SAP Business One</t>
  </si>
  <si>
    <t>HU-015 a HU-017 aceptadas; seguridad, rendimiento, integridad e idempotencia comprobados.</t>
  </si>
  <si>
    <t>Alexssander y Matías</t>
  </si>
  <si>
    <t>OBJ-006</t>
  </si>
  <si>
    <t>Centralizar la posventa y ofrecer visibilidad de cada caso, comprobante y decisión a los participantes autorizados.</t>
  </si>
  <si>
    <t>PR-06</t>
  </si>
  <si>
    <t>Gestión de Posventa</t>
  </si>
  <si>
    <t>HU-018 a HU-020 aceptadas; rutas por guía o factura, QR, permisos, notificaciones y cierre verificados.</t>
  </si>
  <si>
    <t>Millaray y Alexssander</t>
  </si>
  <si>
    <t>OBJ-007</t>
  </si>
  <si>
    <t>Borrador</t>
  </si>
  <si>
    <t>OBJ-008</t>
  </si>
  <si>
    <t>OBJ-009</t>
  </si>
  <si>
    <t>OBJ-010</t>
  </si>
  <si>
    <t>OBJ-011</t>
  </si>
  <si>
    <t>OBJ-012</t>
  </si>
  <si>
    <t>OBJ-013</t>
  </si>
  <si>
    <t>OBJ-014</t>
  </si>
  <si>
    <t>OBJ-015</t>
  </si>
  <si>
    <t>OBJ-016</t>
  </si>
  <si>
    <t>OBJ-017</t>
  </si>
  <si>
    <t>OBJ-018</t>
  </si>
  <si>
    <t>OBJ-019</t>
  </si>
  <si>
    <t>OBJ-020</t>
  </si>
  <si>
    <t>OBJ-021</t>
  </si>
  <si>
    <t>OBJ-022</t>
  </si>
  <si>
    <t>OBJ-023</t>
  </si>
  <si>
    <t>OBJ-024</t>
  </si>
  <si>
    <t>OBJ-025</t>
  </si>
  <si>
    <t>OBJ-026</t>
  </si>
  <si>
    <t>OBJ-027</t>
  </si>
  <si>
    <t>OBJ-028</t>
  </si>
  <si>
    <t>OBJ-029</t>
  </si>
  <si>
    <t>OBJ-030</t>
  </si>
  <si>
    <t>Requerimientos</t>
  </si>
  <si>
    <t>Registre cada requerimiento y vincúlelo con su objetivo y proceso mediante los códigos correspondientes.</t>
  </si>
  <si>
    <t>Tipo</t>
  </si>
  <si>
    <t>Nombre corto</t>
  </si>
  <si>
    <t>Descripción</t>
  </si>
  <si>
    <t>Fuente</t>
  </si>
  <si>
    <t>Prioridad</t>
  </si>
  <si>
    <t>Dependencias</t>
  </si>
  <si>
    <t>Versión</t>
  </si>
  <si>
    <t>Funcional</t>
  </si>
  <si>
    <t>Autenticación de usuarios</t>
  </si>
  <si>
    <t>El sistema debe permitir que un usuario se autentique mediante usuario y contraseña.</t>
  </si>
  <si>
    <t>ERS v2.0 (Doc. 9) · Carta 7.1</t>
  </si>
  <si>
    <t>Alta</t>
  </si>
  <si>
    <t>RN-02 · RNF-01, RNF-04, RNF-05</t>
  </si>
  <si>
    <t>En análisis</t>
  </si>
  <si>
    <t>2.0</t>
  </si>
  <si>
    <t>Asignación de área, cargo y rol</t>
  </si>
  <si>
    <t>El sistema debe permitir asignar a cada usuario un área, un cargo y un rol.</t>
  </si>
  <si>
    <t>RN-01</t>
  </si>
  <si>
    <t>Restricción por rol, área y cargo</t>
  </si>
  <si>
    <t>El sistema debe restringir las funciones y los datos visibles según el rol, el área y el cargo del usuario.</t>
  </si>
  <si>
    <t>RN-03 · RNF-02</t>
  </si>
  <si>
    <t>Administración de usuarios</t>
  </si>
  <si>
    <t>El sistema debe permitir al administrador crear, editar, desactivar y reactivar usuarios.</t>
  </si>
  <si>
    <t>RN-02, RN-04</t>
  </si>
  <si>
    <t>Definición de permisos</t>
  </si>
  <si>
    <t>El sistema debe permitir al administrador definir y modificar los permisos asociados a cada rol, área y cargo.</t>
  </si>
  <si>
    <t>Media</t>
  </si>
  <si>
    <t>RN-03, RN-04 · RNF-02</t>
  </si>
  <si>
    <t>Creación y envío de solicitud de código</t>
  </si>
  <si>
    <t>El sistema debe permitir al usuario con permiso de enviar solicitudes de código crear una solicitud de creación, activación o modificación de códigos de producto y enviarla a revisión del grupo autorizador correspondiente.</t>
  </si>
  <si>
    <t>ERS v2.0 (Doc. 9) · Carta 7.2</t>
  </si>
  <si>
    <t>RN-06, RN-07, RN-11</t>
  </si>
  <si>
    <t>Aprobación o rechazo de solicitudes</t>
  </si>
  <si>
    <t>El sistema debe permitir al autorizador aprobar o rechazar una solicitud, registrando el motivo cuando la rechaza.</t>
  </si>
  <si>
    <t>RN-07, RN-08, RN-10 · RNF-14</t>
  </si>
  <si>
    <t>Corrección y reenvío de solicitudes</t>
  </si>
  <si>
    <t>El sistema debe permitir al vendedor corregir y reenviar una solicitud rechazada por el autorizador.</t>
  </si>
  <si>
    <t>RN-08, RN-09</t>
  </si>
  <si>
    <t>Consulta del estado de solicitudes</t>
  </si>
  <si>
    <t>El sistema debe permitir consultar el estado actual, el responsable, la fecha de respuesta y el comentario de cada solicitud.</t>
  </si>
  <si>
    <t>RN-09, RN-10</t>
  </si>
  <si>
    <t>Filtro y búsqueda de solicitudes</t>
  </si>
  <si>
    <t>El sistema debe permitir filtrar y buscar solicitudes por estado, fecha, área y responsable.</t>
  </si>
  <si>
    <t>RNF-02</t>
  </si>
  <si>
    <t>Consulta de productos y stock</t>
  </si>
  <si>
    <t>El sistema debe permitir consultar el catálogo de productos con su disponibilidad de stock.</t>
  </si>
  <si>
    <t>ERS v2.0 (Doc. 9) · Carta 7.3</t>
  </si>
  <si>
    <t>RN-16, RN-17 · RNF-07, RNF-13</t>
  </si>
  <si>
    <t>Consulta de clientes, crédito y bloqueo</t>
  </si>
  <si>
    <t>El sistema debe permitir consultar los datos del cliente, incluidos su crédito disponible y su estado de bloqueo.</t>
  </si>
  <si>
    <t>RN-13, RN-16, RN-17 · RNF-13</t>
  </si>
  <si>
    <t>Gestión de cotizaciones</t>
  </si>
  <si>
    <t>El sistema debe permitir al vendedor crear y administrar cotizaciones con múltiples líneas de producto.</t>
  </si>
  <si>
    <t>RN-12, RN-16</t>
  </si>
  <si>
    <t>Conversión a solicitud de orden de venta</t>
  </si>
  <si>
    <t>El sistema debe permitir convertir una cotización aceptada por el cliente en una solicitud de orden de venta.</t>
  </si>
  <si>
    <t>RN-13, RN-14, RN-15</t>
  </si>
  <si>
    <t>Envío de documentos autorizados</t>
  </si>
  <si>
    <t>El sistema debe enviar al ERP únicamente los documentos que cuenten con autorización previa registrada.</t>
  </si>
  <si>
    <t>ERS v2.0 (Doc. 9) · Carta 7.3 y 7.5</t>
  </si>
  <si>
    <t>RN-18, RN-25</t>
  </si>
  <si>
    <t>Documento imprimible de cotización</t>
  </si>
  <si>
    <t>El sistema debe permitir generar el documento de la cotización en formato imprimible o descargable.</t>
  </si>
  <si>
    <t>RN-14</t>
  </si>
  <si>
    <t>Notificación y recordatorio a autorizadores</t>
  </si>
  <si>
    <t>El sistema debe notificar dentro de la plataforma a los autorizadores del grupo correspondiente cuando un proceso requiera su acción, y generar recordatorios automáticos de las solicitudes que llevan más de una hora pendientes.</t>
  </si>
  <si>
    <t>ERS v2.0 (Doc. 9) · Carta 7.4</t>
  </si>
  <si>
    <t>RN-20, RN-21</t>
  </si>
  <si>
    <t>Notificación al solicitante</t>
  </si>
  <si>
    <t>El sistema debe notificar al solicitante las aprobaciones, rechazos, observaciones y cambios de estado de su proceso.</t>
  </si>
  <si>
    <t>RN-20, RN-21, RN-22</t>
  </si>
  <si>
    <t>Registro de trazabilidad</t>
  </si>
  <si>
    <t>El sistema debe registrar en cada proceso su estado actual, el usuario que lo resolvió, la fecha y hora de la respuesta y el comentario asociado.</t>
  </si>
  <si>
    <t>RN-19 · RNF-14</t>
  </si>
  <si>
    <t>Consulta de trazabilidad</t>
  </si>
  <si>
    <t>El sistema debe permitir consultar el estado, el responsable, la fecha de respuesta y el comentario de cada proceso.</t>
  </si>
  <si>
    <t>RN-19, RN-21 · RNF-14</t>
  </si>
  <si>
    <t>Registro de casos de posventa</t>
  </si>
  <si>
    <t>El sistema debe permitir registrar solicitudes de devolución, cambio, servicio técnico, productos faltantes, desistimiento de compra y nota de crédito, con los datos del cliente, el vendedor, la empresa, los productos involucrados y el documento de respaldo: guía de despacho o factura de reserva.</t>
  </si>
  <si>
    <t>ERS v2.0 (Doc. 9) · Carta 7.6</t>
  </si>
  <si>
    <t>RN-28, RN-29</t>
  </si>
  <si>
    <t>Evidencias del caso</t>
  </si>
  <si>
    <t>El sistema debe permitir adjuntar evidencias, como fotografías o documentos, a un caso de posventa.</t>
  </si>
  <si>
    <t>RN-29</t>
  </si>
  <si>
    <t>Evaluación de condiciones</t>
  </si>
  <si>
    <t>El sistema debe permitir registrar la evaluación de las condiciones del producto, sus accesorios, el manual y el embalaje, con los valores Excelente, Bueno, Regular, Malo o No aplica.</t>
  </si>
  <si>
    <t>Comprobante con código QR</t>
  </si>
  <si>
    <t>El sistema debe generar un comprobante del caso con código QR para su verificación posterior, y permitir que el usuario que envió la solicitud, una vez autorizada, lo descargue y marque el caso como QR enviado al cliente.</t>
  </si>
  <si>
    <t>RN-30</t>
  </si>
  <si>
    <t>API de lectura sobre SAP HANA</t>
  </si>
  <si>
    <t>El sistema debe consultar productos, clientes, stock y otros datos autorizados del ERP mediante una API conectada con SAP HANA, en operaciones de solo lectura.</t>
  </si>
  <si>
    <t>ERS v2.0 (Doc. 9) · Carta 7.5</t>
  </si>
  <si>
    <t>RN-24 · RNF-03, RNF-06, RNF-07, RNF-09, RNF-22</t>
  </si>
  <si>
    <t>Escritura por Service Layer</t>
  </si>
  <si>
    <t>El sistema debe crear documentos en el ERP exclusivamente a través de SAP Business One Service Layer.</t>
  </si>
  <si>
    <t>RN-23, RN-25, RN-27 · X-04, X-05, X-06</t>
  </si>
  <si>
    <t>Registro de resultados de envío</t>
  </si>
  <si>
    <t>El sistema debe registrar el resultado de cada operación enviada al ERP, incluidos los errores devueltos por SAP.</t>
  </si>
  <si>
    <t>RN-26 · RNF-16</t>
  </si>
  <si>
    <t>Grupos de autorizadores</t>
  </si>
  <si>
    <t>El sistema debe permitir definir grupos de autorizadores por tipo de solicitud.</t>
  </si>
  <si>
    <t>RN-04, RN-05</t>
  </si>
  <si>
    <t>Seguimiento y notificación del caso</t>
  </si>
  <si>
    <t>El sistema debe permitir consultar el avance de cada caso hasta su cierre y notificar a los participantes en cada cambio de estado.</t>
  </si>
  <si>
    <t>RN-31, RN-32</t>
  </si>
  <si>
    <t>Trazabilidad de documentos en SAP</t>
  </si>
  <si>
    <t>El sistema debe permitir consultar el estado y la trazabilidad de los documentos comerciales enviados a SAP Business One.</t>
  </si>
  <si>
    <t>RN-25 · RNF-14</t>
  </si>
  <si>
    <t>Reintento sin duplicidad</t>
  </si>
  <si>
    <t>El sistema debe permitir reintentar un envío fallido al ERP sin duplicar las líneas ya creadas.</t>
  </si>
  <si>
    <t>RN-26 · RNF-12</t>
  </si>
  <si>
    <t>Corrección y reenvío de casos</t>
  </si>
  <si>
    <t>El sistema debe permitir al vendedor corregir y reenviar un caso de posventa rechazado por el autorizador.</t>
  </si>
  <si>
    <t>RN-33</t>
  </si>
  <si>
    <t>Cierre de casos</t>
  </si>
  <si>
    <t>El sistema debe permitir al autorizador de posventa cerrar un caso, registrando su resolución final.</t>
  </si>
  <si>
    <t>RN-34</t>
  </si>
  <si>
    <t>Códigos de vendedor por empresa</t>
  </si>
  <si>
    <t>El sistema debe permitir asociar a cada usuario, sea vendedor o asistente de vendedor, uno o más códigos de vendedor de SAP (SlpCode), cada uno vinculado a su empresa: Ferretería Marsella o Asland.</t>
  </si>
  <si>
    <t>RN-35, RN-36</t>
  </si>
  <si>
    <t>Escala de comisión por vendedor</t>
  </si>
  <si>
    <t>El sistema debe permitir al administrador asignar a cada código de vendedor, al editar su perfil, la escala de comisión con que se calcula su comisión.</t>
  </si>
  <si>
    <t>RN-37, RN-38</t>
  </si>
  <si>
    <t>Selector de empresa activa</t>
  </si>
  <si>
    <t>El sistema debe ofrecer un selector de empresa en la barra de navegación, visible para los usuarios con códigos en ambas empresas, que cambie la empresa activa en toda la plataforma: consultas, documentos, solicitudes y casos. La interfaz identifica la empresa activa por color: rojo para Ferretería Marsella y celeste para Asland.</t>
  </si>
  <si>
    <t>RN-36</t>
  </si>
  <si>
    <t>Selección de SlpCode por el asistente</t>
  </si>
  <si>
    <t>El sistema debe permitir que el asistente de vendedor seleccione, al crear una cotización, una nota de venta u otro documento comercial, el SlpCode del vendedor a cuyo nombre se emite, entre los vendedores que tiene asignados en la empresa activa.</t>
  </si>
  <si>
    <t>RN-37, RN-39</t>
  </si>
  <si>
    <t>Respaldos de la solicitud de código</t>
  </si>
  <si>
    <t>El sistema debe permitir adjuntar a la solicitud de código el respaldo de la cotización, como documentos o imágenes de WhatsApp, y, en las solicitudes de creación, un documento y una imagen por cada producto solicitado.</t>
  </si>
  <si>
    <t>RN-40</t>
  </si>
  <si>
    <t>Historias de usuario y criterios</t>
  </si>
  <si>
    <t>Use una fila por criterio de aceptación. Si una historia tiene varios criterios, repita su ID HU y asigne un ID CA diferente.</t>
  </si>
  <si>
    <t>ID Épica</t>
  </si>
  <si>
    <t>Funcionalidad</t>
  </si>
  <si>
    <t>Título HU</t>
  </si>
  <si>
    <t>Como</t>
  </si>
  <si>
    <t>Quiero</t>
  </si>
  <si>
    <t>Para</t>
  </si>
  <si>
    <t>Historia completa</t>
  </si>
  <si>
    <t>Estimación SP</t>
  </si>
  <si>
    <t>Sprint</t>
  </si>
  <si>
    <t>HU-001</t>
  </si>
  <si>
    <t>EP-01</t>
  </si>
  <si>
    <t>Acceso seguro</t>
  </si>
  <si>
    <t>Autenticarse en la plataforma</t>
  </si>
  <si>
    <t>usuario habilitado</t>
  </si>
  <si>
    <t>iniciar sesión de forma segura y mantener una sesión controlada</t>
  </si>
  <si>
    <t>acceder únicamente a las funciones autorizadas</t>
  </si>
  <si>
    <t>Con credenciales válidas, el usuario activo ingresa a la plataforma.</t>
  </si>
  <si>
    <t>Sprint 1 · 2 sem.</t>
  </si>
  <si>
    <t>Propuesto</t>
  </si>
  <si>
    <t>Las credenciales inválidas o de un usuario desactivado impiden el acceso y muestran un mensaje claro.</t>
  </si>
  <si>
    <t>La contraseña se almacena mediante hash, la sesión expira por inactividad y los intentos fallidos quedan auditados.</t>
  </si>
  <si>
    <t>HU-002</t>
  </si>
  <si>
    <t>Administrar usuarios y perfiles</t>
  </si>
  <si>
    <t>administrador</t>
  </si>
  <si>
    <t>crear, editar, desactivar y reactivar usuarios asignándoles área, cargo y rol</t>
  </si>
  <si>
    <t>mantener los accesos alineados con las responsabilidades de cada trabajador</t>
  </si>
  <si>
    <t>El administrador crea y edita usuarios con área, cargo y rol obligatorios.</t>
  </si>
  <si>
    <t>Un usuario se desactiva o reactiva sin eliminar su historial.</t>
  </si>
  <si>
    <t>Solo el administrador puede ejecutar estas operaciones y un usuario desactivado no puede iniciar sesión.</t>
  </si>
  <si>
    <t>HU-003</t>
  </si>
  <si>
    <t>Permisos y autorizadores</t>
  </si>
  <si>
    <t>Configurar permisos y grupos de autorización</t>
  </si>
  <si>
    <t>definir permisos por rol, área y cargo, además de grupos autorizadores por tipo de solicitud</t>
  </si>
  <si>
    <t>controlar qué funciones, datos y decisiones corresponden a cada usuario</t>
  </si>
  <si>
    <t>Los permisos efectivos suman los permisos directos, del área y del cargo.</t>
  </si>
  <si>
    <t>Cada operación valida los permisos en el servidor.</t>
  </si>
  <si>
    <t>Es posible crear y modificar grupos por tipo de solicitud, siempre con al menos un integrante activo.</t>
  </si>
  <si>
    <t>Solo el administrador gestiona permisos y grupos.</t>
  </si>
  <si>
    <t>HU-004</t>
  </si>
  <si>
    <t>Contexto de empresa y vendedor</t>
  </si>
  <si>
    <t>Configurar empresas, vendedores y comisiones</t>
  </si>
  <si>
    <t>asociar SlpCode y escala de comisión por empresa a vendedores y asistentes</t>
  </si>
  <si>
    <t>asegurar que cada operación use la empresa y el vendedor correctos</t>
  </si>
  <si>
    <t>Cada SlpCode queda asociado a Marsella o Asland y a los usuarios autorizados.</t>
  </si>
  <si>
    <t>Se asigna una escala de comisión o se usa la escala predeterminada.</t>
  </si>
  <si>
    <t>El selector de empresa solo aparece a usuarios con códigos en ambas empresas.</t>
  </si>
  <si>
    <t>Al cambiar la empresa activa, consultas, documentos, solicitudes y casos usan ese contexto y su color identificador.</t>
  </si>
  <si>
    <t>HU-005</t>
  </si>
  <si>
    <t>EP-02</t>
  </si>
  <si>
    <t>Solicitud de códigos</t>
  </si>
  <si>
    <t>Crear y enviar solicitudes de código</t>
  </si>
  <si>
    <t>vendedor autorizado</t>
  </si>
  <si>
    <t>crear solicitudes de creación, activación o modificación de artículos con sus respaldos</t>
  </si>
  <si>
    <t>enviar información completa al grupo autorizador correspondiente</t>
  </si>
  <si>
    <t>La solicitud se crea en estado Pendiente y queda asociada al usuario y empresa activa.</t>
  </si>
  <si>
    <t>Sprint 2 · 2 sem.</t>
  </si>
  <si>
    <t>Permite incluir uno o más productos según el tipo de solicitud.</t>
  </si>
  <si>
    <t>Exige el respaldo de cotización y, para creaciones, un documento y una imagen por producto en los formatos permitidos.</t>
  </si>
  <si>
    <t>Al enviarla, ingresa a la bandeja del grupo autorizador correcto.</t>
  </si>
  <si>
    <t>HU-006</t>
  </si>
  <si>
    <t>Resolución de solicitudes</t>
  </si>
  <si>
    <t>Aprobar o rechazar solicitudes</t>
  </si>
  <si>
    <t>autorizador</t>
  </si>
  <si>
    <t>tomar una solicitud de la bandeja y aprobarla o rechazarla</t>
  </si>
  <si>
    <t>resolverla con un responsable y una decisión trazable</t>
  </si>
  <si>
    <t>Solo el grupo autorizador del tipo de solicitud puede verla y resolverla.</t>
  </si>
  <si>
    <t>Quien toma la solicitud queda registrado como responsable.</t>
  </si>
  <si>
    <t>El rechazo exige un motivo visible para el solicitante.</t>
  </si>
  <si>
    <t>La solicitud aprobada no admite edición y conserva usuario, fecha, hora y comentario de la resolución.</t>
  </si>
  <si>
    <t>HU-007</t>
  </si>
  <si>
    <t>Seguimiento de solicitudes</t>
  </si>
  <si>
    <t>Corregir, reenviar y consultar solicitudes</t>
  </si>
  <si>
    <t>vendedor solicitante</t>
  </si>
  <si>
    <t>corregir y reenviar solicitudes rechazadas, además de consultar y filtrar su seguimiento</t>
  </si>
  <si>
    <t>resolver observaciones y conocer el estado de cada gestión</t>
  </si>
  <si>
    <t>Solo el creador puede corregir y reenviar una solicitud rechazada.</t>
  </si>
  <si>
    <t>El reenvío vuelve a estado Pendiente y a la bandeja del grupo autorizador.</t>
  </si>
  <si>
    <t>El usuario consulta estado, responsable, fecha y comentario.</t>
  </si>
  <si>
    <t>Los filtros por estado, fecha, área y responsable devuelven resultados acordes con sus permisos.</t>
  </si>
  <si>
    <t>HU-008</t>
  </si>
  <si>
    <t>EP-03</t>
  </si>
  <si>
    <t>Consultas comerciales</t>
  </si>
  <si>
    <t>Consultar productos, stock y clientes</t>
  </si>
  <si>
    <t>vendedor o asistente de vendedor</t>
  </si>
  <si>
    <t>consultar productos, stock, clientes, crédito y bloqueo en la empresa activa</t>
  </si>
  <si>
    <t>tomar decisiones comerciales con información vigente del ERP</t>
  </si>
  <si>
    <t>Las consultas muestran datos vigentes del ERP para la empresa activa.</t>
  </si>
  <si>
    <t>Sprint 3 · 2 sem.</t>
  </si>
  <si>
    <t>El vendedor ve sus clientes y el asistente los de los vendedores asignados.</t>
  </si>
  <si>
    <t>Stock, precios, crédito y bloqueo son de solo lectura y no se duplican como maestros locales.</t>
  </si>
  <si>
    <t>Un cliente bloqueado queda identificado antes de solicitar una orden de venta.</t>
  </si>
  <si>
    <t>HU-009</t>
  </si>
  <si>
    <t>Cotizaciones</t>
  </si>
  <si>
    <t>Crear y administrar cotizaciones</t>
  </si>
  <si>
    <t>crear cotizaciones con varias líneas y el vendedor correspondiente</t>
  </si>
  <si>
    <t>presentar una oferta comercial consistente con la empresa activa</t>
  </si>
  <si>
    <t>La cotización exige un cliente y al menos una línea de producto.</t>
  </si>
  <si>
    <t>El vendedor usa su SlpCode; el asistente elige solo entre los vendedores asignados en la empresa activa.</t>
  </si>
  <si>
    <t>Se registra tanto al creador como al vendedor del documento.</t>
  </si>
  <si>
    <t>La comisión se calcula con la escala del vendedor o con la predeterminada si no tiene una asignada.</t>
  </si>
  <si>
    <t>HU-010</t>
  </si>
  <si>
    <t>Conversión comercial</t>
  </si>
  <si>
    <t>Emitir la cotización y solicitar la orden de venta</t>
  </si>
  <si>
    <t>vendedor</t>
  </si>
  <si>
    <t>descargar la cotización y convertir una cotización aceptada en solicitud de orden de venta</t>
  </si>
  <si>
    <t>continuar el proceso comercial sin volver a ingresar sus datos</t>
  </si>
  <si>
    <t>La cotización puede generarse en un formato imprimible o descargable.</t>
  </si>
  <si>
    <t>Sprint 4 · 2 sem.</t>
  </si>
  <si>
    <t>Solo una cotización abierta y aceptada puede convertirse.</t>
  </si>
  <si>
    <t>La solicitud hereda cliente, líneas y condiciones, y conserva el vínculo con la cotización.</t>
  </si>
  <si>
    <t>Se impide continuar si el cliente está bloqueado.</t>
  </si>
  <si>
    <t>HU-011</t>
  </si>
  <si>
    <t>Órdenes de venta</t>
  </si>
  <si>
    <t>Autorizar, enviar y seguir órdenes de venta</t>
  </si>
  <si>
    <t>autorizador comercial</t>
  </si>
  <si>
    <t>aprobar las solicitudes que correspondan y enviar la orden de venta al ERP</t>
  </si>
  <si>
    <t>crear únicamente documentos validados y mantener su trazabilidad</t>
  </si>
  <si>
    <t>Las órdenes que superan los límites definidos requieren autorización previa.</t>
  </si>
  <si>
    <t>Solo un rol autorizado puede aprobar el envío.</t>
  </si>
  <si>
    <t>El ERP recibe exactamente el documento autorizado y devuelve un resultado e identificador.</t>
  </si>
  <si>
    <t>El usuario consulta el estado, vínculo y trazabilidad del documento enviado.</t>
  </si>
  <si>
    <t>HU-012</t>
  </si>
  <si>
    <t>EP-04</t>
  </si>
  <si>
    <t>Avisos a autorizadores</t>
  </si>
  <si>
    <t>Notificar pendientes y recordatorios</t>
  </si>
  <si>
    <t>recibir avisos de los procesos pendientes y recordatorios cuando superen una hora</t>
  </si>
  <si>
    <t>atender oportunamente las decisiones que me corresponden</t>
  </si>
  <si>
    <t>Al enviar un proceso, se notifica únicamente a los destinatarios autorizados.</t>
  </si>
  <si>
    <t>La notificación identifica categoría, emisor, nivel y enlace al proceso.</t>
  </si>
  <si>
    <t>Después de una hora pendiente se genera un recordatorio automático.</t>
  </si>
  <si>
    <t>El usuario no puede ver notificaciones ajenas.</t>
  </si>
  <si>
    <t>HU-013</t>
  </si>
  <si>
    <t>Avisos al solicitante</t>
  </si>
  <si>
    <t>Informar cambios de estado al solicitante</t>
  </si>
  <si>
    <t>participante de un proceso</t>
  </si>
  <si>
    <t>recibir y administrar notificaciones de aprobaciones, rechazos, observaciones y cambios de estado</t>
  </si>
  <si>
    <t>saber cuándo debo actuar y acceder directamente al proceso</t>
  </si>
  <si>
    <t>Cada cambio relevante genera una notificación al participante correspondiente.</t>
  </si>
  <si>
    <t>Las campanas diferencian avisos generales y autorizaciones de órdenes de venta.</t>
  </si>
  <si>
    <t>La página de notificaciones permite abrir, marcar como leída, marcar todas y eliminar una o todas.</t>
  </si>
  <si>
    <t>Se registra la fecha de lectura y cada enlace abre el proceso de origen.</t>
  </si>
  <si>
    <t>HU-014</t>
  </si>
  <si>
    <t>Trazabilidad transversal</t>
  </si>
  <si>
    <t>Consultar la trazabilidad de los procesos</t>
  </si>
  <si>
    <t>usuario participante o jefatura autorizada</t>
  </si>
  <si>
    <t>consultar el estado y el historial de cada proceso</t>
  </si>
  <si>
    <t>conocer quién realizó cada acción, cuándo y con qué resultado</t>
  </si>
  <si>
    <t>Cada cambio registra estado, usuario, fecha, hora y comentario.</t>
  </si>
  <si>
    <t>Sprint 5 · 2 sem.</t>
  </si>
  <si>
    <t>La consulta muestra el estado actual, responsable y secuencia histórica.</t>
  </si>
  <si>
    <t>Las respuestas resueltas no pueden editarse.</t>
  </si>
  <si>
    <t>El usuario ve solo procesos propios, asignados o permitidos por su rol.</t>
  </si>
  <si>
    <t>HU-015</t>
  </si>
  <si>
    <t>EP-05</t>
  </si>
  <si>
    <t>Lectura desde SAP</t>
  </si>
  <si>
    <t>Consultar SAP mediante una API segura</t>
  </si>
  <si>
    <t>usuario autorizado de la plataforma</t>
  </si>
  <si>
    <t>obtener productos, clientes, stock y datos permitidos mediante la API de lectura</t>
  </si>
  <si>
    <t>trabajar desde la web sin modificar directamente la información oficial del ERP</t>
  </si>
  <si>
    <t>La API consulta SAP HANA exclusivamente con un usuario de solo lectura y responde JSON.</t>
  </si>
  <si>
    <t>Cada petición exige una firma válida; una firma inválida se rechaza.</t>
  </si>
  <si>
    <t>Las credenciales se mantienen fuera del código.</t>
  </si>
  <si>
    <t>Los listados se paginan, aplican tiempo límite y reintentos acotados, y las consultas normales responden en menos de 3 segundos.</t>
  </si>
  <si>
    <t>HU-016</t>
  </si>
  <si>
    <t>Escritura controlada en SAP</t>
  </si>
  <si>
    <t>Crear documentos mediante Service Layer</t>
  </si>
  <si>
    <t>usuario autorizado</t>
  </si>
  <si>
    <t>enviar al ERP solo operaciones previamente validadas mediante Service Layer</t>
  </si>
  <si>
    <t>mantener la integridad y las reglas oficiales de SAP Business One</t>
  </si>
  <si>
    <t>Ninguna escritura se ejecuta directamente sobre SAP HANA.</t>
  </si>
  <si>
    <t>Solo se envían documentos con autorización registrada cuando corresponda.</t>
  </si>
  <si>
    <t>Service Layer aplica sus validaciones y devuelve el resultado de la operación.</t>
  </si>
  <si>
    <t>La plataforma conserva el documento exactamente como fue autorizado y respeta las autorizaciones de acceso y licenciamiento vigentes.</t>
  </si>
  <si>
    <t>HU-017</t>
  </si>
  <si>
    <t>Control de integraciones</t>
  </si>
  <si>
    <t>Registrar y reintentar operaciones fallidas</t>
  </si>
  <si>
    <t>responsable de operación</t>
  </si>
  <si>
    <t>consultar el resultado de cada envío y reintentar los fallidos de forma segura</t>
  </si>
  <si>
    <t>resolver errores sin duplicar documentos ni líneas en el ERP</t>
  </si>
  <si>
    <t>Cada envío registra documento, resultado, identificador y mensaje de error.</t>
  </si>
  <si>
    <t>Los mensajes indican claramente qué ocurrió.</t>
  </si>
  <si>
    <t>Un reintento reutiliza el documento autorizado y evita duplicar líneas o resultados ya creados.</t>
  </si>
  <si>
    <t>Ante error, la operación queda completa o no se registra parcialmente.</t>
  </si>
  <si>
    <t>HU-018</t>
  </si>
  <si>
    <t>EP-06</t>
  </si>
  <si>
    <t>Registro de casos</t>
  </si>
  <si>
    <t>Registrar un caso de posventa</t>
  </si>
  <si>
    <t>registrar un caso de posventa con cliente, productos, respaldo y evidencias</t>
  </si>
  <si>
    <t>iniciar formalmente su evaluación y seguimiento</t>
  </si>
  <si>
    <t>Permite devolución, cambio, servicio técnico, producto faltante, desistimiento y nota de crédito.</t>
  </si>
  <si>
    <t>Registra cliente, vendedor, empresa, productos y guía de despacho o factura de reserva.</t>
  </si>
  <si>
    <t>Exige evidencias autorizadas salvo las excepciones de factura de reserva.</t>
  </si>
  <si>
    <t>Solo los participantes autorizados pueden consultar las evidencias del caso.</t>
  </si>
  <si>
    <t>HU-019</t>
  </si>
  <si>
    <t>Evaluación y autorización</t>
  </si>
  <si>
    <t>Evaluar, resolver y emitir comprobante QR</t>
  </si>
  <si>
    <t>autorizador de posventa</t>
  </si>
  <si>
    <t>evaluar las condiciones, aprobar o rechazar el caso y liberar su comprobante QR</t>
  </si>
  <si>
    <t>respaldar la decisión y continuar el flujo con el cliente</t>
  </si>
  <si>
    <t>Se evalúan producto, accesorios, manual y embalaje con los valores definidos, salvo la excepción aplicable.</t>
  </si>
  <si>
    <t>El rechazo exige motivo y permite al creador corregir y reenviar a Pendiente.</t>
  </si>
  <si>
    <t>Solo el autorizador de posventa aprueba y libera el comprobante QR.</t>
  </si>
  <si>
    <t>El comprobante contiene los datos del caso; el solicitante puede descargarlo y marcarlo como enviado al cliente.</t>
  </si>
  <si>
    <t>HU-020</t>
  </si>
  <si>
    <t>Seguimiento y cierre</t>
  </si>
  <si>
    <t>Gestionar el avance y cierre de posventa</t>
  </si>
  <si>
    <t>actualizar el caso por sus estados y registrar su resolución final</t>
  </si>
  <si>
    <t>mantener el seguimiento hasta un cierre controlado</t>
  </si>
  <si>
    <t>El flujo con guía contempla Pendiente, Autorizado, QR enviado, Recepcionado y la ruta de stock o proveedor hasta cierre.</t>
  </si>
  <si>
    <t>Sprint 6 · 1 sem.</t>
  </si>
  <si>
    <t>El caso con factura de reserva sigue la ruta sin QR ni recepción.</t>
  </si>
  <si>
    <t>Cada cambio notifica al vendedor y autorizador y admite observaciones visibles.</t>
  </si>
  <si>
    <t>Solo el autorizador cierra el caso; un caso cerrado no acepta nuevos cambios.</t>
  </si>
  <si>
    <t>Casos de prueba y evidencias</t>
  </si>
  <si>
    <t>Registre la ejecución de cada prueba y agregue el identificador y enlace o ruta de la evidencia cuando esté disponible.</t>
  </si>
  <si>
    <t>ID Caso prueba</t>
  </si>
  <si>
    <t>Precondiciones</t>
  </si>
  <si>
    <t>Pasos</t>
  </si>
  <si>
    <t>Resultado esperado</t>
  </si>
  <si>
    <t>Resultado obtenido</t>
  </si>
  <si>
    <t>Evidencia / Enlace / Ruta</t>
  </si>
  <si>
    <t>Fecha</t>
  </si>
  <si>
    <t>Inicio de sesión con credenciales válidas</t>
  </si>
  <si>
    <t>Usuario activo con área, cargo y rol asignados (datos ficticios).</t>
  </si>
  <si>
    <t>1. Abrir la página de inicio de sesión.
2. Ingresar usuario y contraseña válidos.
3. Presionar Ingresar.</t>
  </si>
  <si>
    <t>El usuario accede a la plataforma y ve solo las opciones correspondientes a sus permisos.</t>
  </si>
  <si>
    <t>No ejecutado</t>
  </si>
  <si>
    <t>Acceso denegado con credenciales inválidas o usuario desactivado</t>
  </si>
  <si>
    <t>Existe un usuario activo y otro desactivado.</t>
  </si>
  <si>
    <t>1. Intentar ingresar con una contraseña incorrecta.
2. Intentar ingresar con el usuario desactivado.</t>
  </si>
  <si>
    <t>En ambos casos se impide el acceso y se muestra un mensaje claro.</t>
  </si>
  <si>
    <t>Hash de contraseña, expiración de sesión y auditoría</t>
  </si>
  <si>
    <t>Usuario de prueba creado; tiempo de inactividad configurado.</t>
  </si>
  <si>
    <t>1. Revisar en la base de datos el campo de contraseña.
2. Dejar una sesión inactiva más allá del tiempo definido.
3. Realizar un intento fallido y revisar el registro de auditoría.</t>
  </si>
  <si>
    <t>La contraseña está almacenada como hash, la sesión expira y el intento fallido queda registrado con usuario, fecha y hora.</t>
  </si>
  <si>
    <t>Creación y edición de usuario con área, cargo y rol</t>
  </si>
  <si>
    <t>Sesión como administrador; existen áreas, cargos y roles.</t>
  </si>
  <si>
    <t>1. Ir a Usuarios &gt; Nuevo.
2. Intentar guardar sin área, cargo o rol.
3. Completar los campos y guardar.
4. Editar el cargo del usuario.</t>
  </si>
  <si>
    <t>El sistema exige área, cargo y rol; con datos completos el usuario se crea y la edición se guarda.</t>
  </si>
  <si>
    <t>Desactivación y reactivación sin pérdida de historial</t>
  </si>
  <si>
    <t>Usuario con registros e historial existentes.</t>
  </si>
  <si>
    <t>1. Desactivar el usuario.
2. Revisar su historial.
3. Reactivarlo.</t>
  </si>
  <si>
    <t>El usuario pasa a Inactivo y luego a Activo; su historial y registros se conservan.</t>
  </si>
  <si>
    <t>Operaciones exclusivas del administrador</t>
  </si>
  <si>
    <t>Usuario vendedor activo; usuario desactivado.</t>
  </si>
  <si>
    <t>1. Con sesión de vendedor, intentar acceder a la gestión de usuarios por menú y por URL directa.
2. Intentar iniciar sesión con el usuario desactivado.</t>
  </si>
  <si>
    <t>El vendedor recibe acceso denegado validado en el servidor y el usuario desactivado no puede iniciar sesión.</t>
  </si>
  <si>
    <t>Cálculo de permisos efectivos</t>
  </si>
  <si>
    <t>Usuario con un permiso directo, uno por área y otro por cargo.</t>
  </si>
  <si>
    <t>1. Iniciar sesión con el usuario y revisar las funciones disponibles.
2. Quitar el permiso del área y volver a ingresar.</t>
  </si>
  <si>
    <t>El usuario dispone de la suma de los tres permisos; al quitar el del área deja de ver esa función.</t>
  </si>
  <si>
    <t>Validación de permisos en el servidor</t>
  </si>
  <si>
    <t>Usuario sin permiso para una función determinada.</t>
  </si>
  <si>
    <t>1. Iniciar sesión con el usuario.
2. Invocar directamente la URL o endpoint de la función restringida.</t>
  </si>
  <si>
    <t>El servidor rechaza la operación aunque la opción esté oculta en la interfaz.</t>
  </si>
  <si>
    <t>Gestión de grupos autorizadores por tipo de solicitud</t>
  </si>
  <si>
    <t>Sesión como administrador; existen usuarios activos.</t>
  </si>
  <si>
    <t>1. Crear un grupo para 'Creación de artículo' con un integrante.
2. Modificar sus integrantes.
3. Intentar dejar el grupo sin integrantes activos.</t>
  </si>
  <si>
    <t>El grupo se crea y modifica; el sistema impide guardarlo sin al menos un integrante activo.</t>
  </si>
  <si>
    <t>Gestión de permisos exclusiva del administrador</t>
  </si>
  <si>
    <t>Usuario administrador y usuario no administrador.</t>
  </si>
  <si>
    <t>1. Como administrador, modificar los permisos de un rol.
2. Como no administrador, intentar modificar permisos o grupos.</t>
  </si>
  <si>
    <t>El administrador guarda los cambios; el no administrador recibe acceso denegado.</t>
  </si>
  <si>
    <t>Asociación de SlpCode por empresa</t>
  </si>
  <si>
    <t>Sesión como administrador; usuario vendedor creado.</t>
  </si>
  <si>
    <t>1. Editar el perfil del vendedor.
2. Asociar un SlpCode de Marsella y otro de Asland.
3. Guardar.</t>
  </si>
  <si>
    <t>Cada SlpCode queda vinculado a su empresa y al usuario.</t>
  </si>
  <si>
    <t>Asignación de escala de comisión</t>
  </si>
  <si>
    <t>Existen Escala 1 y Escala 2, una marcada como predeterminada.</t>
  </si>
  <si>
    <t>1. Asignar Escala 2 a un vendedor.
2. Dejar a otro vendedor sin escala.
3. Consultar la escala efectiva de ambos.</t>
  </si>
  <si>
    <t>El primero usa Escala 2 y el segundo la escala predeterminada.</t>
  </si>
  <si>
    <t>Visibilidad del selector de empresa</t>
  </si>
  <si>
    <t>Vendedor con códigos en ambas empresas y vendedor con código en una sola.</t>
  </si>
  <si>
    <t>1. Iniciar sesión con cada vendedor.
2. Revisar la barra de navegación.</t>
  </si>
  <si>
    <t>El selector aparece solo al vendedor con códigos en ambas empresas.</t>
  </si>
  <si>
    <t>Cambio de empresa activa</t>
  </si>
  <si>
    <t>Vendedor con códigos en Marsella y Asland.</t>
  </si>
  <si>
    <t>1. Seleccionar Marsella y consultar clientes.
2. Cambiar a Asland y repetir la consulta.
3. Crear un documento de prueba.</t>
  </si>
  <si>
    <t>Consultas y documentos usan la empresa activa; la interfaz se muestra roja para Marsella y celeste para Asland.</t>
  </si>
  <si>
    <t>Creación de solicitud en estado Pendiente</t>
  </si>
  <si>
    <t>Vendedor con permiso de enviar solicitudes de código; empresa activa seleccionada.</t>
  </si>
  <si>
    <t>1. Ir a Solicitudes &gt; Nueva.
2. Elegir el tipo 'Creación de artículo' y completar los datos.
3. Guardar.</t>
  </si>
  <si>
    <t>La solicitud queda en estado Pendiente, asociada al usuario y a la empresa activa.</t>
  </si>
  <si>
    <t>Solicitud con uno o más productos</t>
  </si>
  <si>
    <t>Formulario de solicitud abierto.</t>
  </si>
  <si>
    <t>1. Agregar un producto.
2. Agregar un segundo producto.
3. Guardar la solicitud.</t>
  </si>
  <si>
    <t>La solicitud registra todos los productos ingresados según su tipo.</t>
  </si>
  <si>
    <t>Validación de respaldos y adjuntos</t>
  </si>
  <si>
    <t>Solicitud de creación en preparación; archivos de prueba en formatos válidos e inválidos.</t>
  </si>
  <si>
    <t>1. Intentar enviar sin respaldo de cotización.
2. Adjuntar un archivo con formato no permitido.
3. Adjuntar cotización, documento e imagen por producto y enviar.</t>
  </si>
  <si>
    <t>Se rechazan el envío sin respaldo y el formato no permitido; con los adjuntos exigidos la solicitud se envía.</t>
  </si>
  <si>
    <t>Derivación a la bandeja del grupo autorizador</t>
  </si>
  <si>
    <t>Grupo autorizador configurado para el tipo de solicitud.</t>
  </si>
  <si>
    <t>1. Enviar la solicitud.
2. Revisar la bandeja con un integrante del grupo y con un usuario ajeno.</t>
  </si>
  <si>
    <t>La solicitud aparece solo en la bandeja del grupo autorizador correcto.</t>
  </si>
  <si>
    <t>Acceso restringido a la bandeja del grupo</t>
  </si>
  <si>
    <t>Solicitud Pendiente; autorizador del grupo y autorizador de otro grupo.</t>
  </si>
  <si>
    <t>1. Con el autorizador de otro grupo, intentar abrir la solicitud.
2. Abrirla con el autorizador del grupo.</t>
  </si>
  <si>
    <t>Solo el integrante del grupo correspondiente puede ver y resolver la solicitud.</t>
  </si>
  <si>
    <t>Registro del responsable al tomar la solicitud</t>
  </si>
  <si>
    <t>Solicitud Pendiente en la bandeja.</t>
  </si>
  <si>
    <t>1. Tomar la solicitud desde la bandeja.
2. Revisar su detalle.</t>
  </si>
  <si>
    <t>El usuario que la tomó queda registrado como responsable.</t>
  </si>
  <si>
    <t>Rechazo con motivo obligatorio</t>
  </si>
  <si>
    <t>Solicitud tomada por el autorizador.</t>
  </si>
  <si>
    <t>1. Intentar rechazar sin comentario.
2. Rechazar indicando el motivo.
3. Revisar la solicitud como solicitante.</t>
  </si>
  <si>
    <t>El rechazo sin motivo se impide; el motivo registrado es visible para el solicitante.</t>
  </si>
  <si>
    <t>Aprobación y bloqueo de edición</t>
  </si>
  <si>
    <t>1. Aprobar la solicitud con un comentario.
2. Intentar editarla.</t>
  </si>
  <si>
    <t>La solicitud queda Aprobada con usuario, fecha, hora y comentario, y no admite edición.</t>
  </si>
  <si>
    <t>Corrección exclusiva del creador</t>
  </si>
  <si>
    <t>Solicitud Rechazada creada por el vendedor A.</t>
  </si>
  <si>
    <t>1. Con el vendedor B, intentar corregir la solicitud.
2. Con el vendedor A, corregirla.</t>
  </si>
  <si>
    <t>Solo el vendedor A puede corregir la solicitud.</t>
  </si>
  <si>
    <t>Reenvío a estado Pendiente</t>
  </si>
  <si>
    <t>Solicitud Rechazada corregida por su creador.</t>
  </si>
  <si>
    <t>1. Reenviar la solicitud.
2. Revisar su estado y la bandeja del grupo.</t>
  </si>
  <si>
    <t>La solicitud vuelve a Pendiente y aparece en la bandeja del grupo autorizador.</t>
  </si>
  <si>
    <t>Consulta del seguimiento</t>
  </si>
  <si>
    <t>Solicitud resuelta.</t>
  </si>
  <si>
    <t>1. Abrir el listado de solicitudes.
2. Consultar el detalle.</t>
  </si>
  <si>
    <t>Se muestran estado, responsable, fecha de respuesta y comentario.</t>
  </si>
  <si>
    <t>Filtros y búsqueda según permisos</t>
  </si>
  <si>
    <t>Solicitudes con distintos estados, fechas, áreas y responsables.</t>
  </si>
  <si>
    <t>1. Filtrar por estado, fecha, área y responsable.
2. Repetir con un usuario de menor alcance.</t>
  </si>
  <si>
    <t>Los resultados coinciden con los filtros y solo incluyen solicitudes permitidas para cada usuario.</t>
  </si>
  <si>
    <t>Consulta de productos y stock en la empresa activa</t>
  </si>
  <si>
    <t>API de lectura disponible (real o simulada); empresa activa seleccionada.</t>
  </si>
  <si>
    <t>1. Buscar un producto.
2. Revisar su stock.
3. Comparar con el dato del ERP o del servicio simulado.</t>
  </si>
  <si>
    <t>Los datos mostrados coinciden con el ERP para la empresa activa.</t>
  </si>
  <si>
    <t>Cartera de clientes de vendedor y asistente</t>
  </si>
  <si>
    <t>Vendedor con clientes asignados; asistente asignado a dos vendedores.</t>
  </si>
  <si>
    <t>1. Consultar clientes con el vendedor.
2. Consultar clientes con el asistente.</t>
  </si>
  <si>
    <t>El vendedor ve solo sus clientes y el asistente los de sus vendedores asignados.</t>
  </si>
  <si>
    <t>Datos del ERP en solo lectura</t>
  </si>
  <si>
    <t>Consulta de producto y de cliente abiertas.</t>
  </si>
  <si>
    <t>1. Intentar editar stock, precio, crédito o bloqueo.
2. Verificar que no existan maestros locales con esos datos.</t>
  </si>
  <si>
    <t>Los campos son de solo lectura y los datos no se duplican en la plataforma.</t>
  </si>
  <si>
    <t>Identificación de cliente bloqueado</t>
  </si>
  <si>
    <t>Cliente marcado como bloqueado en el ERP o servicio simulado.</t>
  </si>
  <si>
    <t>1. Consultar el cliente bloqueado.</t>
  </si>
  <si>
    <t>El cliente aparece identificado como bloqueado antes de iniciar una orden de venta.</t>
  </si>
  <si>
    <t>Validación de cliente y líneas de la cotización</t>
  </si>
  <si>
    <t>Vendedor con sesión iniciada.</t>
  </si>
  <si>
    <t>1. Intentar guardar una cotización sin cliente.
2. Intentar guardarla sin líneas.
3. Guardarla con cliente y dos líneas.</t>
  </si>
  <si>
    <t>Se impiden los dos primeros casos y la cotización con datos completos se guarda.</t>
  </si>
  <si>
    <t>Selección del vendedor por parte del asistente</t>
  </si>
  <si>
    <t>Vendedor y asistente con vendedores asignados en la empresa activa.</t>
  </si>
  <si>
    <t>1. Crear una cotización con el vendedor.
2. Crear otra con el asistente y revisar la lista de vendedores disponibles.</t>
  </si>
  <si>
    <t>El vendedor emite con su SlpCode; el asistente solo elige entre sus vendedores asignados en la empresa activa.</t>
  </si>
  <si>
    <t>Registro de creador y vendedor del documento</t>
  </si>
  <si>
    <t>Cotización creada por un asistente a nombre de un vendedor.</t>
  </si>
  <si>
    <t>1. Abrir el detalle de la cotización.</t>
  </si>
  <si>
    <t>Se registran el usuario creador y el vendedor (SlpCode) a cuyo nombre se emitió.</t>
  </si>
  <si>
    <t>Cálculo de comisión según escala</t>
  </si>
  <si>
    <t>Vendedor con escala asignada y vendedor sin escala.</t>
  </si>
  <si>
    <t>1. Crear una cotización para cada vendedor.
2. Revisar la comisión calculada.</t>
  </si>
  <si>
    <t>Se aplica la escala del vendedor o la predeterminada cuando no tiene una asignada.</t>
  </si>
  <si>
    <t>Generación de cotización imprimible</t>
  </si>
  <si>
    <t>Cotización guardada.</t>
  </si>
  <si>
    <t>1. Abrir la cotización.
2. Descargar o imprimir el documento.</t>
  </si>
  <si>
    <t>Se genera el documento con los datos de la cotización en formato imprimible o descargable.</t>
  </si>
  <si>
    <t>Conversión solo de cotizaciones abiertas y aceptadas</t>
  </si>
  <si>
    <t>Una cotización abierta y aceptada, y otra no aceptada o cerrada.</t>
  </si>
  <si>
    <t>1. Intentar convertir la cotización no aceptada.
2. Convertir la cotización aceptada.</t>
  </si>
  <si>
    <t>Solo la cotización abierta y aceptada se convierte en solicitud de orden de venta.</t>
  </si>
  <si>
    <t>Herencia de datos y vínculo con la cotización</t>
  </si>
  <si>
    <t>Cotización aceptada convertida.</t>
  </si>
  <si>
    <t>1. Abrir la solicitud de orden de venta generada.
2. Comparar cliente, líneas y condiciones con la cotización.</t>
  </si>
  <si>
    <t>La solicitud hereda los datos y registra el vínculo con la cotización de origen.</t>
  </si>
  <si>
    <t>Bloqueo por cliente bloqueado</t>
  </si>
  <si>
    <t>Cotización aceptada de un cliente bloqueado.</t>
  </si>
  <si>
    <t>1. Intentar convertir la cotización.</t>
  </si>
  <si>
    <t>El sistema impide continuar e informa que el cliente está bloqueado.</t>
  </si>
  <si>
    <t>Autorización previa por superar límites</t>
  </si>
  <si>
    <t>Límites de autorización configurados; solicitud que los supera.</t>
  </si>
  <si>
    <t>1. Enviar la solicitud de orden de venta.
2. Revisar su estado.</t>
  </si>
  <si>
    <t>La solicitud queda pendiente de autorización y no se envía al ERP.</t>
  </si>
  <si>
    <t>Aprobación solo por rol autorizado</t>
  </si>
  <si>
    <t>Solicitud pendiente de autorización; autorizador comercial y usuario sin ese rol.</t>
  </si>
  <si>
    <t>1. Intentar aprobar con el usuario sin rol.
2. Aprobar con el autorizador comercial.</t>
  </si>
  <si>
    <t>Solo el rol autorizado puede aprobar el envío.</t>
  </si>
  <si>
    <t>Envío exacto del documento autorizado</t>
  </si>
  <si>
    <t>Orden autorizada; Service Layer real o simulado disponible.</t>
  </si>
  <si>
    <t>1. Enviar la orden al ERP.
2. Comparar el documento recibido con el autorizado.</t>
  </si>
  <si>
    <t>El ERP recibe el mismo documento y devuelve un resultado e identificador que quedan registrados.</t>
  </si>
  <si>
    <t>Consulta de estado y trazabilidad del documento</t>
  </si>
  <si>
    <t>Orden enviada al ERP.</t>
  </si>
  <si>
    <t>1. Consultar el documento enviado.</t>
  </si>
  <si>
    <t>Se muestran estado, identificador del ERP, vínculo con la cotización e historial de acciones.</t>
  </si>
  <si>
    <t>Notificación solo a destinatarios autorizados</t>
  </si>
  <si>
    <t>Grupo autorizador configurado; usuario ajeno al grupo.</t>
  </si>
  <si>
    <t>1. Enviar una solicitud.
2. Revisar las notificaciones de un integrante del grupo y del usuario ajeno.</t>
  </si>
  <si>
    <t>Solo los integrantes del grupo reciben la notificación.</t>
  </si>
  <si>
    <t>Contenido de la notificación</t>
  </si>
  <si>
    <t>Notificación generada.</t>
  </si>
  <si>
    <t>1. Abrir la campana de notificaciones.
2. Revisar la notificación y usar su enlace.</t>
  </si>
  <si>
    <t>Muestra categoría, emisor, nivel y un enlace que abre el proceso.</t>
  </si>
  <si>
    <t>Recordatorio automático tras una hora</t>
  </si>
  <si>
    <t>Solicitud Pendiente sin atender.</t>
  </si>
  <si>
    <t>1. Dejar la solicitud pendiente más de una hora (o ajustar su fecha en los datos de prueba).
2. Ejecutar la tarea programada.
3. Revisar las notificaciones.</t>
  </si>
  <si>
    <t>Se genera un recordatorio automático para el grupo autorizador.</t>
  </si>
  <si>
    <t>Privacidad de las notificaciones</t>
  </si>
  <si>
    <t>Notificación dirigida al usuario A.</t>
  </si>
  <si>
    <t>1. Con el usuario B, intentar abrir la notificación de A por URL.</t>
  </si>
  <si>
    <t>El sistema deniega el acceso.</t>
  </si>
  <si>
    <t>Aviso al participante ante cambios</t>
  </si>
  <si>
    <t>Solicitud del vendedor en revisión.</t>
  </si>
  <si>
    <t>1. Aprobar, rechazar u observar la solicitud.
2. Revisar las notificaciones del vendedor.</t>
  </si>
  <si>
    <t>El vendedor recibe una notificación por cada cambio relevante.</t>
  </si>
  <si>
    <t>Diferenciación de campanas</t>
  </si>
  <si>
    <t>Notificaciones generales y de autorización de órdenes de venta.</t>
  </si>
  <si>
    <t>1. Revisar ambas campanas de la barra superior.</t>
  </si>
  <si>
    <t>Cada campana muestra solo su tipo de avisos.</t>
  </si>
  <si>
    <t>Administración de notificaciones</t>
  </si>
  <si>
    <t>Varias notificaciones sin leer.</t>
  </si>
  <si>
    <t>1. Abrir una notificación.
2. Marcar todas como leídas.
3. Eliminar una y luego todas.</t>
  </si>
  <si>
    <t>Cada acción se aplica correctamente en la página de notificaciones.</t>
  </si>
  <si>
    <t>Fecha de lectura y enlace al origen</t>
  </si>
  <si>
    <t>Notificación sin leer.</t>
  </si>
  <si>
    <t>1. Abrir la notificación.
2. Revisar la fecha de lectura.</t>
  </si>
  <si>
    <t>Se registra la fecha de lectura y el enlace abre el proceso de origen.</t>
  </si>
  <si>
    <t>Registro de cada cambio de estado</t>
  </si>
  <si>
    <t>Proceso en curso.</t>
  </si>
  <si>
    <t>1. Cambiar el estado del proceso con un comentario.
2. Revisar el historial.</t>
  </si>
  <si>
    <t>Consulta del estado y la secuencia histórica</t>
  </si>
  <si>
    <t>Proceso con historial.</t>
  </si>
  <si>
    <t>1. Abrir la trazabilidad del proceso.</t>
  </si>
  <si>
    <t>Se muestran estado actual, responsable y la secuencia histórica completa.</t>
  </si>
  <si>
    <t>Inmutabilidad de respuestas resueltas</t>
  </si>
  <si>
    <t>Proceso resuelto.</t>
  </si>
  <si>
    <t>1. Intentar editar la respuesta desde la interfaz y por URL directa.</t>
  </si>
  <si>
    <t>El sistema impide la edición.</t>
  </si>
  <si>
    <t>Visibilidad según participación y rol</t>
  </si>
  <si>
    <t>Procesos propios, asignados y ajenos.</t>
  </si>
  <si>
    <t>1. Consultar la trazabilidad con un vendedor.
2. Consultarla con una jefatura autorizada.</t>
  </si>
  <si>
    <t>Cada usuario ve solo los procesos propios, asignados o permitidos por su rol.</t>
  </si>
  <si>
    <t>Consulta de solo lectura con respuesta JSON</t>
  </si>
  <si>
    <t>API en ejecución con usuario de base de datos de solo lectura.</t>
  </si>
  <si>
    <t>1. Consultar productos mediante la API.
2. Intentar una operación de escritura con el usuario de la API.</t>
  </si>
  <si>
    <t>La API responde en JSON y la escritura es rechazada por falta de permisos.</t>
  </si>
  <si>
    <t>Validación de firma de las peticiones</t>
  </si>
  <si>
    <t>API en ejecución.</t>
  </si>
  <si>
    <t>1. Enviar una petición con firma válida.
2. Enviar una sin firma o con firma alterada.</t>
  </si>
  <si>
    <t>La primera responde correctamente; la segunda se rechaza.</t>
  </si>
  <si>
    <t>Credenciales fuera del código</t>
  </si>
  <si>
    <t>Repositorio del proyecto disponible.</t>
  </si>
  <si>
    <t>1. Revisar el código fuente en busca de credenciales.
2. Verificar la configuración por variables de entorno.</t>
  </si>
  <si>
    <t>No existen credenciales en el código; se leen desde variables de entorno.</t>
  </si>
  <si>
    <t>Paginación, tiempo límite y rendimiento</t>
  </si>
  <si>
    <t>Datos ficticios con volumen suficiente.</t>
  </si>
  <si>
    <t>1. Consultar un listado grande.
2. Simular un servicio lento.
3. Medir el tiempo de consultas normales.</t>
  </si>
  <si>
    <t>El listado se pagina, se aplican tiempo límite y reintentos acotados, y las consultas normales responden en menos de 3 segundos.</t>
  </si>
  <si>
    <t>Sin escrituras directas sobre SAP HANA</t>
  </si>
  <si>
    <t>Código de integración disponible.</t>
  </si>
  <si>
    <t>1. Revisar el código y los permisos del usuario de base de datos.
2. Crear un documento de prueba.</t>
  </si>
  <si>
    <t>La escritura se ejecuta por Service Layer; no hay escrituras directas sobre HANA.</t>
  </si>
  <si>
    <t>Envío solo con autorización registrada</t>
  </si>
  <si>
    <t>Documento que requiere autorización y no la tiene.</t>
  </si>
  <si>
    <t>1. Intentar enviarlo al ERP.</t>
  </si>
  <si>
    <t>El envío se bloquea hasta registrar la autorización.</t>
  </si>
  <si>
    <t>Validaciones y resultado de Service Layer</t>
  </si>
  <si>
    <t>Service Layer real o simulado.</t>
  </si>
  <si>
    <t>1. Enviar un documento válido.
2. Enviar uno con datos inválidos.</t>
  </si>
  <si>
    <t>Se registra el resultado exitoso del primero y el error de validación del segundo.</t>
  </si>
  <si>
    <t>Conservación del documento autorizado</t>
  </si>
  <si>
    <t>Documento autorizado.</t>
  </si>
  <si>
    <t>1. Enviar el documento.
2. Comparar lo enviado con lo autorizado.</t>
  </si>
  <si>
    <t>El documento enviado coincide exactamente con el autorizado.</t>
  </si>
  <si>
    <t>Registro del resultado de cada envío</t>
  </si>
  <si>
    <t>Envíos exitosos y fallidos realizados.</t>
  </si>
  <si>
    <t>1. Consultar el registro de operaciones.</t>
  </si>
  <si>
    <t>Cada envío muestra documento, resultado, identificador y mensaje de error.</t>
  </si>
  <si>
    <t>Mensajes de error comprensibles</t>
  </si>
  <si>
    <t>Envío fallido por error de SAP.</t>
  </si>
  <si>
    <t>1. Revisar el mensaje mostrado al usuario.</t>
  </si>
  <si>
    <t>El mensaje indica en lenguaje claro qué ocurrió y qué corregir.</t>
  </si>
  <si>
    <t>Reintento sin duplicados</t>
  </si>
  <si>
    <t>Envío fallido con líneas parcialmente creadas (simulado).</t>
  </si>
  <si>
    <t>1. Reintentar el envío.
2. Revisar el documento en el ERP.</t>
  </si>
  <si>
    <t>Se reutiliza el documento autorizado y no se duplican líneas ni resultados.</t>
  </si>
  <si>
    <t>Atomicidad ante error</t>
  </si>
  <si>
    <t>Error simulado a mitad de la operación.</t>
  </si>
  <si>
    <t>1. Ejecutar la operación con el error simulado.
2. Revisar la base de datos.</t>
  </si>
  <si>
    <t>La operación queda completa o no se registra; no hay registros parciales.</t>
  </si>
  <si>
    <t>Tipos de caso disponibles</t>
  </si>
  <si>
    <t>1. Abrir Posventa &gt; Nuevo caso.
2. Revisar los tipos disponibles.</t>
  </si>
  <si>
    <t>Están disponibles devolución, cambio, servicio técnico, producto faltante, desistimiento y nota de crédito.</t>
  </si>
  <si>
    <t>Registro de datos y documento de respaldo</t>
  </si>
  <si>
    <t>Cliente y guía de despacho de prueba.</t>
  </si>
  <si>
    <t>1. Completar cliente, vendedor, empresa y productos.
2. Indicar guía de despacho o factura de reserva.
3. Guardar.</t>
  </si>
  <si>
    <t>El caso se registra con todos sus datos y su documento de respaldo.</t>
  </si>
  <si>
    <t>Evidencias obligatorias y excepción</t>
  </si>
  <si>
    <t>Caso con guía de despacho y caso con factura de reserva.</t>
  </si>
  <si>
    <t>1. Intentar guardar el caso con guía sin evidencias.
2. Guardar el caso con factura de reserva sin evidencias.</t>
  </si>
  <si>
    <t>El primero exige evidencias; el segundo se guarda por la excepción.</t>
  </si>
  <si>
    <t>Acceso restringido a las evidencias</t>
  </si>
  <si>
    <t>Caso con evidencias; usuario no participante.</t>
  </si>
  <si>
    <t>1. Intentar abrir las evidencias con el usuario no participante.</t>
  </si>
  <si>
    <t>El acceso es denegado.</t>
  </si>
  <si>
    <t>Caso Pendiente con guía de despacho.</t>
  </si>
  <si>
    <t>1. Registrar la evaluación de producto, accesorios, manual y embalaje.</t>
  </si>
  <si>
    <t>Solo se aceptan los valores Excelente, Bueno, Regular, Malo o No aplica.</t>
  </si>
  <si>
    <t>Rechazo, corrección y reenvío</t>
  </si>
  <si>
    <t>Caso Pendiente.</t>
  </si>
  <si>
    <t>1. Intentar rechazar sin motivo.
2. Rechazar con motivo.
3. Como creador, corregir y reenviar.</t>
  </si>
  <si>
    <t>El rechazo exige motivo y el caso reenviado vuelve a Pendiente.</t>
  </si>
  <si>
    <t>Aprobación y liberación del QR</t>
  </si>
  <si>
    <t>Caso Pendiente; autorizador de posventa y otro usuario.</t>
  </si>
  <si>
    <t>1. Intentar aprobar con el otro usuario.
2. Aprobar con el autorizador de posventa.</t>
  </si>
  <si>
    <t>Solo el autorizador de posventa aprueba y se libera el comprobante QR.</t>
  </si>
  <si>
    <t>Descarga del comprobante y QR enviado</t>
  </si>
  <si>
    <t>Caso autorizado.</t>
  </si>
  <si>
    <t>1. Como solicitante, descargar el comprobante.
2. Verificar sus datos y el QR.
3. Marcar el caso como QR enviado al cliente.</t>
  </si>
  <si>
    <t>El comprobante contiene los datos del caso y el estado cambia a QR enviado.</t>
  </si>
  <si>
    <t>Flujo de estados con guía de despacho</t>
  </si>
  <si>
    <t>Caso con guía en estado Autorizado.</t>
  </si>
  <si>
    <t>1. Avanzar por QR enviado y Recepcionado.
2. Clasificar como stock o proveedor y continuar hasta el cierre.</t>
  </si>
  <si>
    <t>El caso recorre los estados definidos en el orden correcto.</t>
  </si>
  <si>
    <t>Ruta con factura de reserva</t>
  </si>
  <si>
    <t>Caso con factura de reserva en estado Pendiente.</t>
  </si>
  <si>
    <t>1. Resolver el caso.</t>
  </si>
  <si>
    <t>El caso no pasa por QR ni recepción y se resuelve por la ruta correspondiente.</t>
  </si>
  <si>
    <t>Notificaciones y observaciones en cada cambio</t>
  </si>
  <si>
    <t>Caso en curso.</t>
  </si>
  <si>
    <t>1. Cambiar el estado y registrar una observación.
2. Revisar las notificaciones del vendedor y del autorizador.</t>
  </si>
  <si>
    <t>Ambos reciben la notificación y la observación es visible para el vendedor.</t>
  </si>
  <si>
    <t>Cierre exclusivo y bloqueo posterior</t>
  </si>
  <si>
    <t>Caso listo para cierre.</t>
  </si>
  <si>
    <t>1. Intentar cerrarlo con un vendedor.
2. Cerrarlo con el autorizador registrando la resolución.
3. Intentar un nuevo cambio de estado.</t>
  </si>
  <si>
    <t>Solo el autorizador cierra el caso y, una vez cerrado, no acepta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</si>
</sst>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00000"/>
      <name val="Aptos"/>
    </font>
    <font>
      <i/>
      <sz val="10"/>
      <color rgb="FF5F6B73"/>
      <name val="Aptos"/>
    </font>
    <font>
      <b/>
      <sz val="10"/>
      <color rgb="FF1F2937"/>
      <name val="Aptos"/>
    </font>
    <font>
      <b/>
      <sz val="10"/>
      <color rgb="FFFFFFFF"/>
      <name val="Aptos"/>
    </font>
    <font>
      <sz val="10"/>
      <color rgb="FF1F2937"/>
      <name val="Aptos"/>
    </font>
    <font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EF5FA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/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14" fontId="5" fillId="6" borderId="2" xfId="0" applyNumberFormat="1" applyFont="1" applyFill="1" applyBorder="1" applyAlignment="1">
      <alignment vertical="center" wrapText="1"/>
    </xf>
    <xf numFmtId="0" fontId="6" fillId="0" borderId="0" xfId="0" applyFont="1"/>
    <xf numFmtId="0" fontId="6" fillId="0" borderId="1" xfId="0" applyFont="1" applyBorder="1"/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6"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eabilityMatrixTable" displayName="TraceabilityMatrixTable" ref="A7:R85" totalsRowShown="0">
  <tableColumns count="18">
    <tableColumn id="1" xr3:uid="{00000000-0010-0000-0000-000001000000}" name="N.º"/>
    <tableColumn id="2" xr3:uid="{00000000-0010-0000-0000-000002000000}" name="Estado de trazabilidad"/>
    <tableColumn id="3" xr3:uid="{00000000-0010-0000-0000-000003000000}" name="ID Objetivo"/>
    <tableColumn id="4" xr3:uid="{00000000-0010-0000-0000-000004000000}" name="Objetivo"/>
    <tableColumn id="5" xr3:uid="{00000000-0010-0000-0000-000005000000}" name="ID Proceso"/>
    <tableColumn id="6" xr3:uid="{00000000-0010-0000-0000-000006000000}" name="Proceso / Módulo"/>
    <tableColumn id="7" xr3:uid="{00000000-0010-0000-0000-000007000000}" name="ID Requerimiento"/>
    <tableColumn id="8" xr3:uid="{00000000-0010-0000-0000-000008000000}" name="Requerimiento"/>
    <tableColumn id="9" xr3:uid="{00000000-0010-0000-0000-000009000000}" name="ID HU"/>
    <tableColumn id="10" xr3:uid="{00000000-0010-0000-0000-00000A000000}" name="Historia de usuario"/>
    <tableColumn id="11" xr3:uid="{00000000-0010-0000-0000-00000B000000}" name="ID Criterio"/>
    <tableColumn id="12" xr3:uid="{00000000-0010-0000-0000-00000C000000}" name="Criterio de aceptación"/>
    <tableColumn id="13" xr3:uid="{00000000-0010-0000-0000-00000D000000}" name="ID Caso de prueba"/>
    <tableColumn id="14" xr3:uid="{00000000-0010-0000-0000-00000E000000}" name="Caso / Escenario"/>
    <tableColumn id="15" xr3:uid="{00000000-0010-0000-0000-00000F000000}" name="Estado prueba"/>
    <tableColumn id="16" xr3:uid="{00000000-0010-0000-0000-000010000000}" name="ID Evidencia"/>
    <tableColumn id="17" xr3:uid="{00000000-0010-0000-0000-000011000000}" name="Evidencia / Enlace"/>
    <tableColumn id="18" xr3:uid="{00000000-0010-0000-0000-000012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jectivesProcessesTable" displayName="ObjectivesProcessesTable" ref="A5:H35" totalsRowShown="0">
  <tableColumns count="8">
    <tableColumn id="1" xr3:uid="{00000000-0010-0000-0100-000001000000}" name="ID Objetivo"/>
    <tableColumn id="2" xr3:uid="{00000000-0010-0000-0100-000002000000}" name="Objetivo"/>
    <tableColumn id="3" xr3:uid="{00000000-0010-0000-0100-000003000000}" name="ID Proceso"/>
    <tableColumn id="4" xr3:uid="{00000000-0010-0000-0100-000004000000}" name="Proceso"/>
    <tableColumn id="5" xr3:uid="{00000000-0010-0000-0100-000005000000}" name="Módulo"/>
    <tableColumn id="6" xr3:uid="{00000000-0010-0000-0100-000006000000}" name="Indicador / Resultado esperado"/>
    <tableColumn id="7" xr3:uid="{00000000-0010-0000-0100-000007000000}" name="Responsable"/>
    <tableColumn id="8" xr3:uid="{00000000-0010-0000-0100-000008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quirementsTable" displayName="RequirementsTable" ref="A5:M43" totalsRowShown="0">
  <tableColumns count="13">
    <tableColumn id="1" xr3:uid="{00000000-0010-0000-0200-000001000000}" name="ID Requerimiento"/>
    <tableColumn id="2" xr3:uid="{00000000-0010-0000-0200-000002000000}" name="ID Objetivo"/>
    <tableColumn id="3" xr3:uid="{00000000-0010-0000-0200-000003000000}" name="ID Proceso"/>
    <tableColumn id="4" xr3:uid="{00000000-0010-0000-0200-000004000000}" name="Tipo"/>
    <tableColumn id="5" xr3:uid="{00000000-0010-0000-0200-000005000000}" name="Módulo"/>
    <tableColumn id="6" xr3:uid="{00000000-0010-0000-0200-000006000000}" name="Nombre corto"/>
    <tableColumn id="7" xr3:uid="{00000000-0010-0000-0200-000007000000}" name="Descripción"/>
    <tableColumn id="8" xr3:uid="{00000000-0010-0000-0200-000008000000}" name="Fuente"/>
    <tableColumn id="9" xr3:uid="{00000000-0010-0000-0200-000009000000}" name="Prioridad"/>
    <tableColumn id="10" xr3:uid="{00000000-0010-0000-0200-00000A000000}" name="Dependencias"/>
    <tableColumn id="11" xr3:uid="{00000000-0010-0000-0200-00000B000000}" name="Estado"/>
    <tableColumn id="12" xr3:uid="{00000000-0010-0000-0200-00000C000000}" name="Responsable"/>
    <tableColumn id="13" xr3:uid="{00000000-0010-0000-0200-00000D000000}" name="Vers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oriesCriteriaTable" displayName="StoriesCriteriaTable" ref="A5:P83" totalsRowShown="0">
  <tableColumns count="16">
    <tableColumn id="1" xr3:uid="{00000000-0010-0000-0300-000001000000}" name="ID Criterio"/>
    <tableColumn id="2" xr3:uid="{00000000-0010-0000-0300-000002000000}" name="ID HU"/>
    <tableColumn id="3" xr3:uid="{00000000-0010-0000-0300-000003000000}" name="ID Requerimiento"/>
    <tableColumn id="4" xr3:uid="{00000000-0010-0000-0300-000004000000}" name="ID Épica"/>
    <tableColumn id="5" xr3:uid="{00000000-0010-0000-0300-000005000000}" name="Funcionalidad"/>
    <tableColumn id="6" xr3:uid="{00000000-0010-0000-0300-000006000000}" name="Título HU"/>
    <tableColumn id="7" xr3:uid="{00000000-0010-0000-0300-000007000000}" name="Como"/>
    <tableColumn id="8" xr3:uid="{00000000-0010-0000-0300-000008000000}" name="Quiero"/>
    <tableColumn id="9" xr3:uid="{00000000-0010-0000-0300-000009000000}" name="Para"/>
    <tableColumn id="10" xr3:uid="{00000000-0010-0000-0300-00000A000000}" name="Historia completa"/>
    <tableColumn id="11" xr3:uid="{00000000-0010-0000-0300-00000B000000}" name="Criterio de aceptación"/>
    <tableColumn id="12" xr3:uid="{00000000-0010-0000-0300-00000C000000}" name="Prioridad"/>
    <tableColumn id="13" xr3:uid="{00000000-0010-0000-0300-00000D000000}" name="Estimación SP"/>
    <tableColumn id="14" xr3:uid="{00000000-0010-0000-0300-00000E000000}" name="Sprint"/>
    <tableColumn id="15" xr3:uid="{00000000-0010-0000-0300-00000F000000}" name="Estado"/>
    <tableColumn id="16" xr3:uid="{00000000-0010-0000-0300-000010000000}" name="Respons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stsEvidenceTable" displayName="TestsEvidenceTable" ref="A5:O83" totalsRowShown="0">
  <tableColumns count="15">
    <tableColumn id="1" xr3:uid="{00000000-0010-0000-0400-000001000000}" name="ID Caso prueba"/>
    <tableColumn id="2" xr3:uid="{00000000-0010-0000-0400-000002000000}" name="ID Criterio"/>
    <tableColumn id="3" xr3:uid="{00000000-0010-0000-0400-000003000000}" name="ID HU"/>
    <tableColumn id="4" xr3:uid="{00000000-0010-0000-0400-000004000000}" name="ID Requerimiento"/>
    <tableColumn id="5" xr3:uid="{00000000-0010-0000-0400-000005000000}" name="Caso / Escenario"/>
    <tableColumn id="6" xr3:uid="{00000000-0010-0000-0400-000006000000}" name="Precondiciones"/>
    <tableColumn id="7" xr3:uid="{00000000-0010-0000-0400-000007000000}" name="Pasos"/>
    <tableColumn id="8" xr3:uid="{00000000-0010-0000-0400-000008000000}" name="Resultado esperado"/>
    <tableColumn id="9" xr3:uid="{00000000-0010-0000-0400-000009000000}" name="Resultado obtenido"/>
    <tableColumn id="10" xr3:uid="{00000000-0010-0000-0400-00000A000000}" name="Estado prueba"/>
    <tableColumn id="11" xr3:uid="{00000000-0010-0000-0400-00000B000000}" name="ID Evidencia"/>
    <tableColumn id="12" xr3:uid="{00000000-0010-0000-0400-00000C000000}" name="Evidencia / Enlace / Ruta"/>
    <tableColumn id="13" xr3:uid="{00000000-0010-0000-0400-00000D000000}" name="Fecha"/>
    <tableColumn id="14" xr3:uid="{00000000-0010-0000-0400-00000E000000}" name="Responsable"/>
    <tableColumn id="15" xr3:uid="{00000000-0010-0000-0400-00000F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R8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baseColWidth="10" defaultColWidth="9" defaultRowHeight="14.25"/>
  <cols>
    <col min="1" max="1" width="7" customWidth="1"/>
    <col min="2" max="2" width="24" customWidth="1"/>
    <col min="3" max="3" width="12" customWidth="1"/>
    <col min="4" max="4" width="28" customWidth="1"/>
    <col min="5" max="5" width="12" customWidth="1"/>
    <col min="6" max="6" width="30" customWidth="1"/>
    <col min="7" max="7" width="15" customWidth="1"/>
    <col min="8" max="8" width="34" customWidth="1"/>
    <col min="9" max="9" width="11" customWidth="1"/>
    <col min="10" max="10" width="38" customWidth="1"/>
    <col min="11" max="11" width="12" customWidth="1"/>
    <col min="12" max="12" width="38" customWidth="1"/>
    <col min="13" max="13" width="15" customWidth="1"/>
    <col min="14" max="14" width="30" customWidth="1"/>
    <col min="15" max="15" width="15" customWidth="1"/>
    <col min="16" max="16" width="13" customWidth="1"/>
    <col min="17" max="18" width="28" customWidth="1"/>
  </cols>
  <sheetData>
    <row r="2" spans="1:18" ht="27.95" customHeight="1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27.95" customHeight="1">
      <c r="A4" s="18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5">
      <c r="A5" s="1" t="s">
        <v>2</v>
      </c>
      <c r="B5" s="2" t="s">
        <v>3</v>
      </c>
      <c r="C5" s="2">
        <f>COUNTIF(G8:G85,"?*")</f>
        <v>78</v>
      </c>
      <c r="D5" s="2" t="s">
        <v>4</v>
      </c>
      <c r="E5" s="2">
        <f>COUNTIF(B8:B85,"Trazabilidad completa")</f>
        <v>0</v>
      </c>
      <c r="F5" s="2" t="s">
        <v>5</v>
      </c>
      <c r="G5" s="2">
        <f>COUNTIF(G8:G85,"?*")-COUNTIF(B8:B85,"Trazabilidad completa")</f>
        <v>78</v>
      </c>
      <c r="H5" s="2" t="s">
        <v>6</v>
      </c>
      <c r="I5" s="2">
        <f>COUNTIF(O8:O85,"Aprobado")</f>
        <v>0</v>
      </c>
      <c r="J5" s="2" t="s">
        <v>7</v>
      </c>
      <c r="K5" s="2">
        <f>COUNTIF(O8:O85,"Fallido")</f>
        <v>0</v>
      </c>
      <c r="L5" s="14"/>
      <c r="M5" s="14"/>
      <c r="N5" s="14"/>
      <c r="O5" s="14"/>
      <c r="P5" s="14"/>
      <c r="Q5" s="14"/>
      <c r="R5" s="14"/>
    </row>
    <row r="6" spans="1:18" ht="1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38.1" customHeigh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23</v>
      </c>
      <c r="Q7" s="3" t="s">
        <v>24</v>
      </c>
      <c r="R7" s="3" t="s">
        <v>25</v>
      </c>
    </row>
    <row r="8" spans="1:18" ht="62.1" customHeight="1">
      <c r="A8" s="6">
        <v>1</v>
      </c>
      <c r="B8" s="5" t="str">
        <f>IF($G8="","",IF($K8="","Falta criterio",IFERROR(IF(VLOOKUP($K8,'Historias y criterios'!$A$6:$P$83,3,FALSE)&lt;&gt;$G8,"Revisar relación requisito-criterio",IF($M8="","Falta caso de prueba",IF(VLOOKUP($M8,'Casos y evidencias'!$A$6:$O$83,2,FALSE)&lt;&gt;$K8,"Revisar relación criterio-caso",IF($O8="Aprobado",IF($P8="","Falta evidencia","Trazabilidad completa"),IF($O8="Fallido","Prueba fallida",IF($O8="Bloqueado","Prueba bloqueada","Prueba pendiente")))))),"ID no encontrado")))</f>
        <v>Prueba pendiente</v>
      </c>
      <c r="C8" s="7" t="str">
        <f>IF($G8="","",IFERROR(IF(VLOOKUP($G8,Requerimientos!$A$6:$M$43,2,FALSE)="","",VLOOKUP($G8,Requerimientos!$A$6:$M$43,2,FALSE)),"ID no encontrado"))</f>
        <v>OBJ-001</v>
      </c>
      <c r="D8" s="5" t="str">
        <f>IF($C8="","",IFERROR(IF(VLOOKUP($C8,'Objetivos y procesos'!$A$6:$H$35,2,FALSE)="","",VLOOKUP($C8,'Objetivos y procesos'!$A$6:$H$35,2,FALSE)),"ID no encontrado"))</f>
        <v>Proteger la plataforma y asegurar que cada usuario opere con el perfil, empresa y vendedor correctos.</v>
      </c>
      <c r="E8" s="7" t="str">
        <f>IF($G8="","",IFERROR(IF(VLOOKUP($G8,Requerimientos!$A$6:$M$43,3,FALSE)="","",VLOOKUP($G8,Requerimientos!$A$6:$M$43,3,FALSE)),"ID no encontrado"))</f>
        <v>PR-01</v>
      </c>
      <c r="F8" s="5" t="str">
        <f>IF($E8="","",IFERROR(IF(INDEX('Objetivos y procesos'!$D$6:$D$35,MATCH($E8,'Objetivos y procesos'!$C$6:$C$35,0))="","",IF(INDEX('Objetivos y procesos'!$D$6:$D$35,MATCH($E8,'Objetivos y procesos'!$C$6:$C$35,0))=INDEX('Objetivos y procesos'!$E$6:$E$35,MATCH($E8,'Objetivos y procesos'!$C$6:$C$35,0)),INDEX('Objetivos y procesos'!$D$6:$D$35,MATCH($E8,'Objetivos y procesos'!$C$6:$C$35,0)),INDEX('Objetivos y procesos'!$D$6:$D$35,MATCH($E8,'Objetivos y procesos'!$C$6:$C$35,0))&amp;IF(INDEX('Objetivos y procesos'!$E$6:$E$35,MATCH($E8,'Objetivos y procesos'!$C$6:$C$35,0))="",""," / "&amp;INDEX('Objetivos y procesos'!$E$6:$E$35,MATCH($E8,'Objetivos y procesos'!$C$6:$C$35,0))))),"ID no encontrado"))</f>
        <v>Gestión de usuarios, roles y permisos</v>
      </c>
      <c r="G8" s="8" t="s">
        <v>26</v>
      </c>
      <c r="H8" s="5" t="str">
        <f>IF($G8="","",IFERROR(IF(VLOOKUP($G8,Requerimientos!$A$6:$M$43,7,FALSE)="","",VLOOKUP($G8,Requerimientos!$A$6:$M$43,7,FALSE)),"ID no encontrado"))</f>
        <v>El sistema debe permitir que un usuario se autentique mediante usuario y contraseña.</v>
      </c>
      <c r="I8" s="7" t="str">
        <f>IF($K8="","",IFERROR(IF(VLOOKUP($K8,'Historias y criterios'!$A$6:$P$83,2,FALSE)="","",VLOOKUP($K8,'Historias y criterios'!$A$6:$P$83,2,FALSE)),"ID no encontrado"))</f>
        <v>HU-001</v>
      </c>
      <c r="J8" s="5" t="str">
        <f>IF($K8="","",IFERROR(IF(VLOOKUP($K8,'Historias y criterios'!$A$6:$P$83,10,FALSE)="","",VLOOKUP($K8,'Historias y criterios'!$A$6:$P$83,10,FALSE)),"ID no encontrado"))</f>
        <v>Como usuario habilitado, quiero iniciar sesión de forma segura y mantener una sesión controlada, para acceder únicamente a las funciones autorizadas</v>
      </c>
      <c r="K8" s="8" t="s">
        <v>27</v>
      </c>
      <c r="L8" s="5" t="str">
        <f>IF($K8="","",IFERROR(IF(VLOOKUP($K8,'Historias y criterios'!$A$6:$P$83,11,FALSE)="","",VLOOKUP($K8,'Historias y criterios'!$A$6:$P$83,11,FALSE)),"ID no encontrado"))</f>
        <v>Con credenciales válidas, el usuario activo ingresa a la plataforma.</v>
      </c>
      <c r="M8" s="8" t="s">
        <v>28</v>
      </c>
      <c r="N8" s="5" t="str">
        <f>IF($M8="","",IFERROR(IF(VLOOKUP($M8,'Casos y evidencias'!$A$6:$O$83,5,FALSE)="","",VLOOKUP($M8,'Casos y evidencias'!$A$6:$O$83,5,FALSE)),"ID no encontrado"))</f>
        <v>Inicio de sesión con credenciales válidas</v>
      </c>
      <c r="O8" s="5" t="str">
        <f>IF($M8="","",IFERROR(IF(VLOOKUP($M8,'Casos y evidencias'!$A$6:$O$83,10,FALSE)="","",VLOOKUP($M8,'Casos y evidencias'!$A$6:$O$83,10,FALSE)),"ID no encontrado"))</f>
        <v>No ejecutado</v>
      </c>
      <c r="P8" s="7" t="str">
        <f>IF($M8="","",IFERROR(IF(VLOOKUP($M8,'Casos y evidencias'!$A$6:$O$83,11,FALSE)="","",VLOOKUP($M8,'Casos y evidencias'!$A$6:$O$83,11,FALSE)),"ID no encontrado"))</f>
        <v/>
      </c>
      <c r="Q8" s="5" t="str">
        <f>IF($M8="","",IFERROR(IF(VLOOKUP($M8,'Casos y evidencias'!$A$6:$O$83,12,FALSE)="","",VLOOKUP($M8,'Casos y evidencias'!$A$6:$O$83,12,FALSE)),"ID no encontrado"))</f>
        <v/>
      </c>
      <c r="R8" s="4"/>
    </row>
    <row r="9" spans="1:18" ht="62.1" customHeight="1">
      <c r="A9" s="6">
        <v>2</v>
      </c>
      <c r="B9" s="5" t="str">
        <f>IF($G9="","",IF($K9="","Falta criterio",IFERROR(IF(VLOOKUP($K9,'Historias y criterios'!$A$6:$P$83,3,FALSE)&lt;&gt;$G9,"Revisar relación requisito-criterio",IF($M9="","Falta caso de prueba",IF(VLOOKUP($M9,'Casos y evidencias'!$A$6:$O$83,2,FALSE)&lt;&gt;$K9,"Revisar relación criterio-caso",IF($O9="Aprobado",IF($P9="","Falta evidencia","Trazabilidad completa"),IF($O9="Fallido","Prueba fallida",IF($O9="Bloqueado","Prueba bloqueada","Prueba pendiente")))))),"ID no encontrado")))</f>
        <v>Prueba pendiente</v>
      </c>
      <c r="C9" s="7" t="str">
        <f>IF($G9="","",IFERROR(IF(VLOOKUP($G9,Requerimientos!$A$6:$M$43,2,FALSE)="","",VLOOKUP($G9,Requerimientos!$A$6:$M$43,2,FALSE)),"ID no encontrado"))</f>
        <v>OBJ-001</v>
      </c>
      <c r="D9" s="5" t="str">
        <f>IF($C9="","",IFERROR(IF(VLOOKUP($C9,'Objetivos y procesos'!$A$6:$H$35,2,FALSE)="","",VLOOKUP($C9,'Objetivos y procesos'!$A$6:$H$35,2,FALSE)),"ID no encontrado"))</f>
        <v>Proteger la plataforma y asegurar que cada usuario opere con el perfil, empresa y vendedor correctos.</v>
      </c>
      <c r="E9" s="7" t="str">
        <f>IF($G9="","",IFERROR(IF(VLOOKUP($G9,Requerimientos!$A$6:$M$43,3,FALSE)="","",VLOOKUP($G9,Requerimientos!$A$6:$M$43,3,FALSE)),"ID no encontrado"))</f>
        <v>PR-01</v>
      </c>
      <c r="F9" s="5" t="str">
        <f>IF($E9="","",IFERROR(IF(INDEX('Objetivos y procesos'!$D$6:$D$35,MATCH($E9,'Objetivos y procesos'!$C$6:$C$35,0))="","",IF(INDEX('Objetivos y procesos'!$D$6:$D$35,MATCH($E9,'Objetivos y procesos'!$C$6:$C$35,0))=INDEX('Objetivos y procesos'!$E$6:$E$35,MATCH($E9,'Objetivos y procesos'!$C$6:$C$35,0)),INDEX('Objetivos y procesos'!$D$6:$D$35,MATCH($E9,'Objetivos y procesos'!$C$6:$C$35,0)),INDEX('Objetivos y procesos'!$D$6:$D$35,MATCH($E9,'Objetivos y procesos'!$C$6:$C$35,0))&amp;IF(INDEX('Objetivos y procesos'!$E$6:$E$35,MATCH($E9,'Objetivos y procesos'!$C$6:$C$35,0))="",""," / "&amp;INDEX('Objetivos y procesos'!$E$6:$E$35,MATCH($E9,'Objetivos y procesos'!$C$6:$C$35,0))))),"ID no encontrado"))</f>
        <v>Gestión de usuarios, roles y permisos</v>
      </c>
      <c r="G9" s="8" t="s">
        <v>26</v>
      </c>
      <c r="H9" s="5" t="str">
        <f>IF($G9="","",IFERROR(IF(VLOOKUP($G9,Requerimientos!$A$6:$M$43,7,FALSE)="","",VLOOKUP($G9,Requerimientos!$A$6:$M$43,7,FALSE)),"ID no encontrado"))</f>
        <v>El sistema debe permitir que un usuario se autentique mediante usuario y contraseña.</v>
      </c>
      <c r="I9" s="7" t="str">
        <f>IF($K9="","",IFERROR(IF(VLOOKUP($K9,'Historias y criterios'!$A$6:$P$83,2,FALSE)="","",VLOOKUP($K9,'Historias y criterios'!$A$6:$P$83,2,FALSE)),"ID no encontrado"))</f>
        <v>HU-001</v>
      </c>
      <c r="J9" s="5" t="str">
        <f>IF($K9="","",IFERROR(IF(VLOOKUP($K9,'Historias y criterios'!$A$6:$P$83,10,FALSE)="","",VLOOKUP($K9,'Historias y criterios'!$A$6:$P$83,10,FALSE)),"ID no encontrado"))</f>
        <v>Como usuario habilitado, quiero iniciar sesión de forma segura y mantener una sesión controlada, para acceder únicamente a las funciones autorizadas</v>
      </c>
      <c r="K9" s="8" t="s">
        <v>29</v>
      </c>
      <c r="L9" s="5" t="str">
        <f>IF($K9="","",IFERROR(IF(VLOOKUP($K9,'Historias y criterios'!$A$6:$P$83,11,FALSE)="","",VLOOKUP($K9,'Historias y criterios'!$A$6:$P$83,11,FALSE)),"ID no encontrado"))</f>
        <v>Las credenciales inválidas o de un usuario desactivado impiden el acceso y muestran un mensaje claro.</v>
      </c>
      <c r="M9" s="8" t="s">
        <v>30</v>
      </c>
      <c r="N9" s="5" t="str">
        <f>IF($M9="","",IFERROR(IF(VLOOKUP($M9,'Casos y evidencias'!$A$6:$O$83,5,FALSE)="","",VLOOKUP($M9,'Casos y evidencias'!$A$6:$O$83,5,FALSE)),"ID no encontrado"))</f>
        <v>Acceso denegado con credenciales inválidas o usuario desactivado</v>
      </c>
      <c r="O9" s="5" t="str">
        <f>IF($M9="","",IFERROR(IF(VLOOKUP($M9,'Casos y evidencias'!$A$6:$O$83,10,FALSE)="","",VLOOKUP($M9,'Casos y evidencias'!$A$6:$O$83,10,FALSE)),"ID no encontrado"))</f>
        <v>No ejecutado</v>
      </c>
      <c r="P9" s="7" t="str">
        <f>IF($M9="","",IFERROR(IF(VLOOKUP($M9,'Casos y evidencias'!$A$6:$O$83,11,FALSE)="","",VLOOKUP($M9,'Casos y evidencias'!$A$6:$O$83,11,FALSE)),"ID no encontrado"))</f>
        <v/>
      </c>
      <c r="Q9" s="5" t="str">
        <f>IF($M9="","",IFERROR(IF(VLOOKUP($M9,'Casos y evidencias'!$A$6:$O$83,12,FALSE)="","",VLOOKUP($M9,'Casos y evidencias'!$A$6:$O$83,12,FALSE)),"ID no encontrado"))</f>
        <v/>
      </c>
      <c r="R9" s="4"/>
    </row>
    <row r="10" spans="1:18" ht="62.1" customHeight="1">
      <c r="A10" s="6">
        <v>3</v>
      </c>
      <c r="B10" s="5" t="str">
        <f>IF($G10="","",IF($K10="","Falta criterio",IFERROR(IF(VLOOKUP($K10,'Historias y criterios'!$A$6:$P$83,3,FALSE)&lt;&gt;$G10,"Revisar relación requisito-criterio",IF($M10="","Falta caso de prueba",IF(VLOOKUP($M10,'Casos y evidencias'!$A$6:$O$83,2,FALSE)&lt;&gt;$K10,"Revisar relación criterio-caso",IF($O10="Aprobado",IF($P10="","Falta evidencia","Trazabilidad completa"),IF($O10="Fallido","Prueba fallida",IF($O10="Bloqueado","Prueba bloqueada","Prueba pendiente")))))),"ID no encontrado")))</f>
        <v>Prueba pendiente</v>
      </c>
      <c r="C10" s="7" t="str">
        <f>IF($G10="","",IFERROR(IF(VLOOKUP($G10,Requerimientos!$A$6:$M$43,2,FALSE)="","",VLOOKUP($G10,Requerimientos!$A$6:$M$43,2,FALSE)),"ID no encontrado"))</f>
        <v>OBJ-001</v>
      </c>
      <c r="D10" s="5" t="str">
        <f>IF($C10="","",IFERROR(IF(VLOOKUP($C10,'Objetivos y procesos'!$A$6:$H$35,2,FALSE)="","",VLOOKUP($C10,'Objetivos y procesos'!$A$6:$H$35,2,FALSE)),"ID no encontrado"))</f>
        <v>Proteger la plataforma y asegurar que cada usuario opere con el perfil, empresa y vendedor correctos.</v>
      </c>
      <c r="E10" s="7" t="str">
        <f>IF($G10="","",IFERROR(IF(VLOOKUP($G10,Requerimientos!$A$6:$M$43,3,FALSE)="","",VLOOKUP($G10,Requerimientos!$A$6:$M$43,3,FALSE)),"ID no encontrado"))</f>
        <v>PR-01</v>
      </c>
      <c r="F10" s="5" t="str">
        <f>IF($E10="","",IFERROR(IF(INDEX('Objetivos y procesos'!$D$6:$D$35,MATCH($E10,'Objetivos y procesos'!$C$6:$C$35,0))="","",IF(INDEX('Objetivos y procesos'!$D$6:$D$35,MATCH($E10,'Objetivos y procesos'!$C$6:$C$35,0))=INDEX('Objetivos y procesos'!$E$6:$E$35,MATCH($E10,'Objetivos y procesos'!$C$6:$C$35,0)),INDEX('Objetivos y procesos'!$D$6:$D$35,MATCH($E10,'Objetivos y procesos'!$C$6:$C$35,0)),INDEX('Objetivos y procesos'!$D$6:$D$35,MATCH($E10,'Objetivos y procesos'!$C$6:$C$35,0))&amp;IF(INDEX('Objetivos y procesos'!$E$6:$E$35,MATCH($E10,'Objetivos y procesos'!$C$6:$C$35,0))="",""," / "&amp;INDEX('Objetivos y procesos'!$E$6:$E$35,MATCH($E10,'Objetivos y procesos'!$C$6:$C$35,0))))),"ID no encontrado"))</f>
        <v>Gestión de usuarios, roles y permisos</v>
      </c>
      <c r="G10" s="8" t="s">
        <v>26</v>
      </c>
      <c r="H10" s="5" t="str">
        <f>IF($G10="","",IFERROR(IF(VLOOKUP($G10,Requerimientos!$A$6:$M$43,7,FALSE)="","",VLOOKUP($G10,Requerimientos!$A$6:$M$43,7,FALSE)),"ID no encontrado"))</f>
        <v>El sistema debe permitir que un usuario se autentique mediante usuario y contraseña.</v>
      </c>
      <c r="I10" s="7" t="str">
        <f>IF($K10="","",IFERROR(IF(VLOOKUP($K10,'Historias y criterios'!$A$6:$P$83,2,FALSE)="","",VLOOKUP($K10,'Historias y criterios'!$A$6:$P$83,2,FALSE)),"ID no encontrado"))</f>
        <v>HU-001</v>
      </c>
      <c r="J10" s="5" t="str">
        <f>IF($K10="","",IFERROR(IF(VLOOKUP($K10,'Historias y criterios'!$A$6:$P$83,10,FALSE)="","",VLOOKUP($K10,'Historias y criterios'!$A$6:$P$83,10,FALSE)),"ID no encontrado"))</f>
        <v>Como usuario habilitado, quiero iniciar sesión de forma segura y mantener una sesión controlada, para acceder únicamente a las funciones autorizadas</v>
      </c>
      <c r="K10" s="8" t="s">
        <v>31</v>
      </c>
      <c r="L10" s="5" t="str">
        <f>IF($K10="","",IFERROR(IF(VLOOKUP($K10,'Historias y criterios'!$A$6:$P$83,11,FALSE)="","",VLOOKUP($K10,'Historias y criterios'!$A$6:$P$83,11,FALSE)),"ID no encontrado"))</f>
        <v>La contraseña se almacena mediante hash, la sesión expira por inactividad y los intentos fallidos quedan auditados.</v>
      </c>
      <c r="M10" s="8" t="s">
        <v>32</v>
      </c>
      <c r="N10" s="5" t="str">
        <f>IF($M10="","",IFERROR(IF(VLOOKUP($M10,'Casos y evidencias'!$A$6:$O$83,5,FALSE)="","",VLOOKUP($M10,'Casos y evidencias'!$A$6:$O$83,5,FALSE)),"ID no encontrado"))</f>
        <v>Hash de contraseña, expiración de sesión y auditoría</v>
      </c>
      <c r="O10" s="5" t="str">
        <f>IF($M10="","",IFERROR(IF(VLOOKUP($M10,'Casos y evidencias'!$A$6:$O$83,10,FALSE)="","",VLOOKUP($M10,'Casos y evidencias'!$A$6:$O$83,10,FALSE)),"ID no encontrado"))</f>
        <v>No ejecutado</v>
      </c>
      <c r="P10" s="7" t="str">
        <f>IF($M10="","",IFERROR(IF(VLOOKUP($M10,'Casos y evidencias'!$A$6:$O$83,11,FALSE)="","",VLOOKUP($M10,'Casos y evidencias'!$A$6:$O$83,11,FALSE)),"ID no encontrado"))</f>
        <v/>
      </c>
      <c r="Q10" s="5" t="str">
        <f>IF($M10="","",IFERROR(IF(VLOOKUP($M10,'Casos y evidencias'!$A$6:$O$83,12,FALSE)="","",VLOOKUP($M10,'Casos y evidencias'!$A$6:$O$83,12,FALSE)),"ID no encontrado"))</f>
        <v/>
      </c>
      <c r="R10" s="4"/>
    </row>
    <row r="11" spans="1:18" ht="75.599999999999994" customHeight="1">
      <c r="A11" s="6">
        <v>4</v>
      </c>
      <c r="B11" s="5" t="str">
        <f>IF($G11="","",IF($K11="","Falta criterio",IFERROR(IF(VLOOKUP($K11,'Historias y criterios'!$A$6:$P$83,3,FALSE)&lt;&gt;$G11,"Revisar relación requisito-criterio",IF($M11="","Falta caso de prueba",IF(VLOOKUP($M11,'Casos y evidencias'!$A$6:$O$83,2,FALSE)&lt;&gt;$K11,"Revisar relación criterio-caso",IF($O11="Aprobado",IF($P11="","Falta evidencia","Trazabilidad completa"),IF($O11="Fallido","Prueba fallida",IF($O11="Bloqueado","Prueba bloqueada","Prueba pendiente")))))),"ID no encontrado")))</f>
        <v>Prueba pendiente</v>
      </c>
      <c r="C11" s="7" t="str">
        <f>IF($G11="","",IFERROR(IF(VLOOKUP($G11,Requerimientos!$A$6:$M$43,2,FALSE)="","",VLOOKUP($G11,Requerimientos!$A$6:$M$43,2,FALSE)),"ID no encontrado"))</f>
        <v>OBJ-001</v>
      </c>
      <c r="D11" s="5" t="str">
        <f>IF($C11="","",IFERROR(IF(VLOOKUP($C11,'Objetivos y procesos'!$A$6:$H$35,2,FALSE)="","",VLOOKUP($C11,'Objetivos y procesos'!$A$6:$H$35,2,FALSE)),"ID no encontrado"))</f>
        <v>Proteger la plataforma y asegurar que cada usuario opere con el perfil, empresa y vendedor correctos.</v>
      </c>
      <c r="E11" s="7" t="str">
        <f>IF($G11="","",IFERROR(IF(VLOOKUP($G11,Requerimientos!$A$6:$M$43,3,FALSE)="","",VLOOKUP($G11,Requerimientos!$A$6:$M$43,3,FALSE)),"ID no encontrado"))</f>
        <v>PR-01</v>
      </c>
      <c r="F11" s="5" t="str">
        <f>IF($E11="","",IFERROR(IF(INDEX('Objetivos y procesos'!$D$6:$D$35,MATCH($E11,'Objetivos y procesos'!$C$6:$C$35,0))="","",IF(INDEX('Objetivos y procesos'!$D$6:$D$35,MATCH($E11,'Objetivos y procesos'!$C$6:$C$35,0))=INDEX('Objetivos y procesos'!$E$6:$E$35,MATCH($E11,'Objetivos y procesos'!$C$6:$C$35,0)),INDEX('Objetivos y procesos'!$D$6:$D$35,MATCH($E11,'Objetivos y procesos'!$C$6:$C$35,0)),INDEX('Objetivos y procesos'!$D$6:$D$35,MATCH($E11,'Objetivos y procesos'!$C$6:$C$35,0))&amp;IF(INDEX('Objetivos y procesos'!$E$6:$E$35,MATCH($E11,'Objetivos y procesos'!$C$6:$C$35,0))="",""," / "&amp;INDEX('Objetivos y procesos'!$E$6:$E$35,MATCH($E11,'Objetivos y procesos'!$C$6:$C$35,0))))),"ID no encontrado"))</f>
        <v>Gestión de usuarios, roles y permisos</v>
      </c>
      <c r="G11" s="8" t="s">
        <v>33</v>
      </c>
      <c r="H11" s="5" t="str">
        <f>IF($G11="","",IFERROR(IF(VLOOKUP($G11,Requerimientos!$A$6:$M$43,7,FALSE)="","",VLOOKUP($G11,Requerimientos!$A$6:$M$43,7,FALSE)),"ID no encontrado"))</f>
        <v>El sistema debe permitir asignar a cada usuario un área, un cargo y un rol.</v>
      </c>
      <c r="I11" s="7" t="str">
        <f>IF($K11="","",IFERROR(IF(VLOOKUP($K11,'Historias y criterios'!$A$6:$P$83,2,FALSE)="","",VLOOKUP($K11,'Historias y criterios'!$A$6:$P$83,2,FALSE)),"ID no encontrado"))</f>
        <v>HU-002</v>
      </c>
      <c r="J11" s="5" t="str">
        <f>IF($K11="","",IFERROR(IF(VLOOKUP($K11,'Historias y criterios'!$A$6:$P$83,10,FALSE)="","",VLOOKUP($K11,'Historias y criterios'!$A$6:$P$83,10,FALSE)),"ID no encontrado"))</f>
        <v>Como administrador, quiero crear, editar, desactivar y reactivar usuarios asignándoles área, cargo y rol, para mantener los accesos alineados con las responsabilidades de cada trabajador</v>
      </c>
      <c r="K11" s="8" t="s">
        <v>34</v>
      </c>
      <c r="L11" s="5" t="str">
        <f>IF($K11="","",IFERROR(IF(VLOOKUP($K11,'Historias y criterios'!$A$6:$P$83,11,FALSE)="","",VLOOKUP($K11,'Historias y criterios'!$A$6:$P$83,11,FALSE)),"ID no encontrado"))</f>
        <v>El administrador crea y edita usuarios con área, cargo y rol obligatorios.</v>
      </c>
      <c r="M11" s="8" t="s">
        <v>35</v>
      </c>
      <c r="N11" s="5" t="str">
        <f>IF($M11="","",IFERROR(IF(VLOOKUP($M11,'Casos y evidencias'!$A$6:$O$83,5,FALSE)="","",VLOOKUP($M11,'Casos y evidencias'!$A$6:$O$83,5,FALSE)),"ID no encontrado"))</f>
        <v>Creación y edición de usuario con área, cargo y rol</v>
      </c>
      <c r="O11" s="5" t="str">
        <f>IF($M11="","",IFERROR(IF(VLOOKUP($M11,'Casos y evidencias'!$A$6:$O$83,10,FALSE)="","",VLOOKUP($M11,'Casos y evidencias'!$A$6:$O$83,10,FALSE)),"ID no encontrado"))</f>
        <v>No ejecutado</v>
      </c>
      <c r="P11" s="7" t="str">
        <f>IF($M11="","",IFERROR(IF(VLOOKUP($M11,'Casos y evidencias'!$A$6:$O$83,11,FALSE)="","",VLOOKUP($M11,'Casos y evidencias'!$A$6:$O$83,11,FALSE)),"ID no encontrado"))</f>
        <v/>
      </c>
      <c r="Q11" s="5" t="str">
        <f>IF($M11="","",IFERROR(IF(VLOOKUP($M11,'Casos y evidencias'!$A$6:$O$83,12,FALSE)="","",VLOOKUP($M11,'Casos y evidencias'!$A$6:$O$83,12,FALSE)),"ID no encontrado"))</f>
        <v/>
      </c>
      <c r="R11" s="4"/>
    </row>
    <row r="12" spans="1:18" ht="75.599999999999994" customHeight="1">
      <c r="A12" s="6">
        <v>5</v>
      </c>
      <c r="B12" s="5" t="str">
        <f>IF($G12="","",IF($K12="","Falta criterio",IFERROR(IF(VLOOKUP($K12,'Historias y criterios'!$A$6:$P$83,3,FALSE)&lt;&gt;$G12,"Revisar relación requisito-criterio",IF($M12="","Falta caso de prueba",IF(VLOOKUP($M12,'Casos y evidencias'!$A$6:$O$83,2,FALSE)&lt;&gt;$K12,"Revisar relación criterio-caso",IF($O12="Aprobado",IF($P12="","Falta evidencia","Trazabilidad completa"),IF($O12="Fallido","Prueba fallida",IF($O12="Bloqueado","Prueba bloqueada","Prueba pendiente")))))),"ID no encontrado")))</f>
        <v>Prueba pendiente</v>
      </c>
      <c r="C12" s="7" t="str">
        <f>IF($G12="","",IFERROR(IF(VLOOKUP($G12,Requerimientos!$A$6:$M$43,2,FALSE)="","",VLOOKUP($G12,Requerimientos!$A$6:$M$43,2,FALSE)),"ID no encontrado"))</f>
        <v>OBJ-001</v>
      </c>
      <c r="D12" s="5" t="str">
        <f>IF($C12="","",IFERROR(IF(VLOOKUP($C12,'Objetivos y procesos'!$A$6:$H$35,2,FALSE)="","",VLOOKUP($C12,'Objetivos y procesos'!$A$6:$H$35,2,FALSE)),"ID no encontrado"))</f>
        <v>Proteger la plataforma y asegurar que cada usuario opere con el perfil, empresa y vendedor correctos.</v>
      </c>
      <c r="E12" s="7" t="str">
        <f>IF($G12="","",IFERROR(IF(VLOOKUP($G12,Requerimientos!$A$6:$M$43,3,FALSE)="","",VLOOKUP($G12,Requerimientos!$A$6:$M$43,3,FALSE)),"ID no encontrado"))</f>
        <v>PR-01</v>
      </c>
      <c r="F12" s="5" t="str">
        <f>IF($E12="","",IFERROR(IF(INDEX('Objetivos y procesos'!$D$6:$D$35,MATCH($E12,'Objetivos y procesos'!$C$6:$C$35,0))="","",IF(INDEX('Objetivos y procesos'!$D$6:$D$35,MATCH($E12,'Objetivos y procesos'!$C$6:$C$35,0))=INDEX('Objetivos y procesos'!$E$6:$E$35,MATCH($E12,'Objetivos y procesos'!$C$6:$C$35,0)),INDEX('Objetivos y procesos'!$D$6:$D$35,MATCH($E12,'Objetivos y procesos'!$C$6:$C$35,0)),INDEX('Objetivos y procesos'!$D$6:$D$35,MATCH($E12,'Objetivos y procesos'!$C$6:$C$35,0))&amp;IF(INDEX('Objetivos y procesos'!$E$6:$E$35,MATCH($E12,'Objetivos y procesos'!$C$6:$C$35,0))="",""," / "&amp;INDEX('Objetivos y procesos'!$E$6:$E$35,MATCH($E12,'Objetivos y procesos'!$C$6:$C$35,0))))),"ID no encontrado"))</f>
        <v>Gestión de usuarios, roles y permisos</v>
      </c>
      <c r="G12" s="8" t="s">
        <v>36</v>
      </c>
      <c r="H12" s="5" t="str">
        <f>IF($G12="","",IFERROR(IF(VLOOKUP($G12,Requerimientos!$A$6:$M$43,7,FALSE)="","",VLOOKUP($G12,Requerimientos!$A$6:$M$43,7,FALSE)),"ID no encontrado"))</f>
        <v>El sistema debe permitir al administrador crear, editar, desactivar y reactivar usuarios.</v>
      </c>
      <c r="I12" s="7" t="str">
        <f>IF($K12="","",IFERROR(IF(VLOOKUP($K12,'Historias y criterios'!$A$6:$P$83,2,FALSE)="","",VLOOKUP($K12,'Historias y criterios'!$A$6:$P$83,2,FALSE)),"ID no encontrado"))</f>
        <v>HU-002</v>
      </c>
      <c r="J12" s="5" t="str">
        <f>IF($K12="","",IFERROR(IF(VLOOKUP($K12,'Historias y criterios'!$A$6:$P$83,10,FALSE)="","",VLOOKUP($K12,'Historias y criterios'!$A$6:$P$83,10,FALSE)),"ID no encontrado"))</f>
        <v>Como administrador, quiero crear, editar, desactivar y reactivar usuarios asignándoles área, cargo y rol, para mantener los accesos alineados con las responsabilidades de cada trabajador</v>
      </c>
      <c r="K12" s="8" t="s">
        <v>37</v>
      </c>
      <c r="L12" s="5" t="str">
        <f>IF($K12="","",IFERROR(IF(VLOOKUP($K12,'Historias y criterios'!$A$6:$P$83,11,FALSE)="","",VLOOKUP($K12,'Historias y criterios'!$A$6:$P$83,11,FALSE)),"ID no encontrado"))</f>
        <v>Un usuario se desactiva o reactiva sin eliminar su historial.</v>
      </c>
      <c r="M12" s="8" t="s">
        <v>38</v>
      </c>
      <c r="N12" s="5" t="str">
        <f>IF($M12="","",IFERROR(IF(VLOOKUP($M12,'Casos y evidencias'!$A$6:$O$83,5,FALSE)="","",VLOOKUP($M12,'Casos y evidencias'!$A$6:$O$83,5,FALSE)),"ID no encontrado"))</f>
        <v>Desactivación y reactivación sin pérdida de historial</v>
      </c>
      <c r="O12" s="5" t="str">
        <f>IF($M12="","",IFERROR(IF(VLOOKUP($M12,'Casos y evidencias'!$A$6:$O$83,10,FALSE)="","",VLOOKUP($M12,'Casos y evidencias'!$A$6:$O$83,10,FALSE)),"ID no encontrado"))</f>
        <v>No ejecutado</v>
      </c>
      <c r="P12" s="7" t="str">
        <f>IF($M12="","",IFERROR(IF(VLOOKUP($M12,'Casos y evidencias'!$A$6:$O$83,11,FALSE)="","",VLOOKUP($M12,'Casos y evidencias'!$A$6:$O$83,11,FALSE)),"ID no encontrado"))</f>
        <v/>
      </c>
      <c r="Q12" s="5" t="str">
        <f>IF($M12="","",IFERROR(IF(VLOOKUP($M12,'Casos y evidencias'!$A$6:$O$83,12,FALSE)="","",VLOOKUP($M12,'Casos y evidencias'!$A$6:$O$83,12,FALSE)),"ID no encontrado"))</f>
        <v/>
      </c>
      <c r="R12" s="4"/>
    </row>
    <row r="13" spans="1:18" ht="75.599999999999994" customHeight="1">
      <c r="A13" s="6">
        <v>6</v>
      </c>
      <c r="B13" s="5" t="str">
        <f>IF($G13="","",IF($K13="","Falta criterio",IFERROR(IF(VLOOKUP($K13,'Historias y criterios'!$A$6:$P$83,3,FALSE)&lt;&gt;$G13,"Revisar relación requisito-criterio",IF($M13="","Falta caso de prueba",IF(VLOOKUP($M13,'Casos y evidencias'!$A$6:$O$83,2,FALSE)&lt;&gt;$K13,"Revisar relación criterio-caso",IF($O13="Aprobado",IF($P13="","Falta evidencia","Trazabilidad completa"),IF($O13="Fallido","Prueba fallida",IF($O13="Bloqueado","Prueba bloqueada","Prueba pendiente")))))),"ID no encontrado")))</f>
        <v>Prueba pendiente</v>
      </c>
      <c r="C13" s="7" t="str">
        <f>IF($G13="","",IFERROR(IF(VLOOKUP($G13,Requerimientos!$A$6:$M$43,2,FALSE)="","",VLOOKUP($G13,Requerimientos!$A$6:$M$43,2,FALSE)),"ID no encontrado"))</f>
        <v>OBJ-001</v>
      </c>
      <c r="D13" s="5" t="str">
        <f>IF($C13="","",IFERROR(IF(VLOOKUP($C13,'Objetivos y procesos'!$A$6:$H$35,2,FALSE)="","",VLOOKUP($C13,'Objetivos y procesos'!$A$6:$H$35,2,FALSE)),"ID no encontrado"))</f>
        <v>Proteger la plataforma y asegurar que cada usuario opere con el perfil, empresa y vendedor correctos.</v>
      </c>
      <c r="E13" s="7" t="str">
        <f>IF($G13="","",IFERROR(IF(VLOOKUP($G13,Requerimientos!$A$6:$M$43,3,FALSE)="","",VLOOKUP($G13,Requerimientos!$A$6:$M$43,3,FALSE)),"ID no encontrado"))</f>
        <v>PR-01</v>
      </c>
      <c r="F13" s="5" t="str">
        <f>IF($E13="","",IFERROR(IF(INDEX('Objetivos y procesos'!$D$6:$D$35,MATCH($E13,'Objetivos y procesos'!$C$6:$C$35,0))="","",IF(INDEX('Objetivos y procesos'!$D$6:$D$35,MATCH($E13,'Objetivos y procesos'!$C$6:$C$35,0))=INDEX('Objetivos y procesos'!$E$6:$E$35,MATCH($E13,'Objetivos y procesos'!$C$6:$C$35,0)),INDEX('Objetivos y procesos'!$D$6:$D$35,MATCH($E13,'Objetivos y procesos'!$C$6:$C$35,0)),INDEX('Objetivos y procesos'!$D$6:$D$35,MATCH($E13,'Objetivos y procesos'!$C$6:$C$35,0))&amp;IF(INDEX('Objetivos y procesos'!$E$6:$E$35,MATCH($E13,'Objetivos y procesos'!$C$6:$C$35,0))="",""," / "&amp;INDEX('Objetivos y procesos'!$E$6:$E$35,MATCH($E13,'Objetivos y procesos'!$C$6:$C$35,0))))),"ID no encontrado"))</f>
        <v>Gestión de usuarios, roles y permisos</v>
      </c>
      <c r="G13" s="8" t="s">
        <v>36</v>
      </c>
      <c r="H13" s="5" t="str">
        <f>IF($G13="","",IFERROR(IF(VLOOKUP($G13,Requerimientos!$A$6:$M$43,7,FALSE)="","",VLOOKUP($G13,Requerimientos!$A$6:$M$43,7,FALSE)),"ID no encontrado"))</f>
        <v>El sistema debe permitir al administrador crear, editar, desactivar y reactivar usuarios.</v>
      </c>
      <c r="I13" s="7" t="str">
        <f>IF($K13="","",IFERROR(IF(VLOOKUP($K13,'Historias y criterios'!$A$6:$P$83,2,FALSE)="","",VLOOKUP($K13,'Historias y criterios'!$A$6:$P$83,2,FALSE)),"ID no encontrado"))</f>
        <v>HU-002</v>
      </c>
      <c r="J13" s="5" t="str">
        <f>IF($K13="","",IFERROR(IF(VLOOKUP($K13,'Historias y criterios'!$A$6:$P$83,10,FALSE)="","",VLOOKUP($K13,'Historias y criterios'!$A$6:$P$83,10,FALSE)),"ID no encontrado"))</f>
        <v>Como administrador, quiero crear, editar, desactivar y reactivar usuarios asignándoles área, cargo y rol, para mantener los accesos alineados con las responsabilidades de cada trabajador</v>
      </c>
      <c r="K13" s="8" t="s">
        <v>39</v>
      </c>
      <c r="L13" s="5" t="str">
        <f>IF($K13="","",IFERROR(IF(VLOOKUP($K13,'Historias y criterios'!$A$6:$P$83,11,FALSE)="","",VLOOKUP($K13,'Historias y criterios'!$A$6:$P$83,11,FALSE)),"ID no encontrado"))</f>
        <v>Solo el administrador puede ejecutar estas operaciones y un usuario desactivado no puede iniciar sesión.</v>
      </c>
      <c r="M13" s="8" t="s">
        <v>40</v>
      </c>
      <c r="N13" s="5" t="str">
        <f>IF($M13="","",IFERROR(IF(VLOOKUP($M13,'Casos y evidencias'!$A$6:$O$83,5,FALSE)="","",VLOOKUP($M13,'Casos y evidencias'!$A$6:$O$83,5,FALSE)),"ID no encontrado"))</f>
        <v>Operaciones exclusivas del administrador</v>
      </c>
      <c r="O13" s="5" t="str">
        <f>IF($M13="","",IFERROR(IF(VLOOKUP($M13,'Casos y evidencias'!$A$6:$O$83,10,FALSE)="","",VLOOKUP($M13,'Casos y evidencias'!$A$6:$O$83,10,FALSE)),"ID no encontrado"))</f>
        <v>No ejecutado</v>
      </c>
      <c r="P13" s="7" t="str">
        <f>IF($M13="","",IFERROR(IF(VLOOKUP($M13,'Casos y evidencias'!$A$6:$O$83,11,FALSE)="","",VLOOKUP($M13,'Casos y evidencias'!$A$6:$O$83,11,FALSE)),"ID no encontrado"))</f>
        <v/>
      </c>
      <c r="Q13" s="5" t="str">
        <f>IF($M13="","",IFERROR(IF(VLOOKUP($M13,'Casos y evidencias'!$A$6:$O$83,12,FALSE)="","",VLOOKUP($M13,'Casos y evidencias'!$A$6:$O$83,12,FALSE)),"ID no encontrado"))</f>
        <v/>
      </c>
      <c r="R13" s="4"/>
    </row>
    <row r="14" spans="1:18" ht="75.599999999999994" customHeight="1">
      <c r="A14" s="6">
        <v>7</v>
      </c>
      <c r="B14" s="5" t="str">
        <f>IF($G14="","",IF($K14="","Falta criterio",IFERROR(IF(VLOOKUP($K14,'Historias y criterios'!$A$6:$P$83,3,FALSE)&lt;&gt;$G14,"Revisar relación requisito-criterio",IF($M14="","Falta caso de prueba",IF(VLOOKUP($M14,'Casos y evidencias'!$A$6:$O$83,2,FALSE)&lt;&gt;$K14,"Revisar relación criterio-caso",IF($O14="Aprobado",IF($P14="","Falta evidencia","Trazabilidad completa"),IF($O14="Fallido","Prueba fallida",IF($O14="Bloqueado","Prueba bloqueada","Prueba pendiente")))))),"ID no encontrado")))</f>
        <v>Prueba pendiente</v>
      </c>
      <c r="C14" s="7" t="str">
        <f>IF($G14="","",IFERROR(IF(VLOOKUP($G14,Requerimientos!$A$6:$M$43,2,FALSE)="","",VLOOKUP($G14,Requerimientos!$A$6:$M$43,2,FALSE)),"ID no encontrado"))</f>
        <v>OBJ-001</v>
      </c>
      <c r="D14" s="5" t="str">
        <f>IF($C14="","",IFERROR(IF(VLOOKUP($C14,'Objetivos y procesos'!$A$6:$H$35,2,FALSE)="","",VLOOKUP($C14,'Objetivos y procesos'!$A$6:$H$35,2,FALSE)),"ID no encontrado"))</f>
        <v>Proteger la plataforma y asegurar que cada usuario opere con el perfil, empresa y vendedor correctos.</v>
      </c>
      <c r="E14" s="7" t="str">
        <f>IF($G14="","",IFERROR(IF(VLOOKUP($G14,Requerimientos!$A$6:$M$43,3,FALSE)="","",VLOOKUP($G14,Requerimientos!$A$6:$M$43,3,FALSE)),"ID no encontrado"))</f>
        <v>PR-01</v>
      </c>
      <c r="F14" s="5" t="str">
        <f>IF($E14="","",IFERROR(IF(INDEX('Objetivos y procesos'!$D$6:$D$35,MATCH($E14,'Objetivos y procesos'!$C$6:$C$35,0))="","",IF(INDEX('Objetivos y procesos'!$D$6:$D$35,MATCH($E14,'Objetivos y procesos'!$C$6:$C$35,0))=INDEX('Objetivos y procesos'!$E$6:$E$35,MATCH($E14,'Objetivos y procesos'!$C$6:$C$35,0)),INDEX('Objetivos y procesos'!$D$6:$D$35,MATCH($E14,'Objetivos y procesos'!$C$6:$C$35,0)),INDEX('Objetivos y procesos'!$D$6:$D$35,MATCH($E14,'Objetivos y procesos'!$C$6:$C$35,0))&amp;IF(INDEX('Objetivos y procesos'!$E$6:$E$35,MATCH($E14,'Objetivos y procesos'!$C$6:$C$35,0))="",""," / "&amp;INDEX('Objetivos y procesos'!$E$6:$E$35,MATCH($E14,'Objetivos y procesos'!$C$6:$C$35,0))))),"ID no encontrado"))</f>
        <v>Gestión de usuarios, roles y permisos</v>
      </c>
      <c r="G14" s="8" t="s">
        <v>41</v>
      </c>
      <c r="H14" s="5" t="str">
        <f>IF($G14="","",IFERROR(IF(VLOOKUP($G14,Requerimientos!$A$6:$M$43,7,FALSE)="","",VLOOKUP($G14,Requerimientos!$A$6:$M$43,7,FALSE)),"ID no encontrado"))</f>
        <v>El sistema debe restringir las funciones y los datos visibles según el rol, el área y el cargo del usuario.</v>
      </c>
      <c r="I14" s="7" t="str">
        <f>IF($K14="","",IFERROR(IF(VLOOKUP($K14,'Historias y criterios'!$A$6:$P$83,2,FALSE)="","",VLOOKUP($K14,'Historias y criterios'!$A$6:$P$83,2,FALSE)),"ID no encontrado"))</f>
        <v>HU-003</v>
      </c>
      <c r="J14" s="5" t="str">
        <f>IF($K14="","",IFERROR(IF(VLOOKUP($K14,'Historias y criterios'!$A$6:$P$83,10,FALSE)="","",VLOOKUP($K14,'Historias y criterios'!$A$6:$P$83,10,FALSE)),"ID no encontrado"))</f>
        <v>Como administrador, quiero definir permisos por rol, área y cargo, además de grupos autorizadores por tipo de solicitud, para controlar qué funciones, datos y decisiones corresponden a cada usuario</v>
      </c>
      <c r="K14" s="8" t="s">
        <v>42</v>
      </c>
      <c r="L14" s="5" t="str">
        <f>IF($K14="","",IFERROR(IF(VLOOKUP($K14,'Historias y criterios'!$A$6:$P$83,11,FALSE)="","",VLOOKUP($K14,'Historias y criterios'!$A$6:$P$83,11,FALSE)),"ID no encontrado"))</f>
        <v>Los permisos efectivos suman los permisos directos, del área y del cargo.</v>
      </c>
      <c r="M14" s="8" t="s">
        <v>43</v>
      </c>
      <c r="N14" s="5" t="str">
        <f>IF($M14="","",IFERROR(IF(VLOOKUP($M14,'Casos y evidencias'!$A$6:$O$83,5,FALSE)="","",VLOOKUP($M14,'Casos y evidencias'!$A$6:$O$83,5,FALSE)),"ID no encontrado"))</f>
        <v>Cálculo de permisos efectivos</v>
      </c>
      <c r="O14" s="5" t="str">
        <f>IF($M14="","",IFERROR(IF(VLOOKUP($M14,'Casos y evidencias'!$A$6:$O$83,10,FALSE)="","",VLOOKUP($M14,'Casos y evidencias'!$A$6:$O$83,10,FALSE)),"ID no encontrado"))</f>
        <v>No ejecutado</v>
      </c>
      <c r="P14" s="7" t="str">
        <f>IF($M14="","",IFERROR(IF(VLOOKUP($M14,'Casos y evidencias'!$A$6:$O$83,11,FALSE)="","",VLOOKUP($M14,'Casos y evidencias'!$A$6:$O$83,11,FALSE)),"ID no encontrado"))</f>
        <v/>
      </c>
      <c r="Q14" s="5" t="str">
        <f>IF($M14="","",IFERROR(IF(VLOOKUP($M14,'Casos y evidencias'!$A$6:$O$83,12,FALSE)="","",VLOOKUP($M14,'Casos y evidencias'!$A$6:$O$83,12,FALSE)),"ID no encontrado"))</f>
        <v/>
      </c>
      <c r="R14" s="4"/>
    </row>
    <row r="15" spans="1:18" ht="75.599999999999994" customHeight="1">
      <c r="A15" s="6">
        <v>8</v>
      </c>
      <c r="B15" s="5" t="str">
        <f>IF($G15="","",IF($K15="","Falta criterio",IFERROR(IF(VLOOKUP($K15,'Historias y criterios'!$A$6:$P$83,3,FALSE)&lt;&gt;$G15,"Revisar relación requisito-criterio",IF($M15="","Falta caso de prueba",IF(VLOOKUP($M15,'Casos y evidencias'!$A$6:$O$83,2,FALSE)&lt;&gt;$K15,"Revisar relación criterio-caso",IF($O15="Aprobado",IF($P15="","Falta evidencia","Trazabilidad completa"),IF($O15="Fallido","Prueba fallida",IF($O15="Bloqueado","Prueba bloqueada","Prueba pendiente")))))),"ID no encontrado")))</f>
        <v>Prueba pendiente</v>
      </c>
      <c r="C15" s="7" t="str">
        <f>IF($G15="","",IFERROR(IF(VLOOKUP($G15,Requerimientos!$A$6:$M$43,2,FALSE)="","",VLOOKUP($G15,Requerimientos!$A$6:$M$43,2,FALSE)),"ID no encontrado"))</f>
        <v>OBJ-001</v>
      </c>
      <c r="D15" s="5" t="str">
        <f>IF($C15="","",IFERROR(IF(VLOOKUP($C15,'Objetivos y procesos'!$A$6:$H$35,2,FALSE)="","",VLOOKUP($C15,'Objetivos y procesos'!$A$6:$H$35,2,FALSE)),"ID no encontrado"))</f>
        <v>Proteger la plataforma y asegurar que cada usuario opere con el perfil, empresa y vendedor correctos.</v>
      </c>
      <c r="E15" s="7" t="str">
        <f>IF($G15="","",IFERROR(IF(VLOOKUP($G15,Requerimientos!$A$6:$M$43,3,FALSE)="","",VLOOKUP($G15,Requerimientos!$A$6:$M$43,3,FALSE)),"ID no encontrado"))</f>
        <v>PR-01</v>
      </c>
      <c r="F15" s="5" t="str">
        <f>IF($E15="","",IFERROR(IF(INDEX('Objetivos y procesos'!$D$6:$D$35,MATCH($E15,'Objetivos y procesos'!$C$6:$C$35,0))="","",IF(INDEX('Objetivos y procesos'!$D$6:$D$35,MATCH($E15,'Objetivos y procesos'!$C$6:$C$35,0))=INDEX('Objetivos y procesos'!$E$6:$E$35,MATCH($E15,'Objetivos y procesos'!$C$6:$C$35,0)),INDEX('Objetivos y procesos'!$D$6:$D$35,MATCH($E15,'Objetivos y procesos'!$C$6:$C$35,0)),INDEX('Objetivos y procesos'!$D$6:$D$35,MATCH($E15,'Objetivos y procesos'!$C$6:$C$35,0))&amp;IF(INDEX('Objetivos y procesos'!$E$6:$E$35,MATCH($E15,'Objetivos y procesos'!$C$6:$C$35,0))="",""," / "&amp;INDEX('Objetivos y procesos'!$E$6:$E$35,MATCH($E15,'Objetivos y procesos'!$C$6:$C$35,0))))),"ID no encontrado"))</f>
        <v>Gestión de usuarios, roles y permisos</v>
      </c>
      <c r="G15" s="8" t="s">
        <v>41</v>
      </c>
      <c r="H15" s="5" t="str">
        <f>IF($G15="","",IFERROR(IF(VLOOKUP($G15,Requerimientos!$A$6:$M$43,7,FALSE)="","",VLOOKUP($G15,Requerimientos!$A$6:$M$43,7,FALSE)),"ID no encontrado"))</f>
        <v>El sistema debe restringir las funciones y los datos visibles según el rol, el área y el cargo del usuario.</v>
      </c>
      <c r="I15" s="7" t="str">
        <f>IF($K15="","",IFERROR(IF(VLOOKUP($K15,'Historias y criterios'!$A$6:$P$83,2,FALSE)="","",VLOOKUP($K15,'Historias y criterios'!$A$6:$P$83,2,FALSE)),"ID no encontrado"))</f>
        <v>HU-003</v>
      </c>
      <c r="J15" s="5" t="str">
        <f>IF($K15="","",IFERROR(IF(VLOOKUP($K15,'Historias y criterios'!$A$6:$P$83,10,FALSE)="","",VLOOKUP($K15,'Historias y criterios'!$A$6:$P$83,10,FALSE)),"ID no encontrado"))</f>
        <v>Como administrador, quiero definir permisos por rol, área y cargo, además de grupos autorizadores por tipo de solicitud, para controlar qué funciones, datos y decisiones corresponden a cada usuario</v>
      </c>
      <c r="K15" s="8" t="s">
        <v>44</v>
      </c>
      <c r="L15" s="5" t="str">
        <f>IF($K15="","",IFERROR(IF(VLOOKUP($K15,'Historias y criterios'!$A$6:$P$83,11,FALSE)="","",VLOOKUP($K15,'Historias y criterios'!$A$6:$P$83,11,FALSE)),"ID no encontrado"))</f>
        <v>Cada operación valida los permisos en el servidor.</v>
      </c>
      <c r="M15" s="8" t="s">
        <v>45</v>
      </c>
      <c r="N15" s="5" t="str">
        <f>IF($M15="","",IFERROR(IF(VLOOKUP($M15,'Casos y evidencias'!$A$6:$O$83,5,FALSE)="","",VLOOKUP($M15,'Casos y evidencias'!$A$6:$O$83,5,FALSE)),"ID no encontrado"))</f>
        <v>Validación de permisos en el servidor</v>
      </c>
      <c r="O15" s="5" t="str">
        <f>IF($M15="","",IFERROR(IF(VLOOKUP($M15,'Casos y evidencias'!$A$6:$O$83,10,FALSE)="","",VLOOKUP($M15,'Casos y evidencias'!$A$6:$O$83,10,FALSE)),"ID no encontrado"))</f>
        <v>No ejecutado</v>
      </c>
      <c r="P15" s="7" t="str">
        <f>IF($M15="","",IFERROR(IF(VLOOKUP($M15,'Casos y evidencias'!$A$6:$O$83,11,FALSE)="","",VLOOKUP($M15,'Casos y evidencias'!$A$6:$O$83,11,FALSE)),"ID no encontrado"))</f>
        <v/>
      </c>
      <c r="Q15" s="5" t="str">
        <f>IF($M15="","",IFERROR(IF(VLOOKUP($M15,'Casos y evidencias'!$A$6:$O$83,12,FALSE)="","",VLOOKUP($M15,'Casos y evidencias'!$A$6:$O$83,12,FALSE)),"ID no encontrado"))</f>
        <v/>
      </c>
      <c r="R15" s="4"/>
    </row>
    <row r="16" spans="1:18" ht="75.599999999999994" customHeight="1">
      <c r="A16" s="6">
        <v>9</v>
      </c>
      <c r="B16" s="5" t="str">
        <f>IF($G16="","",IF($K16="","Falta criterio",IFERROR(IF(VLOOKUP($K16,'Historias y criterios'!$A$6:$P$83,3,FALSE)&lt;&gt;$G16,"Revisar relación requisito-criterio",IF($M16="","Falta caso de prueba",IF(VLOOKUP($M16,'Casos y evidencias'!$A$6:$O$83,2,FALSE)&lt;&gt;$K16,"Revisar relación criterio-caso",IF($O16="Aprobado",IF($P16="","Falta evidencia","Trazabilidad completa"),IF($O16="Fallido","Prueba fallida",IF($O16="Bloqueado","Prueba bloqueada","Prueba pendiente")))))),"ID no encontrado")))</f>
        <v>Prueba pendiente</v>
      </c>
      <c r="C16" s="7" t="str">
        <f>IF($G16="","",IFERROR(IF(VLOOKUP($G16,Requerimientos!$A$6:$M$43,2,FALSE)="","",VLOOKUP($G16,Requerimientos!$A$6:$M$43,2,FALSE)),"ID no encontrado"))</f>
        <v>OBJ-001</v>
      </c>
      <c r="D16" s="5" t="str">
        <f>IF($C16="","",IFERROR(IF(VLOOKUP($C16,'Objetivos y procesos'!$A$6:$H$35,2,FALSE)="","",VLOOKUP($C16,'Objetivos y procesos'!$A$6:$H$35,2,FALSE)),"ID no encontrado"))</f>
        <v>Proteger la plataforma y asegurar que cada usuario opere con el perfil, empresa y vendedor correctos.</v>
      </c>
      <c r="E16" s="7" t="str">
        <f>IF($G16="","",IFERROR(IF(VLOOKUP($G16,Requerimientos!$A$6:$M$43,3,FALSE)="","",VLOOKUP($G16,Requerimientos!$A$6:$M$43,3,FALSE)),"ID no encontrado"))</f>
        <v>PR-01</v>
      </c>
      <c r="F16" s="5" t="str">
        <f>IF($E16="","",IFERROR(IF(INDEX('Objetivos y procesos'!$D$6:$D$35,MATCH($E16,'Objetivos y procesos'!$C$6:$C$35,0))="","",IF(INDEX('Objetivos y procesos'!$D$6:$D$35,MATCH($E16,'Objetivos y procesos'!$C$6:$C$35,0))=INDEX('Objetivos y procesos'!$E$6:$E$35,MATCH($E16,'Objetivos y procesos'!$C$6:$C$35,0)),INDEX('Objetivos y procesos'!$D$6:$D$35,MATCH($E16,'Objetivos y procesos'!$C$6:$C$35,0)),INDEX('Objetivos y procesos'!$D$6:$D$35,MATCH($E16,'Objetivos y procesos'!$C$6:$C$35,0))&amp;IF(INDEX('Objetivos y procesos'!$E$6:$E$35,MATCH($E16,'Objetivos y procesos'!$C$6:$C$35,0))="",""," / "&amp;INDEX('Objetivos y procesos'!$E$6:$E$35,MATCH($E16,'Objetivos y procesos'!$C$6:$C$35,0))))),"ID no encontrado"))</f>
        <v>Gestión de usuarios, roles y permisos</v>
      </c>
      <c r="G16" s="8" t="s">
        <v>46</v>
      </c>
      <c r="H16" s="5" t="str">
        <f>IF($G16="","",IFERROR(IF(VLOOKUP($G16,Requerimientos!$A$6:$M$43,7,FALSE)="","",VLOOKUP($G16,Requerimientos!$A$6:$M$43,7,FALSE)),"ID no encontrado"))</f>
        <v>El sistema debe permitir definir grupos de autorizadores por tipo de solicitud.</v>
      </c>
      <c r="I16" s="7" t="str">
        <f>IF($K16="","",IFERROR(IF(VLOOKUP($K16,'Historias y criterios'!$A$6:$P$83,2,FALSE)="","",VLOOKUP($K16,'Historias y criterios'!$A$6:$P$83,2,FALSE)),"ID no encontrado"))</f>
        <v>HU-003</v>
      </c>
      <c r="J16" s="5" t="str">
        <f>IF($K16="","",IFERROR(IF(VLOOKUP($K16,'Historias y criterios'!$A$6:$P$83,10,FALSE)="","",VLOOKUP($K16,'Historias y criterios'!$A$6:$P$83,10,FALSE)),"ID no encontrado"))</f>
        <v>Como administrador, quiero definir permisos por rol, área y cargo, además de grupos autorizadores por tipo de solicitud, para controlar qué funciones, datos y decisiones corresponden a cada usuario</v>
      </c>
      <c r="K16" s="8" t="s">
        <v>47</v>
      </c>
      <c r="L16" s="5" t="str">
        <f>IF($K16="","",IFERROR(IF(VLOOKUP($K16,'Historias y criterios'!$A$6:$P$83,11,FALSE)="","",VLOOKUP($K16,'Historias y criterios'!$A$6:$P$83,11,FALSE)),"ID no encontrado"))</f>
        <v>Es posible crear y modificar grupos por tipo de solicitud, siempre con al menos un integrante activo.</v>
      </c>
      <c r="M16" s="8" t="s">
        <v>48</v>
      </c>
      <c r="N16" s="5" t="str">
        <f>IF($M16="","",IFERROR(IF(VLOOKUP($M16,'Casos y evidencias'!$A$6:$O$83,5,FALSE)="","",VLOOKUP($M16,'Casos y evidencias'!$A$6:$O$83,5,FALSE)),"ID no encontrado"))</f>
        <v>Gestión de grupos autorizadores por tipo de solicitud</v>
      </c>
      <c r="O16" s="5" t="str">
        <f>IF($M16="","",IFERROR(IF(VLOOKUP($M16,'Casos y evidencias'!$A$6:$O$83,10,FALSE)="","",VLOOKUP($M16,'Casos y evidencias'!$A$6:$O$83,10,FALSE)),"ID no encontrado"))</f>
        <v>No ejecutado</v>
      </c>
      <c r="P16" s="7" t="str">
        <f>IF($M16="","",IFERROR(IF(VLOOKUP($M16,'Casos y evidencias'!$A$6:$O$83,11,FALSE)="","",VLOOKUP($M16,'Casos y evidencias'!$A$6:$O$83,11,FALSE)),"ID no encontrado"))</f>
        <v/>
      </c>
      <c r="Q16" s="5" t="str">
        <f>IF($M16="","",IFERROR(IF(VLOOKUP($M16,'Casos y evidencias'!$A$6:$O$83,12,FALSE)="","",VLOOKUP($M16,'Casos y evidencias'!$A$6:$O$83,12,FALSE)),"ID no encontrado"))</f>
        <v/>
      </c>
      <c r="R16" s="4"/>
    </row>
    <row r="17" spans="1:18" ht="75.599999999999994" customHeight="1">
      <c r="A17" s="6">
        <v>10</v>
      </c>
      <c r="B17" s="5" t="str">
        <f>IF($G17="","",IF($K17="","Falta criterio",IFERROR(IF(VLOOKUP($K17,'Historias y criterios'!$A$6:$P$83,3,FALSE)&lt;&gt;$G17,"Revisar relación requisito-criterio",IF($M17="","Falta caso de prueba",IF(VLOOKUP($M17,'Casos y evidencias'!$A$6:$O$83,2,FALSE)&lt;&gt;$K17,"Revisar relación criterio-caso",IF($O17="Aprobado",IF($P17="","Falta evidencia","Trazabilidad completa"),IF($O17="Fallido","Prueba fallida",IF($O17="Bloqueado","Prueba bloqueada","Prueba pendiente")))))),"ID no encontrado")))</f>
        <v>Prueba pendiente</v>
      </c>
      <c r="C17" s="7" t="str">
        <f>IF($G17="","",IFERROR(IF(VLOOKUP($G17,Requerimientos!$A$6:$M$43,2,FALSE)="","",VLOOKUP($G17,Requerimientos!$A$6:$M$43,2,FALSE)),"ID no encontrado"))</f>
        <v>OBJ-001</v>
      </c>
      <c r="D17" s="5" t="str">
        <f>IF($C17="","",IFERROR(IF(VLOOKUP($C17,'Objetivos y procesos'!$A$6:$H$35,2,FALSE)="","",VLOOKUP($C17,'Objetivos y procesos'!$A$6:$H$35,2,FALSE)),"ID no encontrado"))</f>
        <v>Proteger la plataforma y asegurar que cada usuario opere con el perfil, empresa y vendedor correctos.</v>
      </c>
      <c r="E17" s="7" t="str">
        <f>IF($G17="","",IFERROR(IF(VLOOKUP($G17,Requerimientos!$A$6:$M$43,3,FALSE)="","",VLOOKUP($G17,Requerimientos!$A$6:$M$43,3,FALSE)),"ID no encontrado"))</f>
        <v>PR-01</v>
      </c>
      <c r="F17" s="5" t="str">
        <f>IF($E17="","",IFERROR(IF(INDEX('Objetivos y procesos'!$D$6:$D$35,MATCH($E17,'Objetivos y procesos'!$C$6:$C$35,0))="","",IF(INDEX('Objetivos y procesos'!$D$6:$D$35,MATCH($E17,'Objetivos y procesos'!$C$6:$C$35,0))=INDEX('Objetivos y procesos'!$E$6:$E$35,MATCH($E17,'Objetivos y procesos'!$C$6:$C$35,0)),INDEX('Objetivos y procesos'!$D$6:$D$35,MATCH($E17,'Objetivos y procesos'!$C$6:$C$35,0)),INDEX('Objetivos y procesos'!$D$6:$D$35,MATCH($E17,'Objetivos y procesos'!$C$6:$C$35,0))&amp;IF(INDEX('Objetivos y procesos'!$E$6:$E$35,MATCH($E17,'Objetivos y procesos'!$C$6:$C$35,0))="",""," / "&amp;INDEX('Objetivos y procesos'!$E$6:$E$35,MATCH($E17,'Objetivos y procesos'!$C$6:$C$35,0))))),"ID no encontrado"))</f>
        <v>Gestión de usuarios, roles y permisos</v>
      </c>
      <c r="G17" s="8" t="s">
        <v>49</v>
      </c>
      <c r="H17" s="5" t="str">
        <f>IF($G17="","",IFERROR(IF(VLOOKUP($G17,Requerimientos!$A$6:$M$43,7,FALSE)="","",VLOOKUP($G17,Requerimientos!$A$6:$M$43,7,FALSE)),"ID no encontrado"))</f>
        <v>El sistema debe permitir al administrador definir y modificar los permisos asociados a cada rol, área y cargo.</v>
      </c>
      <c r="I17" s="7" t="str">
        <f>IF($K17="","",IFERROR(IF(VLOOKUP($K17,'Historias y criterios'!$A$6:$P$83,2,FALSE)="","",VLOOKUP($K17,'Historias y criterios'!$A$6:$P$83,2,FALSE)),"ID no encontrado"))</f>
        <v>HU-003</v>
      </c>
      <c r="J17" s="5" t="str">
        <f>IF($K17="","",IFERROR(IF(VLOOKUP($K17,'Historias y criterios'!$A$6:$P$83,10,FALSE)="","",VLOOKUP($K17,'Historias y criterios'!$A$6:$P$83,10,FALSE)),"ID no encontrado"))</f>
        <v>Como administrador, quiero definir permisos por rol, área y cargo, además de grupos autorizadores por tipo de solicitud, para controlar qué funciones, datos y decisiones corresponden a cada usuario</v>
      </c>
      <c r="K17" s="8" t="s">
        <v>50</v>
      </c>
      <c r="L17" s="5" t="str">
        <f>IF($K17="","",IFERROR(IF(VLOOKUP($K17,'Historias y criterios'!$A$6:$P$83,11,FALSE)="","",VLOOKUP($K17,'Historias y criterios'!$A$6:$P$83,11,FALSE)),"ID no encontrado"))</f>
        <v>Solo el administrador gestiona permisos y grupos.</v>
      </c>
      <c r="M17" s="8" t="s">
        <v>51</v>
      </c>
      <c r="N17" s="5" t="str">
        <f>IF($M17="","",IFERROR(IF(VLOOKUP($M17,'Casos y evidencias'!$A$6:$O$83,5,FALSE)="","",VLOOKUP($M17,'Casos y evidencias'!$A$6:$O$83,5,FALSE)),"ID no encontrado"))</f>
        <v>Gestión de permisos exclusiva del administrador</v>
      </c>
      <c r="O17" s="5" t="str">
        <f>IF($M17="","",IFERROR(IF(VLOOKUP($M17,'Casos y evidencias'!$A$6:$O$83,10,FALSE)="","",VLOOKUP($M17,'Casos y evidencias'!$A$6:$O$83,10,FALSE)),"ID no encontrado"))</f>
        <v>No ejecutado</v>
      </c>
      <c r="P17" s="7" t="str">
        <f>IF($M17="","",IFERROR(IF(VLOOKUP($M17,'Casos y evidencias'!$A$6:$O$83,11,FALSE)="","",VLOOKUP($M17,'Casos y evidencias'!$A$6:$O$83,11,FALSE)),"ID no encontrado"))</f>
        <v/>
      </c>
      <c r="Q17" s="5" t="str">
        <f>IF($M17="","",IFERROR(IF(VLOOKUP($M17,'Casos y evidencias'!$A$6:$O$83,12,FALSE)="","",VLOOKUP($M17,'Casos y evidencias'!$A$6:$O$83,12,FALSE)),"ID no encontrado"))</f>
        <v/>
      </c>
      <c r="R17" s="4"/>
    </row>
    <row r="18" spans="1:18" ht="89.1" customHeight="1">
      <c r="A18" s="6">
        <v>11</v>
      </c>
      <c r="B18" s="5" t="str">
        <f>IF($G18="","",IF($K18="","Falta criterio",IFERROR(IF(VLOOKUP($K18,'Historias y criterios'!$A$6:$P$83,3,FALSE)&lt;&gt;$G18,"Revisar relación requisito-criterio",IF($M18="","Falta caso de prueba",IF(VLOOKUP($M18,'Casos y evidencias'!$A$6:$O$83,2,FALSE)&lt;&gt;$K18,"Revisar relación criterio-caso",IF($O18="Aprobado",IF($P18="","Falta evidencia","Trazabilidad completa"),IF($O18="Fallido","Prueba fallida",IF($O18="Bloqueado","Prueba bloqueada","Prueba pendiente")))))),"ID no encontrado")))</f>
        <v>Prueba pendiente</v>
      </c>
      <c r="C18" s="7" t="str">
        <f>IF($G18="","",IFERROR(IF(VLOOKUP($G18,Requerimientos!$A$6:$M$43,2,FALSE)="","",VLOOKUP($G18,Requerimientos!$A$6:$M$43,2,FALSE)),"ID no encontrado"))</f>
        <v>OBJ-001</v>
      </c>
      <c r="D18" s="5" t="str">
        <f>IF($C18="","",IFERROR(IF(VLOOKUP($C18,'Objetivos y procesos'!$A$6:$H$35,2,FALSE)="","",VLOOKUP($C18,'Objetivos y procesos'!$A$6:$H$35,2,FALSE)),"ID no encontrado"))</f>
        <v>Proteger la plataforma y asegurar que cada usuario opere con el perfil, empresa y vendedor correctos.</v>
      </c>
      <c r="E18" s="7" t="str">
        <f>IF($G18="","",IFERROR(IF(VLOOKUP($G18,Requerimientos!$A$6:$M$43,3,FALSE)="","",VLOOKUP($G18,Requerimientos!$A$6:$M$43,3,FALSE)),"ID no encontrado"))</f>
        <v>PR-01</v>
      </c>
      <c r="F18" s="5" t="str">
        <f>IF($E18="","",IFERROR(IF(INDEX('Objetivos y procesos'!$D$6:$D$35,MATCH($E18,'Objetivos y procesos'!$C$6:$C$35,0))="","",IF(INDEX('Objetivos y procesos'!$D$6:$D$35,MATCH($E18,'Objetivos y procesos'!$C$6:$C$35,0))=INDEX('Objetivos y procesos'!$E$6:$E$35,MATCH($E18,'Objetivos y procesos'!$C$6:$C$35,0)),INDEX('Objetivos y procesos'!$D$6:$D$35,MATCH($E18,'Objetivos y procesos'!$C$6:$C$35,0)),INDEX('Objetivos y procesos'!$D$6:$D$35,MATCH($E18,'Objetivos y procesos'!$C$6:$C$35,0))&amp;IF(INDEX('Objetivos y procesos'!$E$6:$E$35,MATCH($E18,'Objetivos y procesos'!$C$6:$C$35,0))="",""," / "&amp;INDEX('Objetivos y procesos'!$E$6:$E$35,MATCH($E18,'Objetivos y procesos'!$C$6:$C$35,0))))),"ID no encontrado"))</f>
        <v>Gestión de usuarios, roles y permisos</v>
      </c>
      <c r="G18" s="8" t="s">
        <v>52</v>
      </c>
      <c r="H18" s="5" t="str">
        <f>IF($G18="","",IFERROR(IF(VLOOKUP($G18,Requerimientos!$A$6:$M$43,7,FALSE)="","",VLOOKUP($G18,Requerimientos!$A$6:$M$43,7,FALSE)),"ID no encontrado"))</f>
        <v>El sistema debe permitir asociar a cada usuario, sea vendedor o asistente de vendedor, uno o más códigos de vendedor de SAP (SlpCode), cada uno vinculado a su empresa: Ferretería Marsella o Asland.</v>
      </c>
      <c r="I18" s="7" t="str">
        <f>IF($K18="","",IFERROR(IF(VLOOKUP($K18,'Historias y criterios'!$A$6:$P$83,2,FALSE)="","",VLOOKUP($K18,'Historias y criterios'!$A$6:$P$83,2,FALSE)),"ID no encontrado"))</f>
        <v>HU-004</v>
      </c>
      <c r="J18" s="5" t="str">
        <f>IF($K18="","",IFERROR(IF(VLOOKUP($K18,'Historias y criterios'!$A$6:$P$83,10,FALSE)="","",VLOOKUP($K18,'Historias y criterios'!$A$6:$P$83,10,FALSE)),"ID no encontrado"))</f>
        <v>Como administrador, quiero asociar SlpCode y escala de comisión por empresa a vendedores y asistentes, para asegurar que cada operación use la empresa y el vendedor correctos</v>
      </c>
      <c r="K18" s="8" t="s">
        <v>53</v>
      </c>
      <c r="L18" s="5" t="str">
        <f>IF($K18="","",IFERROR(IF(VLOOKUP($K18,'Historias y criterios'!$A$6:$P$83,11,FALSE)="","",VLOOKUP($K18,'Historias y criterios'!$A$6:$P$83,11,FALSE)),"ID no encontrado"))</f>
        <v>Cada SlpCode queda asociado a Marsella o Asland y a los usuarios autorizados.</v>
      </c>
      <c r="M18" s="8" t="s">
        <v>54</v>
      </c>
      <c r="N18" s="5" t="str">
        <f>IF($M18="","",IFERROR(IF(VLOOKUP($M18,'Casos y evidencias'!$A$6:$O$83,5,FALSE)="","",VLOOKUP($M18,'Casos y evidencias'!$A$6:$O$83,5,FALSE)),"ID no encontrado"))</f>
        <v>Asociación de SlpCode por empresa</v>
      </c>
      <c r="O18" s="5" t="str">
        <f>IF($M18="","",IFERROR(IF(VLOOKUP($M18,'Casos y evidencias'!$A$6:$O$83,10,FALSE)="","",VLOOKUP($M18,'Casos y evidencias'!$A$6:$O$83,10,FALSE)),"ID no encontrado"))</f>
        <v>No ejecutado</v>
      </c>
      <c r="P18" s="7" t="str">
        <f>IF($M18="","",IFERROR(IF(VLOOKUP($M18,'Casos y evidencias'!$A$6:$O$83,11,FALSE)="","",VLOOKUP($M18,'Casos y evidencias'!$A$6:$O$83,11,FALSE)),"ID no encontrado"))</f>
        <v/>
      </c>
      <c r="Q18" s="5" t="str">
        <f>IF($M18="","",IFERROR(IF(VLOOKUP($M18,'Casos y evidencias'!$A$6:$O$83,12,FALSE)="","",VLOOKUP($M18,'Casos y evidencias'!$A$6:$O$83,12,FALSE)),"ID no encontrado"))</f>
        <v/>
      </c>
      <c r="R18" s="4"/>
    </row>
    <row r="19" spans="1:18" ht="75.599999999999994" customHeight="1">
      <c r="A19" s="6">
        <v>12</v>
      </c>
      <c r="B19" s="5" t="str">
        <f>IF($G19="","",IF($K19="","Falta criterio",IFERROR(IF(VLOOKUP($K19,'Historias y criterios'!$A$6:$P$83,3,FALSE)&lt;&gt;$G19,"Revisar relación requisito-criterio",IF($M19="","Falta caso de prueba",IF(VLOOKUP($M19,'Casos y evidencias'!$A$6:$O$83,2,FALSE)&lt;&gt;$K19,"Revisar relación criterio-caso",IF($O19="Aprobado",IF($P19="","Falta evidencia","Trazabilidad completa"),IF($O19="Fallido","Prueba fallida",IF($O19="Bloqueado","Prueba bloqueada","Prueba pendiente")))))),"ID no encontrado")))</f>
        <v>Prueba pendiente</v>
      </c>
      <c r="C19" s="7" t="str">
        <f>IF($G19="","",IFERROR(IF(VLOOKUP($G19,Requerimientos!$A$6:$M$43,2,FALSE)="","",VLOOKUP($G19,Requerimientos!$A$6:$M$43,2,FALSE)),"ID no encontrado"))</f>
        <v>OBJ-003</v>
      </c>
      <c r="D19" s="5" t="str">
        <f>IF($C19="","",IFERROR(IF(VLOOKUP($C19,'Objetivos y procesos'!$A$6:$H$35,2,FALSE)="","",VLOOKUP($C19,'Objetivos y procesos'!$A$6:$H$35,2,FALSE)),"ID no encontrado"))</f>
        <v>Centralizar consultas, cotizaciones y órdenes de venta, aplicando vendedor, comisión, autorización e integración correctos.</v>
      </c>
      <c r="E19" s="7" t="str">
        <f>IF($G19="","",IFERROR(IF(VLOOKUP($G19,Requerimientos!$A$6:$M$43,3,FALSE)="","",VLOOKUP($G19,Requerimientos!$A$6:$M$43,3,FALSE)),"ID no encontrado"))</f>
        <v>PR-03</v>
      </c>
      <c r="F19" s="5" t="str">
        <f>IF($E19="","",IFERROR(IF(INDEX('Objetivos y procesos'!$D$6:$D$35,MATCH($E19,'Objetivos y procesos'!$C$6:$C$35,0))="","",IF(INDEX('Objetivos y procesos'!$D$6:$D$35,MATCH($E19,'Objetivos y procesos'!$C$6:$C$35,0))=INDEX('Objetivos y procesos'!$E$6:$E$35,MATCH($E19,'Objetivos y procesos'!$C$6:$C$35,0)),INDEX('Objetivos y procesos'!$D$6:$D$35,MATCH($E19,'Objetivos y procesos'!$C$6:$C$35,0)),INDEX('Objetivos y procesos'!$D$6:$D$35,MATCH($E19,'Objetivos y procesos'!$C$6:$C$35,0))&amp;IF(INDEX('Objetivos y procesos'!$E$6:$E$35,MATCH($E19,'Objetivos y procesos'!$C$6:$C$35,0))="",""," / "&amp;INDEX('Objetivos y procesos'!$E$6:$E$35,MATCH($E19,'Objetivos y procesos'!$C$6:$C$35,0))))),"ID no encontrado"))</f>
        <v>Gestión comercial, cotizaciones y órdenes de venta</v>
      </c>
      <c r="G19" s="8" t="s">
        <v>55</v>
      </c>
      <c r="H19" s="5" t="str">
        <f>IF($G19="","",IFERROR(IF(VLOOKUP($G19,Requerimientos!$A$6:$M$43,7,FALSE)="","",VLOOKUP($G19,Requerimientos!$A$6:$M$43,7,FALSE)),"ID no encontrado"))</f>
        <v>El sistema debe permitir al administrador asignar a cada código de vendedor, al editar su perfil, la escala de comisión con que se calcula su comisión.</v>
      </c>
      <c r="I19" s="7" t="str">
        <f>IF($K19="","",IFERROR(IF(VLOOKUP($K19,'Historias y criterios'!$A$6:$P$83,2,FALSE)="","",VLOOKUP($K19,'Historias y criterios'!$A$6:$P$83,2,FALSE)),"ID no encontrado"))</f>
        <v>HU-004</v>
      </c>
      <c r="J19" s="5" t="str">
        <f>IF($K19="","",IFERROR(IF(VLOOKUP($K19,'Historias y criterios'!$A$6:$P$83,10,FALSE)="","",VLOOKUP($K19,'Historias y criterios'!$A$6:$P$83,10,FALSE)),"ID no encontrado"))</f>
        <v>Como administrador, quiero asociar SlpCode y escala de comisión por empresa a vendedores y asistentes, para asegurar que cada operación use la empresa y el vendedor correctos</v>
      </c>
      <c r="K19" s="8" t="s">
        <v>56</v>
      </c>
      <c r="L19" s="5" t="str">
        <f>IF($K19="","",IFERROR(IF(VLOOKUP($K19,'Historias y criterios'!$A$6:$P$83,11,FALSE)="","",VLOOKUP($K19,'Historias y criterios'!$A$6:$P$83,11,FALSE)),"ID no encontrado"))</f>
        <v>Se asigna una escala de comisión o se usa la escala predeterminada.</v>
      </c>
      <c r="M19" s="8" t="s">
        <v>57</v>
      </c>
      <c r="N19" s="5" t="str">
        <f>IF($M19="","",IFERROR(IF(VLOOKUP($M19,'Casos y evidencias'!$A$6:$O$83,5,FALSE)="","",VLOOKUP($M19,'Casos y evidencias'!$A$6:$O$83,5,FALSE)),"ID no encontrado"))</f>
        <v>Asignación de escala de comisión</v>
      </c>
      <c r="O19" s="5" t="str">
        <f>IF($M19="","",IFERROR(IF(VLOOKUP($M19,'Casos y evidencias'!$A$6:$O$83,10,FALSE)="","",VLOOKUP($M19,'Casos y evidencias'!$A$6:$O$83,10,FALSE)),"ID no encontrado"))</f>
        <v>No ejecutado</v>
      </c>
      <c r="P19" s="7" t="str">
        <f>IF($M19="","",IFERROR(IF(VLOOKUP($M19,'Casos y evidencias'!$A$6:$O$83,11,FALSE)="","",VLOOKUP($M19,'Casos y evidencias'!$A$6:$O$83,11,FALSE)),"ID no encontrado"))</f>
        <v/>
      </c>
      <c r="Q19" s="5" t="str">
        <f>IF($M19="","",IFERROR(IF(VLOOKUP($M19,'Casos y evidencias'!$A$6:$O$83,12,FALSE)="","",VLOOKUP($M19,'Casos y evidencias'!$A$6:$O$83,12,FALSE)),"ID no encontrado"))</f>
        <v/>
      </c>
      <c r="R19" s="4"/>
    </row>
    <row r="20" spans="1:18" ht="129.6" customHeight="1">
      <c r="A20" s="6">
        <v>13</v>
      </c>
      <c r="B20" s="5" t="str">
        <f>IF($G20="","",IF($K20="","Falta criterio",IFERROR(IF(VLOOKUP($K20,'Historias y criterios'!$A$6:$P$83,3,FALSE)&lt;&gt;$G20,"Revisar relación requisito-criterio",IF($M20="","Falta caso de prueba",IF(VLOOKUP($M20,'Casos y evidencias'!$A$6:$O$83,2,FALSE)&lt;&gt;$K20,"Revisar relación criterio-caso",IF($O20="Aprobado",IF($P20="","Falta evidencia","Trazabilidad completa"),IF($O20="Fallido","Prueba fallida",IF($O20="Bloqueado","Prueba bloqueada","Prueba pendiente")))))),"ID no encontrado")))</f>
        <v>Prueba pendiente</v>
      </c>
      <c r="C20" s="7" t="str">
        <f>IF($G20="","",IFERROR(IF(VLOOKUP($G20,Requerimientos!$A$6:$M$43,2,FALSE)="","",VLOOKUP($G20,Requerimientos!$A$6:$M$43,2,FALSE)),"ID no encontrado"))</f>
        <v>OBJ-001</v>
      </c>
      <c r="D20" s="5" t="str">
        <f>IF($C20="","",IFERROR(IF(VLOOKUP($C20,'Objetivos y procesos'!$A$6:$H$35,2,FALSE)="","",VLOOKUP($C20,'Objetivos y procesos'!$A$6:$H$35,2,FALSE)),"ID no encontrado"))</f>
        <v>Proteger la plataforma y asegurar que cada usuario opere con el perfil, empresa y vendedor correctos.</v>
      </c>
      <c r="E20" s="7" t="str">
        <f>IF($G20="","",IFERROR(IF(VLOOKUP($G20,Requerimientos!$A$6:$M$43,3,FALSE)="","",VLOOKUP($G20,Requerimientos!$A$6:$M$43,3,FALSE)),"ID no encontrado"))</f>
        <v>PR-01</v>
      </c>
      <c r="F20" s="5" t="str">
        <f>IF($E20="","",IFERROR(IF(INDEX('Objetivos y procesos'!$D$6:$D$35,MATCH($E20,'Objetivos y procesos'!$C$6:$C$35,0))="","",IF(INDEX('Objetivos y procesos'!$D$6:$D$35,MATCH($E20,'Objetivos y procesos'!$C$6:$C$35,0))=INDEX('Objetivos y procesos'!$E$6:$E$35,MATCH($E20,'Objetivos y procesos'!$C$6:$C$35,0)),INDEX('Objetivos y procesos'!$D$6:$D$35,MATCH($E20,'Objetivos y procesos'!$C$6:$C$35,0)),INDEX('Objetivos y procesos'!$D$6:$D$35,MATCH($E20,'Objetivos y procesos'!$C$6:$C$35,0))&amp;IF(INDEX('Objetivos y procesos'!$E$6:$E$35,MATCH($E20,'Objetivos y procesos'!$C$6:$C$35,0))="",""," / "&amp;INDEX('Objetivos y procesos'!$E$6:$E$35,MATCH($E20,'Objetivos y procesos'!$C$6:$C$35,0))))),"ID no encontrado"))</f>
        <v>Gestión de usuarios, roles y permisos</v>
      </c>
      <c r="G20" s="8" t="s">
        <v>58</v>
      </c>
      <c r="H20" s="5" t="str">
        <f>IF($G20="","",IFERROR(IF(VLOOKUP($G20,Requerimientos!$A$6:$M$43,7,FALSE)="","",VLOOKUP($G20,Requerimientos!$A$6:$M$43,7,FALSE)),"ID no encontrado"))</f>
        <v>El sistema debe ofrecer un selector de empresa en la barra de navegación, visible para los usuarios con códigos en ambas empresas, que cambie la empresa activa en toda la plataforma: consultas, documentos, solicitudes y casos. La interfaz identifica la empresa activa por color: rojo para Ferretería Marsella y celeste para Asland.</v>
      </c>
      <c r="I20" s="7" t="str">
        <f>IF($K20="","",IFERROR(IF(VLOOKUP($K20,'Historias y criterios'!$A$6:$P$83,2,FALSE)="","",VLOOKUP($K20,'Historias y criterios'!$A$6:$P$83,2,FALSE)),"ID no encontrado"))</f>
        <v>HU-004</v>
      </c>
      <c r="J20" s="5" t="str">
        <f>IF($K20="","",IFERROR(IF(VLOOKUP($K20,'Historias y criterios'!$A$6:$P$83,10,FALSE)="","",VLOOKUP($K20,'Historias y criterios'!$A$6:$P$83,10,FALSE)),"ID no encontrado"))</f>
        <v>Como administrador, quiero asociar SlpCode y escala de comisión por empresa a vendedores y asistentes, para asegurar que cada operación use la empresa y el vendedor correctos</v>
      </c>
      <c r="K20" s="8" t="s">
        <v>59</v>
      </c>
      <c r="L20" s="5" t="str">
        <f>IF($K20="","",IFERROR(IF(VLOOKUP($K20,'Historias y criterios'!$A$6:$P$83,11,FALSE)="","",VLOOKUP($K20,'Historias y criterios'!$A$6:$P$83,11,FALSE)),"ID no encontrado"))</f>
        <v>El selector de empresa solo aparece a usuarios con códigos en ambas empresas.</v>
      </c>
      <c r="M20" s="8" t="s">
        <v>60</v>
      </c>
      <c r="N20" s="5" t="str">
        <f>IF($M20="","",IFERROR(IF(VLOOKUP($M20,'Casos y evidencias'!$A$6:$O$83,5,FALSE)="","",VLOOKUP($M20,'Casos y evidencias'!$A$6:$O$83,5,FALSE)),"ID no encontrado"))</f>
        <v>Visibilidad del selector de empresa</v>
      </c>
      <c r="O20" s="5" t="str">
        <f>IF($M20="","",IFERROR(IF(VLOOKUP($M20,'Casos y evidencias'!$A$6:$O$83,10,FALSE)="","",VLOOKUP($M20,'Casos y evidencias'!$A$6:$O$83,10,FALSE)),"ID no encontrado"))</f>
        <v>No ejecutado</v>
      </c>
      <c r="P20" s="7" t="str">
        <f>IF($M20="","",IFERROR(IF(VLOOKUP($M20,'Casos y evidencias'!$A$6:$O$83,11,FALSE)="","",VLOOKUP($M20,'Casos y evidencias'!$A$6:$O$83,11,FALSE)),"ID no encontrado"))</f>
        <v/>
      </c>
      <c r="Q20" s="5" t="str">
        <f>IF($M20="","",IFERROR(IF(VLOOKUP($M20,'Casos y evidencias'!$A$6:$O$83,12,FALSE)="","",VLOOKUP($M20,'Casos y evidencias'!$A$6:$O$83,12,FALSE)),"ID no encontrado"))</f>
        <v/>
      </c>
      <c r="R20" s="4"/>
    </row>
    <row r="21" spans="1:18" ht="129.6" customHeight="1">
      <c r="A21" s="6">
        <v>14</v>
      </c>
      <c r="B21" s="5" t="str">
        <f>IF($G21="","",IF($K21="","Falta criterio",IFERROR(IF(VLOOKUP($K21,'Historias y criterios'!$A$6:$P$83,3,FALSE)&lt;&gt;$G21,"Revisar relación requisito-criterio",IF($M21="","Falta caso de prueba",IF(VLOOKUP($M21,'Casos y evidencias'!$A$6:$O$83,2,FALSE)&lt;&gt;$K21,"Revisar relación criterio-caso",IF($O21="Aprobado",IF($P21="","Falta evidencia","Trazabilidad completa"),IF($O21="Fallido","Prueba fallida",IF($O21="Bloqueado","Prueba bloqueada","Prueba pendiente")))))),"ID no encontrado")))</f>
        <v>Prueba pendiente</v>
      </c>
      <c r="C21" s="7" t="str">
        <f>IF($G21="","",IFERROR(IF(VLOOKUP($G21,Requerimientos!$A$6:$M$43,2,FALSE)="","",VLOOKUP($G21,Requerimientos!$A$6:$M$43,2,FALSE)),"ID no encontrado"))</f>
        <v>OBJ-001</v>
      </c>
      <c r="D21" s="5" t="str">
        <f>IF($C21="","",IFERROR(IF(VLOOKUP($C21,'Objetivos y procesos'!$A$6:$H$35,2,FALSE)="","",VLOOKUP($C21,'Objetivos y procesos'!$A$6:$H$35,2,FALSE)),"ID no encontrado"))</f>
        <v>Proteger la plataforma y asegurar que cada usuario opere con el perfil, empresa y vendedor correctos.</v>
      </c>
      <c r="E21" s="7" t="str">
        <f>IF($G21="","",IFERROR(IF(VLOOKUP($G21,Requerimientos!$A$6:$M$43,3,FALSE)="","",VLOOKUP($G21,Requerimientos!$A$6:$M$43,3,FALSE)),"ID no encontrado"))</f>
        <v>PR-01</v>
      </c>
      <c r="F21" s="5" t="str">
        <f>IF($E21="","",IFERROR(IF(INDEX('Objetivos y procesos'!$D$6:$D$35,MATCH($E21,'Objetivos y procesos'!$C$6:$C$35,0))="","",IF(INDEX('Objetivos y procesos'!$D$6:$D$35,MATCH($E21,'Objetivos y procesos'!$C$6:$C$35,0))=INDEX('Objetivos y procesos'!$E$6:$E$35,MATCH($E21,'Objetivos y procesos'!$C$6:$C$35,0)),INDEX('Objetivos y procesos'!$D$6:$D$35,MATCH($E21,'Objetivos y procesos'!$C$6:$C$35,0)),INDEX('Objetivos y procesos'!$D$6:$D$35,MATCH($E21,'Objetivos y procesos'!$C$6:$C$35,0))&amp;IF(INDEX('Objetivos y procesos'!$E$6:$E$35,MATCH($E21,'Objetivos y procesos'!$C$6:$C$35,0))="",""," / "&amp;INDEX('Objetivos y procesos'!$E$6:$E$35,MATCH($E21,'Objetivos y procesos'!$C$6:$C$35,0))))),"ID no encontrado"))</f>
        <v>Gestión de usuarios, roles y permisos</v>
      </c>
      <c r="G21" s="8" t="s">
        <v>58</v>
      </c>
      <c r="H21" s="5" t="str">
        <f>IF($G21="","",IFERROR(IF(VLOOKUP($G21,Requerimientos!$A$6:$M$43,7,FALSE)="","",VLOOKUP($G21,Requerimientos!$A$6:$M$43,7,FALSE)),"ID no encontrado"))</f>
        <v>El sistema debe ofrecer un selector de empresa en la barra de navegación, visible para los usuarios con códigos en ambas empresas, que cambie la empresa activa en toda la plataforma: consultas, documentos, solicitudes y casos. La interfaz identifica la empresa activa por color: rojo para Ferretería Marsella y celeste para Asland.</v>
      </c>
      <c r="I21" s="7" t="str">
        <f>IF($K21="","",IFERROR(IF(VLOOKUP($K21,'Historias y criterios'!$A$6:$P$83,2,FALSE)="","",VLOOKUP($K21,'Historias y criterios'!$A$6:$P$83,2,FALSE)),"ID no encontrado"))</f>
        <v>HU-004</v>
      </c>
      <c r="J21" s="5" t="str">
        <f>IF($K21="","",IFERROR(IF(VLOOKUP($K21,'Historias y criterios'!$A$6:$P$83,10,FALSE)="","",VLOOKUP($K21,'Historias y criterios'!$A$6:$P$83,10,FALSE)),"ID no encontrado"))</f>
        <v>Como administrador, quiero asociar SlpCode y escala de comisión por empresa a vendedores y asistentes, para asegurar que cada operación use la empresa y el vendedor correctos</v>
      </c>
      <c r="K21" s="8" t="s">
        <v>61</v>
      </c>
      <c r="L21" s="5" t="str">
        <f>IF($K21="","",IFERROR(IF(VLOOKUP($K21,'Historias y criterios'!$A$6:$P$83,11,FALSE)="","",VLOOKUP($K21,'Historias y criterios'!$A$6:$P$83,11,FALSE)),"ID no encontrado"))</f>
        <v>Al cambiar la empresa activa, consultas, documentos, solicitudes y casos usan ese contexto y su color identificador.</v>
      </c>
      <c r="M21" s="8" t="s">
        <v>62</v>
      </c>
      <c r="N21" s="5" t="str">
        <f>IF($M21="","",IFERROR(IF(VLOOKUP($M21,'Casos y evidencias'!$A$6:$O$83,5,FALSE)="","",VLOOKUP($M21,'Casos y evidencias'!$A$6:$O$83,5,FALSE)),"ID no encontrado"))</f>
        <v>Cambio de empresa activa</v>
      </c>
      <c r="O21" s="5" t="str">
        <f>IF($M21="","",IFERROR(IF(VLOOKUP($M21,'Casos y evidencias'!$A$6:$O$83,10,FALSE)="","",VLOOKUP($M21,'Casos y evidencias'!$A$6:$O$83,10,FALSE)),"ID no encontrado"))</f>
        <v>No ejecutado</v>
      </c>
      <c r="P21" s="7" t="str">
        <f>IF($M21="","",IFERROR(IF(VLOOKUP($M21,'Casos y evidencias'!$A$6:$O$83,11,FALSE)="","",VLOOKUP($M21,'Casos y evidencias'!$A$6:$O$83,11,FALSE)),"ID no encontrado"))</f>
        <v/>
      </c>
      <c r="Q21" s="5" t="str">
        <f>IF($M21="","",IFERROR(IF(VLOOKUP($M21,'Casos y evidencias'!$A$6:$O$83,12,FALSE)="","",VLOOKUP($M21,'Casos y evidencias'!$A$6:$O$83,12,FALSE)),"ID no encontrado"))</f>
        <v/>
      </c>
      <c r="R21" s="4"/>
    </row>
    <row r="22" spans="1:18" ht="89.1" customHeight="1">
      <c r="A22" s="6">
        <v>15</v>
      </c>
      <c r="B22" s="5" t="str">
        <f>IF($G22="","",IF($K22="","Falta criterio",IFERROR(IF(VLOOKUP($K22,'Historias y criterios'!$A$6:$P$83,3,FALSE)&lt;&gt;$G22,"Revisar relación requisito-criterio",IF($M22="","Falta caso de prueba",IF(VLOOKUP($M22,'Casos y evidencias'!$A$6:$O$83,2,FALSE)&lt;&gt;$K22,"Revisar relación criterio-caso",IF($O22="Aprobado",IF($P22="","Falta evidencia","Trazabilidad completa"),IF($O22="Fallido","Prueba fallida",IF($O22="Bloqueado","Prueba bloqueada","Prueba pendiente")))))),"ID no encontrado")))</f>
        <v>Prueba pendiente</v>
      </c>
      <c r="C22" s="7" t="str">
        <f>IF($G22="","",IFERROR(IF(VLOOKUP($G22,Requerimientos!$A$6:$M$43,2,FALSE)="","",VLOOKUP($G22,Requerimientos!$A$6:$M$43,2,FALSE)),"ID no encontrado"))</f>
        <v>OBJ-002</v>
      </c>
      <c r="D22" s="5" t="str">
        <f>IF($C22="","",IFERROR(IF(VLOOKUP($C22,'Objetivos y procesos'!$A$6:$H$35,2,FALSE)="","",VLOOKUP($C22,'Objetivos y procesos'!$A$6:$H$35,2,FALSE)),"ID no encontrado"))</f>
        <v>Reducir reprocesos y hacer visible la creación, activación o modificación de artículos desde su envío hasta la resolución.</v>
      </c>
      <c r="E22" s="7" t="str">
        <f>IF($G22="","",IFERROR(IF(VLOOKUP($G22,Requerimientos!$A$6:$M$43,3,FALSE)="","",VLOOKUP($G22,Requerimientos!$A$6:$M$43,3,FALSE)),"ID no encontrado"))</f>
        <v>PR-02</v>
      </c>
      <c r="F22" s="5" t="str">
        <f>IF($E22="","",IFERROR(IF(INDEX('Objetivos y procesos'!$D$6:$D$35,MATCH($E22,'Objetivos y procesos'!$C$6:$C$35,0))="","",IF(INDEX('Objetivos y procesos'!$D$6:$D$35,MATCH($E22,'Objetivos y procesos'!$C$6:$C$35,0))=INDEX('Objetivos y procesos'!$E$6:$E$35,MATCH($E22,'Objetivos y procesos'!$C$6:$C$35,0)),INDEX('Objetivos y procesos'!$D$6:$D$35,MATCH($E22,'Objetivos y procesos'!$C$6:$C$35,0)),INDEX('Objetivos y procesos'!$D$6:$D$35,MATCH($E22,'Objetivos y procesos'!$C$6:$C$35,0))&amp;IF(INDEX('Objetivos y procesos'!$E$6:$E$35,MATCH($E22,'Objetivos y procesos'!$C$6:$C$35,0))="",""," / "&amp;INDEX('Objetivos y procesos'!$E$6:$E$35,MATCH($E22,'Objetivos y procesos'!$C$6:$C$35,0))))),"ID no encontrado"))</f>
        <v>Solicitudes y autorizaciones</v>
      </c>
      <c r="G22" s="8" t="s">
        <v>63</v>
      </c>
      <c r="H22" s="5" t="str">
        <f>IF($G22="","",IFERROR(IF(VLOOKUP($G22,Requerimientos!$A$6:$M$43,7,FALSE)="","",VLOOKUP($G22,Requerimientos!$A$6:$M$43,7,FALSE)),"ID no encontrado"))</f>
        <v>El sistema debe permitir al usuario con permiso de enviar solicitudes de código crear una solicitud de creación, activación o modificación de códigos de producto y enviarla a revisión del grupo autorizador correspondiente.</v>
      </c>
      <c r="I22" s="7" t="str">
        <f>IF($K22="","",IFERROR(IF(VLOOKUP($K22,'Historias y criterios'!$A$6:$P$83,2,FALSE)="","",VLOOKUP($K22,'Historias y criterios'!$A$6:$P$83,2,FALSE)),"ID no encontrado"))</f>
        <v>HU-005</v>
      </c>
      <c r="J22" s="5" t="str">
        <f>IF($K22="","",IFERROR(IF(VLOOKUP($K22,'Historias y criterios'!$A$6:$P$83,10,FALSE)="","",VLOOKUP($K22,'Historias y criterios'!$A$6:$P$83,10,FALSE)),"ID no encontrado"))</f>
        <v>Como vendedor autorizado, quiero crear solicitudes de creación, activación o modificación de artículos con sus respaldos, para enviar información completa al grupo autorizador correspondiente</v>
      </c>
      <c r="K22" s="8" t="s">
        <v>64</v>
      </c>
      <c r="L22" s="5" t="str">
        <f>IF($K22="","",IFERROR(IF(VLOOKUP($K22,'Historias y criterios'!$A$6:$P$83,11,FALSE)="","",VLOOKUP($K22,'Historias y criterios'!$A$6:$P$83,11,FALSE)),"ID no encontrado"))</f>
        <v>La solicitud se crea en estado Pendiente y queda asociada al usuario y empresa activa.</v>
      </c>
      <c r="M22" s="8" t="s">
        <v>65</v>
      </c>
      <c r="N22" s="5" t="str">
        <f>IF($M22="","",IFERROR(IF(VLOOKUP($M22,'Casos y evidencias'!$A$6:$O$83,5,FALSE)="","",VLOOKUP($M22,'Casos y evidencias'!$A$6:$O$83,5,FALSE)),"ID no encontrado"))</f>
        <v>Creación de solicitud en estado Pendiente</v>
      </c>
      <c r="O22" s="5" t="str">
        <f>IF($M22="","",IFERROR(IF(VLOOKUP($M22,'Casos y evidencias'!$A$6:$O$83,10,FALSE)="","",VLOOKUP($M22,'Casos y evidencias'!$A$6:$O$83,10,FALSE)),"ID no encontrado"))</f>
        <v>No ejecutado</v>
      </c>
      <c r="P22" s="7" t="str">
        <f>IF($M22="","",IFERROR(IF(VLOOKUP($M22,'Casos y evidencias'!$A$6:$O$83,11,FALSE)="","",VLOOKUP($M22,'Casos y evidencias'!$A$6:$O$83,11,FALSE)),"ID no encontrado"))</f>
        <v/>
      </c>
      <c r="Q22" s="5" t="str">
        <f>IF($M22="","",IFERROR(IF(VLOOKUP($M22,'Casos y evidencias'!$A$6:$O$83,12,FALSE)="","",VLOOKUP($M22,'Casos y evidencias'!$A$6:$O$83,12,FALSE)),"ID no encontrado"))</f>
        <v/>
      </c>
      <c r="R22" s="4"/>
    </row>
    <row r="23" spans="1:18" ht="89.1" customHeight="1">
      <c r="A23" s="6">
        <v>16</v>
      </c>
      <c r="B23" s="5" t="str">
        <f>IF($G23="","",IF($K23="","Falta criterio",IFERROR(IF(VLOOKUP($K23,'Historias y criterios'!$A$6:$P$83,3,FALSE)&lt;&gt;$G23,"Revisar relación requisito-criterio",IF($M23="","Falta caso de prueba",IF(VLOOKUP($M23,'Casos y evidencias'!$A$6:$O$83,2,FALSE)&lt;&gt;$K23,"Revisar relación criterio-caso",IF($O23="Aprobado",IF($P23="","Falta evidencia","Trazabilidad completa"),IF($O23="Fallido","Prueba fallida",IF($O23="Bloqueado","Prueba bloqueada","Prueba pendiente")))))),"ID no encontrado")))</f>
        <v>Prueba pendiente</v>
      </c>
      <c r="C23" s="7" t="str">
        <f>IF($G23="","",IFERROR(IF(VLOOKUP($G23,Requerimientos!$A$6:$M$43,2,FALSE)="","",VLOOKUP($G23,Requerimientos!$A$6:$M$43,2,FALSE)),"ID no encontrado"))</f>
        <v>OBJ-002</v>
      </c>
      <c r="D23" s="5" t="str">
        <f>IF($C23="","",IFERROR(IF(VLOOKUP($C23,'Objetivos y procesos'!$A$6:$H$35,2,FALSE)="","",VLOOKUP($C23,'Objetivos y procesos'!$A$6:$H$35,2,FALSE)),"ID no encontrado"))</f>
        <v>Reducir reprocesos y hacer visible la creación, activación o modificación de artículos desde su envío hasta la resolución.</v>
      </c>
      <c r="E23" s="7" t="str">
        <f>IF($G23="","",IFERROR(IF(VLOOKUP($G23,Requerimientos!$A$6:$M$43,3,FALSE)="","",VLOOKUP($G23,Requerimientos!$A$6:$M$43,3,FALSE)),"ID no encontrado"))</f>
        <v>PR-02</v>
      </c>
      <c r="F23" s="5" t="str">
        <f>IF($E23="","",IFERROR(IF(INDEX('Objetivos y procesos'!$D$6:$D$35,MATCH($E23,'Objetivos y procesos'!$C$6:$C$35,0))="","",IF(INDEX('Objetivos y procesos'!$D$6:$D$35,MATCH($E23,'Objetivos y procesos'!$C$6:$C$35,0))=INDEX('Objetivos y procesos'!$E$6:$E$35,MATCH($E23,'Objetivos y procesos'!$C$6:$C$35,0)),INDEX('Objetivos y procesos'!$D$6:$D$35,MATCH($E23,'Objetivos y procesos'!$C$6:$C$35,0)),INDEX('Objetivos y procesos'!$D$6:$D$35,MATCH($E23,'Objetivos y procesos'!$C$6:$C$35,0))&amp;IF(INDEX('Objetivos y procesos'!$E$6:$E$35,MATCH($E23,'Objetivos y procesos'!$C$6:$C$35,0))="",""," / "&amp;INDEX('Objetivos y procesos'!$E$6:$E$35,MATCH($E23,'Objetivos y procesos'!$C$6:$C$35,0))))),"ID no encontrado"))</f>
        <v>Solicitudes y autorizaciones</v>
      </c>
      <c r="G23" s="8" t="s">
        <v>63</v>
      </c>
      <c r="H23" s="5" t="str">
        <f>IF($G23="","",IFERROR(IF(VLOOKUP($G23,Requerimientos!$A$6:$M$43,7,FALSE)="","",VLOOKUP($G23,Requerimientos!$A$6:$M$43,7,FALSE)),"ID no encontrado"))</f>
        <v>El sistema debe permitir al usuario con permiso de enviar solicitudes de código crear una solicitud de creación, activación o modificación de códigos de producto y enviarla a revisión del grupo autorizador correspondiente.</v>
      </c>
      <c r="I23" s="7" t="str">
        <f>IF($K23="","",IFERROR(IF(VLOOKUP($K23,'Historias y criterios'!$A$6:$P$83,2,FALSE)="","",VLOOKUP($K23,'Historias y criterios'!$A$6:$P$83,2,FALSE)),"ID no encontrado"))</f>
        <v>HU-005</v>
      </c>
      <c r="J23" s="5" t="str">
        <f>IF($K23="","",IFERROR(IF(VLOOKUP($K23,'Historias y criterios'!$A$6:$P$83,10,FALSE)="","",VLOOKUP($K23,'Historias y criterios'!$A$6:$P$83,10,FALSE)),"ID no encontrado"))</f>
        <v>Como vendedor autorizado, quiero crear solicitudes de creación, activación o modificación de artículos con sus respaldos, para enviar información completa al grupo autorizador correspondiente</v>
      </c>
      <c r="K23" s="8" t="s">
        <v>66</v>
      </c>
      <c r="L23" s="5" t="str">
        <f>IF($K23="","",IFERROR(IF(VLOOKUP($K23,'Historias y criterios'!$A$6:$P$83,11,FALSE)="","",VLOOKUP($K23,'Historias y criterios'!$A$6:$P$83,11,FALSE)),"ID no encontrado"))</f>
        <v>Permite incluir uno o más productos según el tipo de solicitud.</v>
      </c>
      <c r="M23" s="8" t="s">
        <v>67</v>
      </c>
      <c r="N23" s="5" t="str">
        <f>IF($M23="","",IFERROR(IF(VLOOKUP($M23,'Casos y evidencias'!$A$6:$O$83,5,FALSE)="","",VLOOKUP($M23,'Casos y evidencias'!$A$6:$O$83,5,FALSE)),"ID no encontrado"))</f>
        <v>Solicitud con uno o más productos</v>
      </c>
      <c r="O23" s="5" t="str">
        <f>IF($M23="","",IFERROR(IF(VLOOKUP($M23,'Casos y evidencias'!$A$6:$O$83,10,FALSE)="","",VLOOKUP($M23,'Casos y evidencias'!$A$6:$O$83,10,FALSE)),"ID no encontrado"))</f>
        <v>No ejecutado</v>
      </c>
      <c r="P23" s="7" t="str">
        <f>IF($M23="","",IFERROR(IF(VLOOKUP($M23,'Casos y evidencias'!$A$6:$O$83,11,FALSE)="","",VLOOKUP($M23,'Casos y evidencias'!$A$6:$O$83,11,FALSE)),"ID no encontrado"))</f>
        <v/>
      </c>
      <c r="Q23" s="5" t="str">
        <f>IF($M23="","",IFERROR(IF(VLOOKUP($M23,'Casos y evidencias'!$A$6:$O$83,12,FALSE)="","",VLOOKUP($M23,'Casos y evidencias'!$A$6:$O$83,12,FALSE)),"ID no encontrado"))</f>
        <v/>
      </c>
      <c r="R23" s="4"/>
    </row>
    <row r="24" spans="1:18" ht="89.1" customHeight="1">
      <c r="A24" s="6">
        <v>17</v>
      </c>
      <c r="B24" s="5" t="str">
        <f>IF($G24="","",IF($K24="","Falta criterio",IFERROR(IF(VLOOKUP($K24,'Historias y criterios'!$A$6:$P$83,3,FALSE)&lt;&gt;$G24,"Revisar relación requisito-criterio",IF($M24="","Falta caso de prueba",IF(VLOOKUP($M24,'Casos y evidencias'!$A$6:$O$83,2,FALSE)&lt;&gt;$K24,"Revisar relación criterio-caso",IF($O24="Aprobado",IF($P24="","Falta evidencia","Trazabilidad completa"),IF($O24="Fallido","Prueba fallida",IF($O24="Bloqueado","Prueba bloqueada","Prueba pendiente")))))),"ID no encontrado")))</f>
        <v>Prueba pendiente</v>
      </c>
      <c r="C24" s="7" t="str">
        <f>IF($G24="","",IFERROR(IF(VLOOKUP($G24,Requerimientos!$A$6:$M$43,2,FALSE)="","",VLOOKUP($G24,Requerimientos!$A$6:$M$43,2,FALSE)),"ID no encontrado"))</f>
        <v>OBJ-002</v>
      </c>
      <c r="D24" s="5" t="str">
        <f>IF($C24="","",IFERROR(IF(VLOOKUP($C24,'Objetivos y procesos'!$A$6:$H$35,2,FALSE)="","",VLOOKUP($C24,'Objetivos y procesos'!$A$6:$H$35,2,FALSE)),"ID no encontrado"))</f>
        <v>Reducir reprocesos y hacer visible la creación, activación o modificación de artículos desde su envío hasta la resolución.</v>
      </c>
      <c r="E24" s="7" t="str">
        <f>IF($G24="","",IFERROR(IF(VLOOKUP($G24,Requerimientos!$A$6:$M$43,3,FALSE)="","",VLOOKUP($G24,Requerimientos!$A$6:$M$43,3,FALSE)),"ID no encontrado"))</f>
        <v>PR-02</v>
      </c>
      <c r="F24" s="5" t="str">
        <f>IF($E24="","",IFERROR(IF(INDEX('Objetivos y procesos'!$D$6:$D$35,MATCH($E24,'Objetivos y procesos'!$C$6:$C$35,0))="","",IF(INDEX('Objetivos y procesos'!$D$6:$D$35,MATCH($E24,'Objetivos y procesos'!$C$6:$C$35,0))=INDEX('Objetivos y procesos'!$E$6:$E$35,MATCH($E24,'Objetivos y procesos'!$C$6:$C$35,0)),INDEX('Objetivos y procesos'!$D$6:$D$35,MATCH($E24,'Objetivos y procesos'!$C$6:$C$35,0)),INDEX('Objetivos y procesos'!$D$6:$D$35,MATCH($E24,'Objetivos y procesos'!$C$6:$C$35,0))&amp;IF(INDEX('Objetivos y procesos'!$E$6:$E$35,MATCH($E24,'Objetivos y procesos'!$C$6:$C$35,0))="",""," / "&amp;INDEX('Objetivos y procesos'!$E$6:$E$35,MATCH($E24,'Objetivos y procesos'!$C$6:$C$35,0))))),"ID no encontrado"))</f>
        <v>Solicitudes y autorizaciones</v>
      </c>
      <c r="G24" s="8" t="s">
        <v>68</v>
      </c>
      <c r="H24" s="5" t="str">
        <f>IF($G24="","",IFERROR(IF(VLOOKUP($G24,Requerimientos!$A$6:$M$43,7,FALSE)="","",VLOOKUP($G24,Requerimientos!$A$6:$M$43,7,FALSE)),"ID no encontrado"))</f>
        <v>El sistema debe permitir adjuntar a la solicitud de código el respaldo de la cotización, como documentos o imágenes de WhatsApp, y, en las solicitudes de creación, un documento y una imagen por cada producto solicitado.</v>
      </c>
      <c r="I24" s="7" t="str">
        <f>IF($K24="","",IFERROR(IF(VLOOKUP($K24,'Historias y criterios'!$A$6:$P$83,2,FALSE)="","",VLOOKUP($K24,'Historias y criterios'!$A$6:$P$83,2,FALSE)),"ID no encontrado"))</f>
        <v>HU-005</v>
      </c>
      <c r="J24" s="5" t="str">
        <f>IF($K24="","",IFERROR(IF(VLOOKUP($K24,'Historias y criterios'!$A$6:$P$83,10,FALSE)="","",VLOOKUP($K24,'Historias y criterios'!$A$6:$P$83,10,FALSE)),"ID no encontrado"))</f>
        <v>Como vendedor autorizado, quiero crear solicitudes de creación, activación o modificación de artículos con sus respaldos, para enviar información completa al grupo autorizador correspondiente</v>
      </c>
      <c r="K24" s="8" t="s">
        <v>69</v>
      </c>
      <c r="L24" s="5" t="str">
        <f>IF($K24="","",IFERROR(IF(VLOOKUP($K24,'Historias y criterios'!$A$6:$P$83,11,FALSE)="","",VLOOKUP($K24,'Historias y criterios'!$A$6:$P$83,11,FALSE)),"ID no encontrado"))</f>
        <v>Exige el respaldo de cotización y, para creaciones, un documento y una imagen por producto en los formatos permitidos.</v>
      </c>
      <c r="M24" s="8" t="s">
        <v>70</v>
      </c>
      <c r="N24" s="5" t="str">
        <f>IF($M24="","",IFERROR(IF(VLOOKUP($M24,'Casos y evidencias'!$A$6:$O$83,5,FALSE)="","",VLOOKUP($M24,'Casos y evidencias'!$A$6:$O$83,5,FALSE)),"ID no encontrado"))</f>
        <v>Validación de respaldos y adjuntos</v>
      </c>
      <c r="O24" s="5" t="str">
        <f>IF($M24="","",IFERROR(IF(VLOOKUP($M24,'Casos y evidencias'!$A$6:$O$83,10,FALSE)="","",VLOOKUP($M24,'Casos y evidencias'!$A$6:$O$83,10,FALSE)),"ID no encontrado"))</f>
        <v>No ejecutado</v>
      </c>
      <c r="P24" s="7" t="str">
        <f>IF($M24="","",IFERROR(IF(VLOOKUP($M24,'Casos y evidencias'!$A$6:$O$83,11,FALSE)="","",VLOOKUP($M24,'Casos y evidencias'!$A$6:$O$83,11,FALSE)),"ID no encontrado"))</f>
        <v/>
      </c>
      <c r="Q24" s="5" t="str">
        <f>IF($M24="","",IFERROR(IF(VLOOKUP($M24,'Casos y evidencias'!$A$6:$O$83,12,FALSE)="","",VLOOKUP($M24,'Casos y evidencias'!$A$6:$O$83,12,FALSE)),"ID no encontrado"))</f>
        <v/>
      </c>
      <c r="R24" s="4"/>
    </row>
    <row r="25" spans="1:18" ht="89.1" customHeight="1">
      <c r="A25" s="6">
        <v>18</v>
      </c>
      <c r="B25" s="5" t="str">
        <f>IF($G25="","",IF($K25="","Falta criterio",IFERROR(IF(VLOOKUP($K25,'Historias y criterios'!$A$6:$P$83,3,FALSE)&lt;&gt;$G25,"Revisar relación requisito-criterio",IF($M25="","Falta caso de prueba",IF(VLOOKUP($M25,'Casos y evidencias'!$A$6:$O$83,2,FALSE)&lt;&gt;$K25,"Revisar relación criterio-caso",IF($O25="Aprobado",IF($P25="","Falta evidencia","Trazabilidad completa"),IF($O25="Fallido","Prueba fallida",IF($O25="Bloqueado","Prueba bloqueada","Prueba pendiente")))))),"ID no encontrado")))</f>
        <v>Prueba pendiente</v>
      </c>
      <c r="C25" s="7" t="str">
        <f>IF($G25="","",IFERROR(IF(VLOOKUP($G25,Requerimientos!$A$6:$M$43,2,FALSE)="","",VLOOKUP($G25,Requerimientos!$A$6:$M$43,2,FALSE)),"ID no encontrado"))</f>
        <v>OBJ-002</v>
      </c>
      <c r="D25" s="5" t="str">
        <f>IF($C25="","",IFERROR(IF(VLOOKUP($C25,'Objetivos y procesos'!$A$6:$H$35,2,FALSE)="","",VLOOKUP($C25,'Objetivos y procesos'!$A$6:$H$35,2,FALSE)),"ID no encontrado"))</f>
        <v>Reducir reprocesos y hacer visible la creación, activación o modificación de artículos desde su envío hasta la resolución.</v>
      </c>
      <c r="E25" s="7" t="str">
        <f>IF($G25="","",IFERROR(IF(VLOOKUP($G25,Requerimientos!$A$6:$M$43,3,FALSE)="","",VLOOKUP($G25,Requerimientos!$A$6:$M$43,3,FALSE)),"ID no encontrado"))</f>
        <v>PR-02</v>
      </c>
      <c r="F25" s="5" t="str">
        <f>IF($E25="","",IFERROR(IF(INDEX('Objetivos y procesos'!$D$6:$D$35,MATCH($E25,'Objetivos y procesos'!$C$6:$C$35,0))="","",IF(INDEX('Objetivos y procesos'!$D$6:$D$35,MATCH($E25,'Objetivos y procesos'!$C$6:$C$35,0))=INDEX('Objetivos y procesos'!$E$6:$E$35,MATCH($E25,'Objetivos y procesos'!$C$6:$C$35,0)),INDEX('Objetivos y procesos'!$D$6:$D$35,MATCH($E25,'Objetivos y procesos'!$C$6:$C$35,0)),INDEX('Objetivos y procesos'!$D$6:$D$35,MATCH($E25,'Objetivos y procesos'!$C$6:$C$35,0))&amp;IF(INDEX('Objetivos y procesos'!$E$6:$E$35,MATCH($E25,'Objetivos y procesos'!$C$6:$C$35,0))="",""," / "&amp;INDEX('Objetivos y procesos'!$E$6:$E$35,MATCH($E25,'Objetivos y procesos'!$C$6:$C$35,0))))),"ID no encontrado"))</f>
        <v>Solicitudes y autorizaciones</v>
      </c>
      <c r="G25" s="8" t="s">
        <v>63</v>
      </c>
      <c r="H25" s="5" t="str">
        <f>IF($G25="","",IFERROR(IF(VLOOKUP($G25,Requerimientos!$A$6:$M$43,7,FALSE)="","",VLOOKUP($G25,Requerimientos!$A$6:$M$43,7,FALSE)),"ID no encontrado"))</f>
        <v>El sistema debe permitir al usuario con permiso de enviar solicitudes de código crear una solicitud de creación, activación o modificación de códigos de producto y enviarla a revisión del grupo autorizador correspondiente.</v>
      </c>
      <c r="I25" s="7" t="str">
        <f>IF($K25="","",IFERROR(IF(VLOOKUP($K25,'Historias y criterios'!$A$6:$P$83,2,FALSE)="","",VLOOKUP($K25,'Historias y criterios'!$A$6:$P$83,2,FALSE)),"ID no encontrado"))</f>
        <v>HU-005</v>
      </c>
      <c r="J25" s="5" t="str">
        <f>IF($K25="","",IFERROR(IF(VLOOKUP($K25,'Historias y criterios'!$A$6:$P$83,10,FALSE)="","",VLOOKUP($K25,'Historias y criterios'!$A$6:$P$83,10,FALSE)),"ID no encontrado"))</f>
        <v>Como vendedor autorizado, quiero crear solicitudes de creación, activación o modificación de artículos con sus respaldos, para enviar información completa al grupo autorizador correspondiente</v>
      </c>
      <c r="K25" s="8" t="s">
        <v>71</v>
      </c>
      <c r="L25" s="5" t="str">
        <f>IF($K25="","",IFERROR(IF(VLOOKUP($K25,'Historias y criterios'!$A$6:$P$83,11,FALSE)="","",VLOOKUP($K25,'Historias y criterios'!$A$6:$P$83,11,FALSE)),"ID no encontrado"))</f>
        <v>Al enviarla, ingresa a la bandeja del grupo autorizador correcto.</v>
      </c>
      <c r="M25" s="8" t="s">
        <v>72</v>
      </c>
      <c r="N25" s="5" t="str">
        <f>IF($M25="","",IFERROR(IF(VLOOKUP($M25,'Casos y evidencias'!$A$6:$O$83,5,FALSE)="","",VLOOKUP($M25,'Casos y evidencias'!$A$6:$O$83,5,FALSE)),"ID no encontrado"))</f>
        <v>Derivación a la bandeja del grupo autorizador</v>
      </c>
      <c r="O25" s="5" t="str">
        <f>IF($M25="","",IFERROR(IF(VLOOKUP($M25,'Casos y evidencias'!$A$6:$O$83,10,FALSE)="","",VLOOKUP($M25,'Casos y evidencias'!$A$6:$O$83,10,FALSE)),"ID no encontrado"))</f>
        <v>No ejecutado</v>
      </c>
      <c r="P25" s="7" t="str">
        <f>IF($M25="","",IFERROR(IF(VLOOKUP($M25,'Casos y evidencias'!$A$6:$O$83,11,FALSE)="","",VLOOKUP($M25,'Casos y evidencias'!$A$6:$O$83,11,FALSE)),"ID no encontrado"))</f>
        <v/>
      </c>
      <c r="Q25" s="5" t="str">
        <f>IF($M25="","",IFERROR(IF(VLOOKUP($M25,'Casos y evidencias'!$A$6:$O$83,12,FALSE)="","",VLOOKUP($M25,'Casos y evidencias'!$A$6:$O$83,12,FALSE)),"ID no encontrado"))</f>
        <v/>
      </c>
      <c r="R25" s="4"/>
    </row>
    <row r="26" spans="1:18" ht="62.1" customHeight="1">
      <c r="A26" s="6">
        <v>19</v>
      </c>
      <c r="B26" s="5" t="str">
        <f>IF($G26="","",IF($K26="","Falta criterio",IFERROR(IF(VLOOKUP($K26,'Historias y criterios'!$A$6:$P$83,3,FALSE)&lt;&gt;$G26,"Revisar relación requisito-criterio",IF($M26="","Falta caso de prueba",IF(VLOOKUP($M26,'Casos y evidencias'!$A$6:$O$83,2,FALSE)&lt;&gt;$K26,"Revisar relación criterio-caso",IF($O26="Aprobado",IF($P26="","Falta evidencia","Trazabilidad completa"),IF($O26="Fallido","Prueba fallida",IF($O26="Bloqueado","Prueba bloqueada","Prueba pendiente")))))),"ID no encontrado")))</f>
        <v>Prueba pendiente</v>
      </c>
      <c r="C26" s="7" t="str">
        <f>IF($G26="","",IFERROR(IF(VLOOKUP($G26,Requerimientos!$A$6:$M$43,2,FALSE)="","",VLOOKUP($G26,Requerimientos!$A$6:$M$43,2,FALSE)),"ID no encontrado"))</f>
        <v>OBJ-002</v>
      </c>
      <c r="D26" s="5" t="str">
        <f>IF($C26="","",IFERROR(IF(VLOOKUP($C26,'Objetivos y procesos'!$A$6:$H$35,2,FALSE)="","",VLOOKUP($C26,'Objetivos y procesos'!$A$6:$H$35,2,FALSE)),"ID no encontrado"))</f>
        <v>Reducir reprocesos y hacer visible la creación, activación o modificación de artículos desde su envío hasta la resolución.</v>
      </c>
      <c r="E26" s="7" t="str">
        <f>IF($G26="","",IFERROR(IF(VLOOKUP($G26,Requerimientos!$A$6:$M$43,3,FALSE)="","",VLOOKUP($G26,Requerimientos!$A$6:$M$43,3,FALSE)),"ID no encontrado"))</f>
        <v>PR-02</v>
      </c>
      <c r="F26" s="5" t="str">
        <f>IF($E26="","",IFERROR(IF(INDEX('Objetivos y procesos'!$D$6:$D$35,MATCH($E26,'Objetivos y procesos'!$C$6:$C$35,0))="","",IF(INDEX('Objetivos y procesos'!$D$6:$D$35,MATCH($E26,'Objetivos y procesos'!$C$6:$C$35,0))=INDEX('Objetivos y procesos'!$E$6:$E$35,MATCH($E26,'Objetivos y procesos'!$C$6:$C$35,0)),INDEX('Objetivos y procesos'!$D$6:$D$35,MATCH($E26,'Objetivos y procesos'!$C$6:$C$35,0)),INDEX('Objetivos y procesos'!$D$6:$D$35,MATCH($E26,'Objetivos y procesos'!$C$6:$C$35,0))&amp;IF(INDEX('Objetivos y procesos'!$E$6:$E$35,MATCH($E26,'Objetivos y procesos'!$C$6:$C$35,0))="",""," / "&amp;INDEX('Objetivos y procesos'!$E$6:$E$35,MATCH($E26,'Objetivos y procesos'!$C$6:$C$35,0))))),"ID no encontrado"))</f>
        <v>Solicitudes y autorizaciones</v>
      </c>
      <c r="G26" s="8" t="s">
        <v>73</v>
      </c>
      <c r="H26" s="5" t="str">
        <f>IF($G26="","",IFERROR(IF(VLOOKUP($G26,Requerimientos!$A$6:$M$43,7,FALSE)="","",VLOOKUP($G26,Requerimientos!$A$6:$M$43,7,FALSE)),"ID no encontrado"))</f>
        <v>El sistema debe permitir al autorizador aprobar o rechazar una solicitud, registrando el motivo cuando la rechaza.</v>
      </c>
      <c r="I26" s="7" t="str">
        <f>IF($K26="","",IFERROR(IF(VLOOKUP($K26,'Historias y criterios'!$A$6:$P$83,2,FALSE)="","",VLOOKUP($K26,'Historias y criterios'!$A$6:$P$83,2,FALSE)),"ID no encontrado"))</f>
        <v>HU-006</v>
      </c>
      <c r="J26" s="5" t="str">
        <f>IF($K26="","",IFERROR(IF(VLOOKUP($K26,'Historias y criterios'!$A$6:$P$83,10,FALSE)="","",VLOOKUP($K26,'Historias y criterios'!$A$6:$P$83,10,FALSE)),"ID no encontrado"))</f>
        <v>Como autorizador, quiero tomar una solicitud de la bandeja y aprobarla o rechazarla, para resolverla con un responsable y una decisión trazable</v>
      </c>
      <c r="K26" s="8" t="s">
        <v>74</v>
      </c>
      <c r="L26" s="5" t="str">
        <f>IF($K26="","",IFERROR(IF(VLOOKUP($K26,'Historias y criterios'!$A$6:$P$83,11,FALSE)="","",VLOOKUP($K26,'Historias y criterios'!$A$6:$P$83,11,FALSE)),"ID no encontrado"))</f>
        <v>Solo el grupo autorizador del tipo de solicitud puede verla y resolverla.</v>
      </c>
      <c r="M26" s="8" t="s">
        <v>75</v>
      </c>
      <c r="N26" s="5" t="str">
        <f>IF($M26="","",IFERROR(IF(VLOOKUP($M26,'Casos y evidencias'!$A$6:$O$83,5,FALSE)="","",VLOOKUP($M26,'Casos y evidencias'!$A$6:$O$83,5,FALSE)),"ID no encontrado"))</f>
        <v>Acceso restringido a la bandeja del grupo</v>
      </c>
      <c r="O26" s="5" t="str">
        <f>IF($M26="","",IFERROR(IF(VLOOKUP($M26,'Casos y evidencias'!$A$6:$O$83,10,FALSE)="","",VLOOKUP($M26,'Casos y evidencias'!$A$6:$O$83,10,FALSE)),"ID no encontrado"))</f>
        <v>No ejecutado</v>
      </c>
      <c r="P26" s="7" t="str">
        <f>IF($M26="","",IFERROR(IF(VLOOKUP($M26,'Casos y evidencias'!$A$6:$O$83,11,FALSE)="","",VLOOKUP($M26,'Casos y evidencias'!$A$6:$O$83,11,FALSE)),"ID no encontrado"))</f>
        <v/>
      </c>
      <c r="Q26" s="5" t="str">
        <f>IF($M26="","",IFERROR(IF(VLOOKUP($M26,'Casos y evidencias'!$A$6:$O$83,12,FALSE)="","",VLOOKUP($M26,'Casos y evidencias'!$A$6:$O$83,12,FALSE)),"ID no encontrado"))</f>
        <v/>
      </c>
      <c r="R26" s="4"/>
    </row>
    <row r="27" spans="1:18" ht="62.1" customHeight="1">
      <c r="A27" s="6">
        <v>20</v>
      </c>
      <c r="B27" s="5" t="str">
        <f>IF($G27="","",IF($K27="","Falta criterio",IFERROR(IF(VLOOKUP($K27,'Historias y criterios'!$A$6:$P$83,3,FALSE)&lt;&gt;$G27,"Revisar relación requisito-criterio",IF($M27="","Falta caso de prueba",IF(VLOOKUP($M27,'Casos y evidencias'!$A$6:$O$83,2,FALSE)&lt;&gt;$K27,"Revisar relación criterio-caso",IF($O27="Aprobado",IF($P27="","Falta evidencia","Trazabilidad completa"),IF($O27="Fallido","Prueba fallida",IF($O27="Bloqueado","Prueba bloqueada","Prueba pendiente")))))),"ID no encontrado")))</f>
        <v>Prueba pendiente</v>
      </c>
      <c r="C27" s="7" t="str">
        <f>IF($G27="","",IFERROR(IF(VLOOKUP($G27,Requerimientos!$A$6:$M$43,2,FALSE)="","",VLOOKUP($G27,Requerimientos!$A$6:$M$43,2,FALSE)),"ID no encontrado"))</f>
        <v>OBJ-002</v>
      </c>
      <c r="D27" s="5" t="str">
        <f>IF($C27="","",IFERROR(IF(VLOOKUP($C27,'Objetivos y procesos'!$A$6:$H$35,2,FALSE)="","",VLOOKUP($C27,'Objetivos y procesos'!$A$6:$H$35,2,FALSE)),"ID no encontrado"))</f>
        <v>Reducir reprocesos y hacer visible la creación, activación o modificación de artículos desde su envío hasta la resolución.</v>
      </c>
      <c r="E27" s="7" t="str">
        <f>IF($G27="","",IFERROR(IF(VLOOKUP($G27,Requerimientos!$A$6:$M$43,3,FALSE)="","",VLOOKUP($G27,Requerimientos!$A$6:$M$43,3,FALSE)),"ID no encontrado"))</f>
        <v>PR-02</v>
      </c>
      <c r="F27" s="5" t="str">
        <f>IF($E27="","",IFERROR(IF(INDEX('Objetivos y procesos'!$D$6:$D$35,MATCH($E27,'Objetivos y procesos'!$C$6:$C$35,0))="","",IF(INDEX('Objetivos y procesos'!$D$6:$D$35,MATCH($E27,'Objetivos y procesos'!$C$6:$C$35,0))=INDEX('Objetivos y procesos'!$E$6:$E$35,MATCH($E27,'Objetivos y procesos'!$C$6:$C$35,0)),INDEX('Objetivos y procesos'!$D$6:$D$35,MATCH($E27,'Objetivos y procesos'!$C$6:$C$35,0)),INDEX('Objetivos y procesos'!$D$6:$D$35,MATCH($E27,'Objetivos y procesos'!$C$6:$C$35,0))&amp;IF(INDEX('Objetivos y procesos'!$E$6:$E$35,MATCH($E27,'Objetivos y procesos'!$C$6:$C$35,0))="",""," / "&amp;INDEX('Objetivos y procesos'!$E$6:$E$35,MATCH($E27,'Objetivos y procesos'!$C$6:$C$35,0))))),"ID no encontrado"))</f>
        <v>Solicitudes y autorizaciones</v>
      </c>
      <c r="G27" s="8" t="s">
        <v>73</v>
      </c>
      <c r="H27" s="5" t="str">
        <f>IF($G27="","",IFERROR(IF(VLOOKUP($G27,Requerimientos!$A$6:$M$43,7,FALSE)="","",VLOOKUP($G27,Requerimientos!$A$6:$M$43,7,FALSE)),"ID no encontrado"))</f>
        <v>El sistema debe permitir al autorizador aprobar o rechazar una solicitud, registrando el motivo cuando la rechaza.</v>
      </c>
      <c r="I27" s="7" t="str">
        <f>IF($K27="","",IFERROR(IF(VLOOKUP($K27,'Historias y criterios'!$A$6:$P$83,2,FALSE)="","",VLOOKUP($K27,'Historias y criterios'!$A$6:$P$83,2,FALSE)),"ID no encontrado"))</f>
        <v>HU-006</v>
      </c>
      <c r="J27" s="5" t="str">
        <f>IF($K27="","",IFERROR(IF(VLOOKUP($K27,'Historias y criterios'!$A$6:$P$83,10,FALSE)="","",VLOOKUP($K27,'Historias y criterios'!$A$6:$P$83,10,FALSE)),"ID no encontrado"))</f>
        <v>Como autorizador, quiero tomar una solicitud de la bandeja y aprobarla o rechazarla, para resolverla con un responsable y una decisión trazable</v>
      </c>
      <c r="K27" s="8" t="s">
        <v>76</v>
      </c>
      <c r="L27" s="5" t="str">
        <f>IF($K27="","",IFERROR(IF(VLOOKUP($K27,'Historias y criterios'!$A$6:$P$83,11,FALSE)="","",VLOOKUP($K27,'Historias y criterios'!$A$6:$P$83,11,FALSE)),"ID no encontrado"))</f>
        <v>Quien toma la solicitud queda registrado como responsable.</v>
      </c>
      <c r="M27" s="8" t="s">
        <v>77</v>
      </c>
      <c r="N27" s="5" t="str">
        <f>IF($M27="","",IFERROR(IF(VLOOKUP($M27,'Casos y evidencias'!$A$6:$O$83,5,FALSE)="","",VLOOKUP($M27,'Casos y evidencias'!$A$6:$O$83,5,FALSE)),"ID no encontrado"))</f>
        <v>Registro del responsable al tomar la solicitud</v>
      </c>
      <c r="O27" s="5" t="str">
        <f>IF($M27="","",IFERROR(IF(VLOOKUP($M27,'Casos y evidencias'!$A$6:$O$83,10,FALSE)="","",VLOOKUP($M27,'Casos y evidencias'!$A$6:$O$83,10,FALSE)),"ID no encontrado"))</f>
        <v>No ejecutado</v>
      </c>
      <c r="P27" s="7" t="str">
        <f>IF($M27="","",IFERROR(IF(VLOOKUP($M27,'Casos y evidencias'!$A$6:$O$83,11,FALSE)="","",VLOOKUP($M27,'Casos y evidencias'!$A$6:$O$83,11,FALSE)),"ID no encontrado"))</f>
        <v/>
      </c>
      <c r="Q27" s="5" t="str">
        <f>IF($M27="","",IFERROR(IF(VLOOKUP($M27,'Casos y evidencias'!$A$6:$O$83,12,FALSE)="","",VLOOKUP($M27,'Casos y evidencias'!$A$6:$O$83,12,FALSE)),"ID no encontrado"))</f>
        <v/>
      </c>
      <c r="R27" s="4"/>
    </row>
    <row r="28" spans="1:18" ht="62.1" customHeight="1">
      <c r="A28" s="6">
        <v>21</v>
      </c>
      <c r="B28" s="5" t="str">
        <f>IF($G28="","",IF($K28="","Falta criterio",IFERROR(IF(VLOOKUP($K28,'Historias y criterios'!$A$6:$P$83,3,FALSE)&lt;&gt;$G28,"Revisar relación requisito-criterio",IF($M28="","Falta caso de prueba",IF(VLOOKUP($M28,'Casos y evidencias'!$A$6:$O$83,2,FALSE)&lt;&gt;$K28,"Revisar relación criterio-caso",IF($O28="Aprobado",IF($P28="","Falta evidencia","Trazabilidad completa"),IF($O28="Fallido","Prueba fallida",IF($O28="Bloqueado","Prueba bloqueada","Prueba pendiente")))))),"ID no encontrado")))</f>
        <v>Prueba pendiente</v>
      </c>
      <c r="C28" s="7" t="str">
        <f>IF($G28="","",IFERROR(IF(VLOOKUP($G28,Requerimientos!$A$6:$M$43,2,FALSE)="","",VLOOKUP($G28,Requerimientos!$A$6:$M$43,2,FALSE)),"ID no encontrado"))</f>
        <v>OBJ-002</v>
      </c>
      <c r="D28" s="5" t="str">
        <f>IF($C28="","",IFERROR(IF(VLOOKUP($C28,'Objetivos y procesos'!$A$6:$H$35,2,FALSE)="","",VLOOKUP($C28,'Objetivos y procesos'!$A$6:$H$35,2,FALSE)),"ID no encontrado"))</f>
        <v>Reducir reprocesos y hacer visible la creación, activación o modificación de artículos desde su envío hasta la resolución.</v>
      </c>
      <c r="E28" s="7" t="str">
        <f>IF($G28="","",IFERROR(IF(VLOOKUP($G28,Requerimientos!$A$6:$M$43,3,FALSE)="","",VLOOKUP($G28,Requerimientos!$A$6:$M$43,3,FALSE)),"ID no encontrado"))</f>
        <v>PR-02</v>
      </c>
      <c r="F28" s="5" t="str">
        <f>IF($E28="","",IFERROR(IF(INDEX('Objetivos y procesos'!$D$6:$D$35,MATCH($E28,'Objetivos y procesos'!$C$6:$C$35,0))="","",IF(INDEX('Objetivos y procesos'!$D$6:$D$35,MATCH($E28,'Objetivos y procesos'!$C$6:$C$35,0))=INDEX('Objetivos y procesos'!$E$6:$E$35,MATCH($E28,'Objetivos y procesos'!$C$6:$C$35,0)),INDEX('Objetivos y procesos'!$D$6:$D$35,MATCH($E28,'Objetivos y procesos'!$C$6:$C$35,0)),INDEX('Objetivos y procesos'!$D$6:$D$35,MATCH($E28,'Objetivos y procesos'!$C$6:$C$35,0))&amp;IF(INDEX('Objetivos y procesos'!$E$6:$E$35,MATCH($E28,'Objetivos y procesos'!$C$6:$C$35,0))="",""," / "&amp;INDEX('Objetivos y procesos'!$E$6:$E$35,MATCH($E28,'Objetivos y procesos'!$C$6:$C$35,0))))),"ID no encontrado"))</f>
        <v>Solicitudes y autorizaciones</v>
      </c>
      <c r="G28" s="8" t="s">
        <v>73</v>
      </c>
      <c r="H28" s="5" t="str">
        <f>IF($G28="","",IFERROR(IF(VLOOKUP($G28,Requerimientos!$A$6:$M$43,7,FALSE)="","",VLOOKUP($G28,Requerimientos!$A$6:$M$43,7,FALSE)),"ID no encontrado"))</f>
        <v>El sistema debe permitir al autorizador aprobar o rechazar una solicitud, registrando el motivo cuando la rechaza.</v>
      </c>
      <c r="I28" s="7" t="str">
        <f>IF($K28="","",IFERROR(IF(VLOOKUP($K28,'Historias y criterios'!$A$6:$P$83,2,FALSE)="","",VLOOKUP($K28,'Historias y criterios'!$A$6:$P$83,2,FALSE)),"ID no encontrado"))</f>
        <v>HU-006</v>
      </c>
      <c r="J28" s="5" t="str">
        <f>IF($K28="","",IFERROR(IF(VLOOKUP($K28,'Historias y criterios'!$A$6:$P$83,10,FALSE)="","",VLOOKUP($K28,'Historias y criterios'!$A$6:$P$83,10,FALSE)),"ID no encontrado"))</f>
        <v>Como autorizador, quiero tomar una solicitud de la bandeja y aprobarla o rechazarla, para resolverla con un responsable y una decisión trazable</v>
      </c>
      <c r="K28" s="8" t="s">
        <v>78</v>
      </c>
      <c r="L28" s="5" t="str">
        <f>IF($K28="","",IFERROR(IF(VLOOKUP($K28,'Historias y criterios'!$A$6:$P$83,11,FALSE)="","",VLOOKUP($K28,'Historias y criterios'!$A$6:$P$83,11,FALSE)),"ID no encontrado"))</f>
        <v>El rechazo exige un motivo visible para el solicitante.</v>
      </c>
      <c r="M28" s="8" t="s">
        <v>79</v>
      </c>
      <c r="N28" s="5" t="str">
        <f>IF($M28="","",IFERROR(IF(VLOOKUP($M28,'Casos y evidencias'!$A$6:$O$83,5,FALSE)="","",VLOOKUP($M28,'Casos y evidencias'!$A$6:$O$83,5,FALSE)),"ID no encontrado"))</f>
        <v>Rechazo con motivo obligatorio</v>
      </c>
      <c r="O28" s="5" t="str">
        <f>IF($M28="","",IFERROR(IF(VLOOKUP($M28,'Casos y evidencias'!$A$6:$O$83,10,FALSE)="","",VLOOKUP($M28,'Casos y evidencias'!$A$6:$O$83,10,FALSE)),"ID no encontrado"))</f>
        <v>No ejecutado</v>
      </c>
      <c r="P28" s="7" t="str">
        <f>IF($M28="","",IFERROR(IF(VLOOKUP($M28,'Casos y evidencias'!$A$6:$O$83,11,FALSE)="","",VLOOKUP($M28,'Casos y evidencias'!$A$6:$O$83,11,FALSE)),"ID no encontrado"))</f>
        <v/>
      </c>
      <c r="Q28" s="5" t="str">
        <f>IF($M28="","",IFERROR(IF(VLOOKUP($M28,'Casos y evidencias'!$A$6:$O$83,12,FALSE)="","",VLOOKUP($M28,'Casos y evidencias'!$A$6:$O$83,12,FALSE)),"ID no encontrado"))</f>
        <v/>
      </c>
      <c r="R28" s="4"/>
    </row>
    <row r="29" spans="1:18" ht="62.1" customHeight="1">
      <c r="A29" s="6">
        <v>22</v>
      </c>
      <c r="B29" s="5" t="str">
        <f>IF($G29="","",IF($K29="","Falta criterio",IFERROR(IF(VLOOKUP($K29,'Historias y criterios'!$A$6:$P$83,3,FALSE)&lt;&gt;$G29,"Revisar relación requisito-criterio",IF($M29="","Falta caso de prueba",IF(VLOOKUP($M29,'Casos y evidencias'!$A$6:$O$83,2,FALSE)&lt;&gt;$K29,"Revisar relación criterio-caso",IF($O29="Aprobado",IF($P29="","Falta evidencia","Trazabilidad completa"),IF($O29="Fallido","Prueba fallida",IF($O29="Bloqueado","Prueba bloqueada","Prueba pendiente")))))),"ID no encontrado")))</f>
        <v>Prueba pendiente</v>
      </c>
      <c r="C29" s="7" t="str">
        <f>IF($G29="","",IFERROR(IF(VLOOKUP($G29,Requerimientos!$A$6:$M$43,2,FALSE)="","",VLOOKUP($G29,Requerimientos!$A$6:$M$43,2,FALSE)),"ID no encontrado"))</f>
        <v>OBJ-002</v>
      </c>
      <c r="D29" s="5" t="str">
        <f>IF($C29="","",IFERROR(IF(VLOOKUP($C29,'Objetivos y procesos'!$A$6:$H$35,2,FALSE)="","",VLOOKUP($C29,'Objetivos y procesos'!$A$6:$H$35,2,FALSE)),"ID no encontrado"))</f>
        <v>Reducir reprocesos y hacer visible la creación, activación o modificación de artículos desde su envío hasta la resolución.</v>
      </c>
      <c r="E29" s="7" t="str">
        <f>IF($G29="","",IFERROR(IF(VLOOKUP($G29,Requerimientos!$A$6:$M$43,3,FALSE)="","",VLOOKUP($G29,Requerimientos!$A$6:$M$43,3,FALSE)),"ID no encontrado"))</f>
        <v>PR-02</v>
      </c>
      <c r="F29" s="5" t="str">
        <f>IF($E29="","",IFERROR(IF(INDEX('Objetivos y procesos'!$D$6:$D$35,MATCH($E29,'Objetivos y procesos'!$C$6:$C$35,0))="","",IF(INDEX('Objetivos y procesos'!$D$6:$D$35,MATCH($E29,'Objetivos y procesos'!$C$6:$C$35,0))=INDEX('Objetivos y procesos'!$E$6:$E$35,MATCH($E29,'Objetivos y procesos'!$C$6:$C$35,0)),INDEX('Objetivos y procesos'!$D$6:$D$35,MATCH($E29,'Objetivos y procesos'!$C$6:$C$35,0)),INDEX('Objetivos y procesos'!$D$6:$D$35,MATCH($E29,'Objetivos y procesos'!$C$6:$C$35,0))&amp;IF(INDEX('Objetivos y procesos'!$E$6:$E$35,MATCH($E29,'Objetivos y procesos'!$C$6:$C$35,0))="",""," / "&amp;INDEX('Objetivos y procesos'!$E$6:$E$35,MATCH($E29,'Objetivos y procesos'!$C$6:$C$35,0))))),"ID no encontrado"))</f>
        <v>Solicitudes y autorizaciones</v>
      </c>
      <c r="G29" s="8" t="s">
        <v>73</v>
      </c>
      <c r="H29" s="5" t="str">
        <f>IF($G29="","",IFERROR(IF(VLOOKUP($G29,Requerimientos!$A$6:$M$43,7,FALSE)="","",VLOOKUP($G29,Requerimientos!$A$6:$M$43,7,FALSE)),"ID no encontrado"))</f>
        <v>El sistema debe permitir al autorizador aprobar o rechazar una solicitud, registrando el motivo cuando la rechaza.</v>
      </c>
      <c r="I29" s="7" t="str">
        <f>IF($K29="","",IFERROR(IF(VLOOKUP($K29,'Historias y criterios'!$A$6:$P$83,2,FALSE)="","",VLOOKUP($K29,'Historias y criterios'!$A$6:$P$83,2,FALSE)),"ID no encontrado"))</f>
        <v>HU-006</v>
      </c>
      <c r="J29" s="5" t="str">
        <f>IF($K29="","",IFERROR(IF(VLOOKUP($K29,'Historias y criterios'!$A$6:$P$83,10,FALSE)="","",VLOOKUP($K29,'Historias y criterios'!$A$6:$P$83,10,FALSE)),"ID no encontrado"))</f>
        <v>Como autorizador, quiero tomar una solicitud de la bandeja y aprobarla o rechazarla, para resolverla con un responsable y una decisión trazable</v>
      </c>
      <c r="K29" s="8" t="s">
        <v>80</v>
      </c>
      <c r="L29" s="5" t="str">
        <f>IF($K29="","",IFERROR(IF(VLOOKUP($K29,'Historias y criterios'!$A$6:$P$83,11,FALSE)="","",VLOOKUP($K29,'Historias y criterios'!$A$6:$P$83,11,FALSE)),"ID no encontrado"))</f>
        <v>La solicitud aprobada no admite edición y conserva usuario, fecha, hora y comentario de la resolución.</v>
      </c>
      <c r="M29" s="8" t="s">
        <v>81</v>
      </c>
      <c r="N29" s="5" t="str">
        <f>IF($M29="","",IFERROR(IF(VLOOKUP($M29,'Casos y evidencias'!$A$6:$O$83,5,FALSE)="","",VLOOKUP($M29,'Casos y evidencias'!$A$6:$O$83,5,FALSE)),"ID no encontrado"))</f>
        <v>Aprobación y bloqueo de edición</v>
      </c>
      <c r="O29" s="5" t="str">
        <f>IF($M29="","",IFERROR(IF(VLOOKUP($M29,'Casos y evidencias'!$A$6:$O$83,10,FALSE)="","",VLOOKUP($M29,'Casos y evidencias'!$A$6:$O$83,10,FALSE)),"ID no encontrado"))</f>
        <v>No ejecutado</v>
      </c>
      <c r="P29" s="7" t="str">
        <f>IF($M29="","",IFERROR(IF(VLOOKUP($M29,'Casos y evidencias'!$A$6:$O$83,11,FALSE)="","",VLOOKUP($M29,'Casos y evidencias'!$A$6:$O$83,11,FALSE)),"ID no encontrado"))</f>
        <v/>
      </c>
      <c r="Q29" s="5" t="str">
        <f>IF($M29="","",IFERROR(IF(VLOOKUP($M29,'Casos y evidencias'!$A$6:$O$83,12,FALSE)="","",VLOOKUP($M29,'Casos y evidencias'!$A$6:$O$83,12,FALSE)),"ID no encontrado"))</f>
        <v/>
      </c>
      <c r="R29" s="4"/>
    </row>
    <row r="30" spans="1:18" ht="75.599999999999994" customHeight="1">
      <c r="A30" s="6">
        <v>23</v>
      </c>
      <c r="B30" s="5" t="str">
        <f>IF($G30="","",IF($K30="","Falta criterio",IFERROR(IF(VLOOKUP($K30,'Historias y criterios'!$A$6:$P$83,3,FALSE)&lt;&gt;$G30,"Revisar relación requisito-criterio",IF($M30="","Falta caso de prueba",IF(VLOOKUP($M30,'Casos y evidencias'!$A$6:$O$83,2,FALSE)&lt;&gt;$K30,"Revisar relación criterio-caso",IF($O30="Aprobado",IF($P30="","Falta evidencia","Trazabilidad completa"),IF($O30="Fallido","Prueba fallida",IF($O30="Bloqueado","Prueba bloqueada","Prueba pendiente")))))),"ID no encontrado")))</f>
        <v>Prueba pendiente</v>
      </c>
      <c r="C30" s="7" t="str">
        <f>IF($G30="","",IFERROR(IF(VLOOKUP($G30,Requerimientos!$A$6:$M$43,2,FALSE)="","",VLOOKUP($G30,Requerimientos!$A$6:$M$43,2,FALSE)),"ID no encontrado"))</f>
        <v>OBJ-002</v>
      </c>
      <c r="D30" s="5" t="str">
        <f>IF($C30="","",IFERROR(IF(VLOOKUP($C30,'Objetivos y procesos'!$A$6:$H$35,2,FALSE)="","",VLOOKUP($C30,'Objetivos y procesos'!$A$6:$H$35,2,FALSE)),"ID no encontrado"))</f>
        <v>Reducir reprocesos y hacer visible la creación, activación o modificación de artículos desde su envío hasta la resolución.</v>
      </c>
      <c r="E30" s="7" t="str">
        <f>IF($G30="","",IFERROR(IF(VLOOKUP($G30,Requerimientos!$A$6:$M$43,3,FALSE)="","",VLOOKUP($G30,Requerimientos!$A$6:$M$43,3,FALSE)),"ID no encontrado"))</f>
        <v>PR-02</v>
      </c>
      <c r="F30" s="5" t="str">
        <f>IF($E30="","",IFERROR(IF(INDEX('Objetivos y procesos'!$D$6:$D$35,MATCH($E30,'Objetivos y procesos'!$C$6:$C$35,0))="","",IF(INDEX('Objetivos y procesos'!$D$6:$D$35,MATCH($E30,'Objetivos y procesos'!$C$6:$C$35,0))=INDEX('Objetivos y procesos'!$E$6:$E$35,MATCH($E30,'Objetivos y procesos'!$C$6:$C$35,0)),INDEX('Objetivos y procesos'!$D$6:$D$35,MATCH($E30,'Objetivos y procesos'!$C$6:$C$35,0)),INDEX('Objetivos y procesos'!$D$6:$D$35,MATCH($E30,'Objetivos y procesos'!$C$6:$C$35,0))&amp;IF(INDEX('Objetivos y procesos'!$E$6:$E$35,MATCH($E30,'Objetivos y procesos'!$C$6:$C$35,0))="",""," / "&amp;INDEX('Objetivos y procesos'!$E$6:$E$35,MATCH($E30,'Objetivos y procesos'!$C$6:$C$35,0))))),"ID no encontrado"))</f>
        <v>Solicitudes y autorizaciones</v>
      </c>
      <c r="G30" s="8" t="s">
        <v>82</v>
      </c>
      <c r="H30" s="5" t="str">
        <f>IF($G30="","",IFERROR(IF(VLOOKUP($G30,Requerimientos!$A$6:$M$43,7,FALSE)="","",VLOOKUP($G30,Requerimientos!$A$6:$M$43,7,FALSE)),"ID no encontrado"))</f>
        <v>El sistema debe permitir al vendedor corregir y reenviar una solicitud rechazada por el autorizador.</v>
      </c>
      <c r="I30" s="7" t="str">
        <f>IF($K30="","",IFERROR(IF(VLOOKUP($K30,'Historias y criterios'!$A$6:$P$83,2,FALSE)="","",VLOOKUP($K30,'Historias y criterios'!$A$6:$P$83,2,FALSE)),"ID no encontrado"))</f>
        <v>HU-007</v>
      </c>
      <c r="J30" s="5" t="str">
        <f>IF($K30="","",IFERROR(IF(VLOOKUP($K30,'Historias y criterios'!$A$6:$P$83,10,FALSE)="","",VLOOKUP($K30,'Historias y criterios'!$A$6:$P$83,10,FALSE)),"ID no encontrado"))</f>
        <v>Como vendedor solicitante, quiero corregir y reenviar solicitudes rechazadas, además de consultar y filtrar su seguimiento, para resolver observaciones y conocer el estado de cada gestión</v>
      </c>
      <c r="K30" s="8" t="s">
        <v>83</v>
      </c>
      <c r="L30" s="5" t="str">
        <f>IF($K30="","",IFERROR(IF(VLOOKUP($K30,'Historias y criterios'!$A$6:$P$83,11,FALSE)="","",VLOOKUP($K30,'Historias y criterios'!$A$6:$P$83,11,FALSE)),"ID no encontrado"))</f>
        <v>Solo el creador puede corregir y reenviar una solicitud rechazada.</v>
      </c>
      <c r="M30" s="8" t="s">
        <v>84</v>
      </c>
      <c r="N30" s="5" t="str">
        <f>IF($M30="","",IFERROR(IF(VLOOKUP($M30,'Casos y evidencias'!$A$6:$O$83,5,FALSE)="","",VLOOKUP($M30,'Casos y evidencias'!$A$6:$O$83,5,FALSE)),"ID no encontrado"))</f>
        <v>Corrección exclusiva del creador</v>
      </c>
      <c r="O30" s="5" t="str">
        <f>IF($M30="","",IFERROR(IF(VLOOKUP($M30,'Casos y evidencias'!$A$6:$O$83,10,FALSE)="","",VLOOKUP($M30,'Casos y evidencias'!$A$6:$O$83,10,FALSE)),"ID no encontrado"))</f>
        <v>No ejecutado</v>
      </c>
      <c r="P30" s="7" t="str">
        <f>IF($M30="","",IFERROR(IF(VLOOKUP($M30,'Casos y evidencias'!$A$6:$O$83,11,FALSE)="","",VLOOKUP($M30,'Casos y evidencias'!$A$6:$O$83,11,FALSE)),"ID no encontrado"))</f>
        <v/>
      </c>
      <c r="Q30" s="5" t="str">
        <f>IF($M30="","",IFERROR(IF(VLOOKUP($M30,'Casos y evidencias'!$A$6:$O$83,12,FALSE)="","",VLOOKUP($M30,'Casos y evidencias'!$A$6:$O$83,12,FALSE)),"ID no encontrado"))</f>
        <v/>
      </c>
      <c r="R30" s="4"/>
    </row>
    <row r="31" spans="1:18" ht="75.599999999999994" customHeight="1">
      <c r="A31" s="6">
        <v>24</v>
      </c>
      <c r="B31" s="5" t="str">
        <f>IF($G31="","",IF($K31="","Falta criterio",IFERROR(IF(VLOOKUP($K31,'Historias y criterios'!$A$6:$P$83,3,FALSE)&lt;&gt;$G31,"Revisar relación requisito-criterio",IF($M31="","Falta caso de prueba",IF(VLOOKUP($M31,'Casos y evidencias'!$A$6:$O$83,2,FALSE)&lt;&gt;$K31,"Revisar relación criterio-caso",IF($O31="Aprobado",IF($P31="","Falta evidencia","Trazabilidad completa"),IF($O31="Fallido","Prueba fallida",IF($O31="Bloqueado","Prueba bloqueada","Prueba pendiente")))))),"ID no encontrado")))</f>
        <v>Prueba pendiente</v>
      </c>
      <c r="C31" s="7" t="str">
        <f>IF($G31="","",IFERROR(IF(VLOOKUP($G31,Requerimientos!$A$6:$M$43,2,FALSE)="","",VLOOKUP($G31,Requerimientos!$A$6:$M$43,2,FALSE)),"ID no encontrado"))</f>
        <v>OBJ-002</v>
      </c>
      <c r="D31" s="5" t="str">
        <f>IF($C31="","",IFERROR(IF(VLOOKUP($C31,'Objetivos y procesos'!$A$6:$H$35,2,FALSE)="","",VLOOKUP($C31,'Objetivos y procesos'!$A$6:$H$35,2,FALSE)),"ID no encontrado"))</f>
        <v>Reducir reprocesos y hacer visible la creación, activación o modificación de artículos desde su envío hasta la resolución.</v>
      </c>
      <c r="E31" s="7" t="str">
        <f>IF($G31="","",IFERROR(IF(VLOOKUP($G31,Requerimientos!$A$6:$M$43,3,FALSE)="","",VLOOKUP($G31,Requerimientos!$A$6:$M$43,3,FALSE)),"ID no encontrado"))</f>
        <v>PR-02</v>
      </c>
      <c r="F31" s="5" t="str">
        <f>IF($E31="","",IFERROR(IF(INDEX('Objetivos y procesos'!$D$6:$D$35,MATCH($E31,'Objetivos y procesos'!$C$6:$C$35,0))="","",IF(INDEX('Objetivos y procesos'!$D$6:$D$35,MATCH($E31,'Objetivos y procesos'!$C$6:$C$35,0))=INDEX('Objetivos y procesos'!$E$6:$E$35,MATCH($E31,'Objetivos y procesos'!$C$6:$C$35,0)),INDEX('Objetivos y procesos'!$D$6:$D$35,MATCH($E31,'Objetivos y procesos'!$C$6:$C$35,0)),INDEX('Objetivos y procesos'!$D$6:$D$35,MATCH($E31,'Objetivos y procesos'!$C$6:$C$35,0))&amp;IF(INDEX('Objetivos y procesos'!$E$6:$E$35,MATCH($E31,'Objetivos y procesos'!$C$6:$C$35,0))="",""," / "&amp;INDEX('Objetivos y procesos'!$E$6:$E$35,MATCH($E31,'Objetivos y procesos'!$C$6:$C$35,0))))),"ID no encontrado"))</f>
        <v>Solicitudes y autorizaciones</v>
      </c>
      <c r="G31" s="8" t="s">
        <v>82</v>
      </c>
      <c r="H31" s="5" t="str">
        <f>IF($G31="","",IFERROR(IF(VLOOKUP($G31,Requerimientos!$A$6:$M$43,7,FALSE)="","",VLOOKUP($G31,Requerimientos!$A$6:$M$43,7,FALSE)),"ID no encontrado"))</f>
        <v>El sistema debe permitir al vendedor corregir y reenviar una solicitud rechazada por el autorizador.</v>
      </c>
      <c r="I31" s="7" t="str">
        <f>IF($K31="","",IFERROR(IF(VLOOKUP($K31,'Historias y criterios'!$A$6:$P$83,2,FALSE)="","",VLOOKUP($K31,'Historias y criterios'!$A$6:$P$83,2,FALSE)),"ID no encontrado"))</f>
        <v>HU-007</v>
      </c>
      <c r="J31" s="5" t="str">
        <f>IF($K31="","",IFERROR(IF(VLOOKUP($K31,'Historias y criterios'!$A$6:$P$83,10,FALSE)="","",VLOOKUP($K31,'Historias y criterios'!$A$6:$P$83,10,FALSE)),"ID no encontrado"))</f>
        <v>Como vendedor solicitante, quiero corregir y reenviar solicitudes rechazadas, además de consultar y filtrar su seguimiento, para resolver observaciones y conocer el estado de cada gestión</v>
      </c>
      <c r="K31" s="8" t="s">
        <v>85</v>
      </c>
      <c r="L31" s="5" t="str">
        <f>IF($K31="","",IFERROR(IF(VLOOKUP($K31,'Historias y criterios'!$A$6:$P$83,11,FALSE)="","",VLOOKUP($K31,'Historias y criterios'!$A$6:$P$83,11,FALSE)),"ID no encontrado"))</f>
        <v>El reenvío vuelve a estado Pendiente y a la bandeja del grupo autorizador.</v>
      </c>
      <c r="M31" s="8" t="s">
        <v>86</v>
      </c>
      <c r="N31" s="5" t="str">
        <f>IF($M31="","",IFERROR(IF(VLOOKUP($M31,'Casos y evidencias'!$A$6:$O$83,5,FALSE)="","",VLOOKUP($M31,'Casos y evidencias'!$A$6:$O$83,5,FALSE)),"ID no encontrado"))</f>
        <v>Reenvío a estado Pendiente</v>
      </c>
      <c r="O31" s="5" t="str">
        <f>IF($M31="","",IFERROR(IF(VLOOKUP($M31,'Casos y evidencias'!$A$6:$O$83,10,FALSE)="","",VLOOKUP($M31,'Casos y evidencias'!$A$6:$O$83,10,FALSE)),"ID no encontrado"))</f>
        <v>No ejecutado</v>
      </c>
      <c r="P31" s="7" t="str">
        <f>IF($M31="","",IFERROR(IF(VLOOKUP($M31,'Casos y evidencias'!$A$6:$O$83,11,FALSE)="","",VLOOKUP($M31,'Casos y evidencias'!$A$6:$O$83,11,FALSE)),"ID no encontrado"))</f>
        <v/>
      </c>
      <c r="Q31" s="5" t="str">
        <f>IF($M31="","",IFERROR(IF(VLOOKUP($M31,'Casos y evidencias'!$A$6:$O$83,12,FALSE)="","",VLOOKUP($M31,'Casos y evidencias'!$A$6:$O$83,12,FALSE)),"ID no encontrado"))</f>
        <v/>
      </c>
      <c r="R31" s="4"/>
    </row>
    <row r="32" spans="1:18" ht="75.599999999999994" customHeight="1">
      <c r="A32" s="6">
        <v>25</v>
      </c>
      <c r="B32" s="5" t="str">
        <f>IF($G32="","",IF($K32="","Falta criterio",IFERROR(IF(VLOOKUP($K32,'Historias y criterios'!$A$6:$P$83,3,FALSE)&lt;&gt;$G32,"Revisar relación requisito-criterio",IF($M32="","Falta caso de prueba",IF(VLOOKUP($M32,'Casos y evidencias'!$A$6:$O$83,2,FALSE)&lt;&gt;$K32,"Revisar relación criterio-caso",IF($O32="Aprobado",IF($P32="","Falta evidencia","Trazabilidad completa"),IF($O32="Fallido","Prueba fallida",IF($O32="Bloqueado","Prueba bloqueada","Prueba pendiente")))))),"ID no encontrado")))</f>
        <v>Prueba pendiente</v>
      </c>
      <c r="C32" s="7" t="str">
        <f>IF($G32="","",IFERROR(IF(VLOOKUP($G32,Requerimientos!$A$6:$M$43,2,FALSE)="","",VLOOKUP($G32,Requerimientos!$A$6:$M$43,2,FALSE)),"ID no encontrado"))</f>
        <v>OBJ-002</v>
      </c>
      <c r="D32" s="5" t="str">
        <f>IF($C32="","",IFERROR(IF(VLOOKUP($C32,'Objetivos y procesos'!$A$6:$H$35,2,FALSE)="","",VLOOKUP($C32,'Objetivos y procesos'!$A$6:$H$35,2,FALSE)),"ID no encontrado"))</f>
        <v>Reducir reprocesos y hacer visible la creación, activación o modificación de artículos desde su envío hasta la resolución.</v>
      </c>
      <c r="E32" s="7" t="str">
        <f>IF($G32="","",IFERROR(IF(VLOOKUP($G32,Requerimientos!$A$6:$M$43,3,FALSE)="","",VLOOKUP($G32,Requerimientos!$A$6:$M$43,3,FALSE)),"ID no encontrado"))</f>
        <v>PR-02</v>
      </c>
      <c r="F32" s="5" t="str">
        <f>IF($E32="","",IFERROR(IF(INDEX('Objetivos y procesos'!$D$6:$D$35,MATCH($E32,'Objetivos y procesos'!$C$6:$C$35,0))="","",IF(INDEX('Objetivos y procesos'!$D$6:$D$35,MATCH($E32,'Objetivos y procesos'!$C$6:$C$35,0))=INDEX('Objetivos y procesos'!$E$6:$E$35,MATCH($E32,'Objetivos y procesos'!$C$6:$C$35,0)),INDEX('Objetivos y procesos'!$D$6:$D$35,MATCH($E32,'Objetivos y procesos'!$C$6:$C$35,0)),INDEX('Objetivos y procesos'!$D$6:$D$35,MATCH($E32,'Objetivos y procesos'!$C$6:$C$35,0))&amp;IF(INDEX('Objetivos y procesos'!$E$6:$E$35,MATCH($E32,'Objetivos y procesos'!$C$6:$C$35,0))="",""," / "&amp;INDEX('Objetivos y procesos'!$E$6:$E$35,MATCH($E32,'Objetivos y procesos'!$C$6:$C$35,0))))),"ID no encontrado"))</f>
        <v>Solicitudes y autorizaciones</v>
      </c>
      <c r="G32" s="8" t="s">
        <v>87</v>
      </c>
      <c r="H32" s="5" t="str">
        <f>IF($G32="","",IFERROR(IF(VLOOKUP($G32,Requerimientos!$A$6:$M$43,7,FALSE)="","",VLOOKUP($G32,Requerimientos!$A$6:$M$43,7,FALSE)),"ID no encontrado"))</f>
        <v>El sistema debe permitir consultar el estado actual, el responsable, la fecha de respuesta y el comentario de cada solicitud.</v>
      </c>
      <c r="I32" s="7" t="str">
        <f>IF($K32="","",IFERROR(IF(VLOOKUP($K32,'Historias y criterios'!$A$6:$P$83,2,FALSE)="","",VLOOKUP($K32,'Historias y criterios'!$A$6:$P$83,2,FALSE)),"ID no encontrado"))</f>
        <v>HU-007</v>
      </c>
      <c r="J32" s="5" t="str">
        <f>IF($K32="","",IFERROR(IF(VLOOKUP($K32,'Historias y criterios'!$A$6:$P$83,10,FALSE)="","",VLOOKUP($K32,'Historias y criterios'!$A$6:$P$83,10,FALSE)),"ID no encontrado"))</f>
        <v>Como vendedor solicitante, quiero corregir y reenviar solicitudes rechazadas, además de consultar y filtrar su seguimiento, para resolver observaciones y conocer el estado de cada gestión</v>
      </c>
      <c r="K32" s="8" t="s">
        <v>88</v>
      </c>
      <c r="L32" s="5" t="str">
        <f>IF($K32="","",IFERROR(IF(VLOOKUP($K32,'Historias y criterios'!$A$6:$P$83,11,FALSE)="","",VLOOKUP($K32,'Historias y criterios'!$A$6:$P$83,11,FALSE)),"ID no encontrado"))</f>
        <v>El usuario consulta estado, responsable, fecha y comentario.</v>
      </c>
      <c r="M32" s="8" t="s">
        <v>89</v>
      </c>
      <c r="N32" s="5" t="str">
        <f>IF($M32="","",IFERROR(IF(VLOOKUP($M32,'Casos y evidencias'!$A$6:$O$83,5,FALSE)="","",VLOOKUP($M32,'Casos y evidencias'!$A$6:$O$83,5,FALSE)),"ID no encontrado"))</f>
        <v>Consulta del seguimiento</v>
      </c>
      <c r="O32" s="5" t="str">
        <f>IF($M32="","",IFERROR(IF(VLOOKUP($M32,'Casos y evidencias'!$A$6:$O$83,10,FALSE)="","",VLOOKUP($M32,'Casos y evidencias'!$A$6:$O$83,10,FALSE)),"ID no encontrado"))</f>
        <v>No ejecutado</v>
      </c>
      <c r="P32" s="7" t="str">
        <f>IF($M32="","",IFERROR(IF(VLOOKUP($M32,'Casos y evidencias'!$A$6:$O$83,11,FALSE)="","",VLOOKUP($M32,'Casos y evidencias'!$A$6:$O$83,11,FALSE)),"ID no encontrado"))</f>
        <v/>
      </c>
      <c r="Q32" s="5" t="str">
        <f>IF($M32="","",IFERROR(IF(VLOOKUP($M32,'Casos y evidencias'!$A$6:$O$83,12,FALSE)="","",VLOOKUP($M32,'Casos y evidencias'!$A$6:$O$83,12,FALSE)),"ID no encontrado"))</f>
        <v/>
      </c>
      <c r="R32" s="4"/>
    </row>
    <row r="33" spans="1:18" ht="75.599999999999994" customHeight="1">
      <c r="A33" s="6">
        <v>26</v>
      </c>
      <c r="B33" s="5" t="str">
        <f>IF($G33="","",IF($K33="","Falta criterio",IFERROR(IF(VLOOKUP($K33,'Historias y criterios'!$A$6:$P$83,3,FALSE)&lt;&gt;$G33,"Revisar relación requisito-criterio",IF($M33="","Falta caso de prueba",IF(VLOOKUP($M33,'Casos y evidencias'!$A$6:$O$83,2,FALSE)&lt;&gt;$K33,"Revisar relación criterio-caso",IF($O33="Aprobado",IF($P33="","Falta evidencia","Trazabilidad completa"),IF($O33="Fallido","Prueba fallida",IF($O33="Bloqueado","Prueba bloqueada","Prueba pendiente")))))),"ID no encontrado")))</f>
        <v>Prueba pendiente</v>
      </c>
      <c r="C33" s="7" t="str">
        <f>IF($G33="","",IFERROR(IF(VLOOKUP($G33,Requerimientos!$A$6:$M$43,2,FALSE)="","",VLOOKUP($G33,Requerimientos!$A$6:$M$43,2,FALSE)),"ID no encontrado"))</f>
        <v>OBJ-002</v>
      </c>
      <c r="D33" s="5" t="str">
        <f>IF($C33="","",IFERROR(IF(VLOOKUP($C33,'Objetivos y procesos'!$A$6:$H$35,2,FALSE)="","",VLOOKUP($C33,'Objetivos y procesos'!$A$6:$H$35,2,FALSE)),"ID no encontrado"))</f>
        <v>Reducir reprocesos y hacer visible la creación, activación o modificación de artículos desde su envío hasta la resolución.</v>
      </c>
      <c r="E33" s="7" t="str">
        <f>IF($G33="","",IFERROR(IF(VLOOKUP($G33,Requerimientos!$A$6:$M$43,3,FALSE)="","",VLOOKUP($G33,Requerimientos!$A$6:$M$43,3,FALSE)),"ID no encontrado"))</f>
        <v>PR-02</v>
      </c>
      <c r="F33" s="5" t="str">
        <f>IF($E33="","",IFERROR(IF(INDEX('Objetivos y procesos'!$D$6:$D$35,MATCH($E33,'Objetivos y procesos'!$C$6:$C$35,0))="","",IF(INDEX('Objetivos y procesos'!$D$6:$D$35,MATCH($E33,'Objetivos y procesos'!$C$6:$C$35,0))=INDEX('Objetivos y procesos'!$E$6:$E$35,MATCH($E33,'Objetivos y procesos'!$C$6:$C$35,0)),INDEX('Objetivos y procesos'!$D$6:$D$35,MATCH($E33,'Objetivos y procesos'!$C$6:$C$35,0)),INDEX('Objetivos y procesos'!$D$6:$D$35,MATCH($E33,'Objetivos y procesos'!$C$6:$C$35,0))&amp;IF(INDEX('Objetivos y procesos'!$E$6:$E$35,MATCH($E33,'Objetivos y procesos'!$C$6:$C$35,0))="",""," / "&amp;INDEX('Objetivos y procesos'!$E$6:$E$35,MATCH($E33,'Objetivos y procesos'!$C$6:$C$35,0))))),"ID no encontrado"))</f>
        <v>Solicitudes y autorizaciones</v>
      </c>
      <c r="G33" s="8" t="s">
        <v>90</v>
      </c>
      <c r="H33" s="5" t="str">
        <f>IF($G33="","",IFERROR(IF(VLOOKUP($G33,Requerimientos!$A$6:$M$43,7,FALSE)="","",VLOOKUP($G33,Requerimientos!$A$6:$M$43,7,FALSE)),"ID no encontrado"))</f>
        <v>El sistema debe permitir filtrar y buscar solicitudes por estado, fecha, área y responsable.</v>
      </c>
      <c r="I33" s="7" t="str">
        <f>IF($K33="","",IFERROR(IF(VLOOKUP($K33,'Historias y criterios'!$A$6:$P$83,2,FALSE)="","",VLOOKUP($K33,'Historias y criterios'!$A$6:$P$83,2,FALSE)),"ID no encontrado"))</f>
        <v>HU-007</v>
      </c>
      <c r="J33" s="5" t="str">
        <f>IF($K33="","",IFERROR(IF(VLOOKUP($K33,'Historias y criterios'!$A$6:$P$83,10,FALSE)="","",VLOOKUP($K33,'Historias y criterios'!$A$6:$P$83,10,FALSE)),"ID no encontrado"))</f>
        <v>Como vendedor solicitante, quiero corregir y reenviar solicitudes rechazadas, además de consultar y filtrar su seguimiento, para resolver observaciones y conocer el estado de cada gestión</v>
      </c>
      <c r="K33" s="8" t="s">
        <v>91</v>
      </c>
      <c r="L33" s="5" t="str">
        <f>IF($K33="","",IFERROR(IF(VLOOKUP($K33,'Historias y criterios'!$A$6:$P$83,11,FALSE)="","",VLOOKUP($K33,'Historias y criterios'!$A$6:$P$83,11,FALSE)),"ID no encontrado"))</f>
        <v>Los filtros por estado, fecha, área y responsable devuelven resultados acordes con sus permisos.</v>
      </c>
      <c r="M33" s="8" t="s">
        <v>92</v>
      </c>
      <c r="N33" s="5" t="str">
        <f>IF($M33="","",IFERROR(IF(VLOOKUP($M33,'Casos y evidencias'!$A$6:$O$83,5,FALSE)="","",VLOOKUP($M33,'Casos y evidencias'!$A$6:$O$83,5,FALSE)),"ID no encontrado"))</f>
        <v>Filtros y búsqueda según permisos</v>
      </c>
      <c r="O33" s="5" t="str">
        <f>IF($M33="","",IFERROR(IF(VLOOKUP($M33,'Casos y evidencias'!$A$6:$O$83,10,FALSE)="","",VLOOKUP($M33,'Casos y evidencias'!$A$6:$O$83,10,FALSE)),"ID no encontrado"))</f>
        <v>No ejecutado</v>
      </c>
      <c r="P33" s="7" t="str">
        <f>IF($M33="","",IFERROR(IF(VLOOKUP($M33,'Casos y evidencias'!$A$6:$O$83,11,FALSE)="","",VLOOKUP($M33,'Casos y evidencias'!$A$6:$O$83,11,FALSE)),"ID no encontrado"))</f>
        <v/>
      </c>
      <c r="Q33" s="5" t="str">
        <f>IF($M33="","",IFERROR(IF(VLOOKUP($M33,'Casos y evidencias'!$A$6:$O$83,12,FALSE)="","",VLOOKUP($M33,'Casos y evidencias'!$A$6:$O$83,12,FALSE)),"ID no encontrado"))</f>
        <v/>
      </c>
      <c r="R33" s="4"/>
    </row>
    <row r="34" spans="1:18" ht="75.599999999999994" customHeight="1">
      <c r="A34" s="6">
        <v>27</v>
      </c>
      <c r="B34" s="5" t="str">
        <f>IF($G34="","",IF($K34="","Falta criterio",IFERROR(IF(VLOOKUP($K34,'Historias y criterios'!$A$6:$P$83,3,FALSE)&lt;&gt;$G34,"Revisar relación requisito-criterio",IF($M34="","Falta caso de prueba",IF(VLOOKUP($M34,'Casos y evidencias'!$A$6:$O$83,2,FALSE)&lt;&gt;$K34,"Revisar relación criterio-caso",IF($O34="Aprobado",IF($P34="","Falta evidencia","Trazabilidad completa"),IF($O34="Fallido","Prueba fallida",IF($O34="Bloqueado","Prueba bloqueada","Prueba pendiente")))))),"ID no encontrado")))</f>
        <v>Prueba pendiente</v>
      </c>
      <c r="C34" s="7" t="str">
        <f>IF($G34="","",IFERROR(IF(VLOOKUP($G34,Requerimientos!$A$6:$M$43,2,FALSE)="","",VLOOKUP($G34,Requerimientos!$A$6:$M$43,2,FALSE)),"ID no encontrado"))</f>
        <v>OBJ-003</v>
      </c>
      <c r="D34" s="5" t="str">
        <f>IF($C34="","",IFERROR(IF(VLOOKUP($C34,'Objetivos y procesos'!$A$6:$H$35,2,FALSE)="","",VLOOKUP($C34,'Objetivos y procesos'!$A$6:$H$35,2,FALSE)),"ID no encontrado"))</f>
        <v>Centralizar consultas, cotizaciones y órdenes de venta, aplicando vendedor, comisión, autorización e integración correctos.</v>
      </c>
      <c r="E34" s="7" t="str">
        <f>IF($G34="","",IFERROR(IF(VLOOKUP($G34,Requerimientos!$A$6:$M$43,3,FALSE)="","",VLOOKUP($G34,Requerimientos!$A$6:$M$43,3,FALSE)),"ID no encontrado"))</f>
        <v>PR-03</v>
      </c>
      <c r="F34" s="5" t="str">
        <f>IF($E34="","",IFERROR(IF(INDEX('Objetivos y procesos'!$D$6:$D$35,MATCH($E34,'Objetivos y procesos'!$C$6:$C$35,0))="","",IF(INDEX('Objetivos y procesos'!$D$6:$D$35,MATCH($E34,'Objetivos y procesos'!$C$6:$C$35,0))=INDEX('Objetivos y procesos'!$E$6:$E$35,MATCH($E34,'Objetivos y procesos'!$C$6:$C$35,0)),INDEX('Objetivos y procesos'!$D$6:$D$35,MATCH($E34,'Objetivos y procesos'!$C$6:$C$35,0)),INDEX('Objetivos y procesos'!$D$6:$D$35,MATCH($E34,'Objetivos y procesos'!$C$6:$C$35,0))&amp;IF(INDEX('Objetivos y procesos'!$E$6:$E$35,MATCH($E34,'Objetivos y procesos'!$C$6:$C$35,0))="",""," / "&amp;INDEX('Objetivos y procesos'!$E$6:$E$35,MATCH($E34,'Objetivos y procesos'!$C$6:$C$35,0))))),"ID no encontrado"))</f>
        <v>Gestión comercial, cotizaciones y órdenes de venta</v>
      </c>
      <c r="G34" s="8" t="s">
        <v>93</v>
      </c>
      <c r="H34" s="5" t="str">
        <f>IF($G34="","",IFERROR(IF(VLOOKUP($G34,Requerimientos!$A$6:$M$43,7,FALSE)="","",VLOOKUP($G34,Requerimientos!$A$6:$M$43,7,FALSE)),"ID no encontrado"))</f>
        <v>El sistema debe permitir consultar el catálogo de productos con su disponibilidad de stock.</v>
      </c>
      <c r="I34" s="7" t="str">
        <f>IF($K34="","",IFERROR(IF(VLOOKUP($K34,'Historias y criterios'!$A$6:$P$83,2,FALSE)="","",VLOOKUP($K34,'Historias y criterios'!$A$6:$P$83,2,FALSE)),"ID no encontrado"))</f>
        <v>HU-008</v>
      </c>
      <c r="J34" s="5" t="str">
        <f>IF($K34="","",IFERROR(IF(VLOOKUP($K34,'Historias y criterios'!$A$6:$P$83,10,FALSE)="","",VLOOKUP($K34,'Historias y criterios'!$A$6:$P$83,10,FALSE)),"ID no encontrado"))</f>
        <v>Como vendedor o asistente de vendedor, quiero consultar productos, stock, clientes, crédito y bloqueo en la empresa activa, para tomar decisiones comerciales con información vigente del ERP</v>
      </c>
      <c r="K34" s="8" t="s">
        <v>94</v>
      </c>
      <c r="L34" s="5" t="str">
        <f>IF($K34="","",IFERROR(IF(VLOOKUP($K34,'Historias y criterios'!$A$6:$P$83,11,FALSE)="","",VLOOKUP($K34,'Historias y criterios'!$A$6:$P$83,11,FALSE)),"ID no encontrado"))</f>
        <v>Las consultas muestran datos vigentes del ERP para la empresa activa.</v>
      </c>
      <c r="M34" s="8" t="s">
        <v>95</v>
      </c>
      <c r="N34" s="5" t="str">
        <f>IF($M34="","",IFERROR(IF(VLOOKUP($M34,'Casos y evidencias'!$A$6:$O$83,5,FALSE)="","",VLOOKUP($M34,'Casos y evidencias'!$A$6:$O$83,5,FALSE)),"ID no encontrado"))</f>
        <v>Consulta de productos y stock en la empresa activa</v>
      </c>
      <c r="O34" s="5" t="str">
        <f>IF($M34="","",IFERROR(IF(VLOOKUP($M34,'Casos y evidencias'!$A$6:$O$83,10,FALSE)="","",VLOOKUP($M34,'Casos y evidencias'!$A$6:$O$83,10,FALSE)),"ID no encontrado"))</f>
        <v>No ejecutado</v>
      </c>
      <c r="P34" s="7" t="str">
        <f>IF($M34="","",IFERROR(IF(VLOOKUP($M34,'Casos y evidencias'!$A$6:$O$83,11,FALSE)="","",VLOOKUP($M34,'Casos y evidencias'!$A$6:$O$83,11,FALSE)),"ID no encontrado"))</f>
        <v/>
      </c>
      <c r="Q34" s="5" t="str">
        <f>IF($M34="","",IFERROR(IF(VLOOKUP($M34,'Casos y evidencias'!$A$6:$O$83,12,FALSE)="","",VLOOKUP($M34,'Casos y evidencias'!$A$6:$O$83,12,FALSE)),"ID no encontrado"))</f>
        <v/>
      </c>
      <c r="R34" s="4"/>
    </row>
    <row r="35" spans="1:18" ht="75.599999999999994" customHeight="1">
      <c r="A35" s="6">
        <v>28</v>
      </c>
      <c r="B35" s="5" t="str">
        <f>IF($G35="","",IF($K35="","Falta criterio",IFERROR(IF(VLOOKUP($K35,'Historias y criterios'!$A$6:$P$83,3,FALSE)&lt;&gt;$G35,"Revisar relación requisito-criterio",IF($M35="","Falta caso de prueba",IF(VLOOKUP($M35,'Casos y evidencias'!$A$6:$O$83,2,FALSE)&lt;&gt;$K35,"Revisar relación criterio-caso",IF($O35="Aprobado",IF($P35="","Falta evidencia","Trazabilidad completa"),IF($O35="Fallido","Prueba fallida",IF($O35="Bloqueado","Prueba bloqueada","Prueba pendiente")))))),"ID no encontrado")))</f>
        <v>Prueba pendiente</v>
      </c>
      <c r="C35" s="7" t="str">
        <f>IF($G35="","",IFERROR(IF(VLOOKUP($G35,Requerimientos!$A$6:$M$43,2,FALSE)="","",VLOOKUP($G35,Requerimientos!$A$6:$M$43,2,FALSE)),"ID no encontrado"))</f>
        <v>OBJ-003</v>
      </c>
      <c r="D35" s="5" t="str">
        <f>IF($C35="","",IFERROR(IF(VLOOKUP($C35,'Objetivos y procesos'!$A$6:$H$35,2,FALSE)="","",VLOOKUP($C35,'Objetivos y procesos'!$A$6:$H$35,2,FALSE)),"ID no encontrado"))</f>
        <v>Centralizar consultas, cotizaciones y órdenes de venta, aplicando vendedor, comisión, autorización e integración correctos.</v>
      </c>
      <c r="E35" s="7" t="str">
        <f>IF($G35="","",IFERROR(IF(VLOOKUP($G35,Requerimientos!$A$6:$M$43,3,FALSE)="","",VLOOKUP($G35,Requerimientos!$A$6:$M$43,3,FALSE)),"ID no encontrado"))</f>
        <v>PR-03</v>
      </c>
      <c r="F35" s="5" t="str">
        <f>IF($E35="","",IFERROR(IF(INDEX('Objetivos y procesos'!$D$6:$D$35,MATCH($E35,'Objetivos y procesos'!$C$6:$C$35,0))="","",IF(INDEX('Objetivos y procesos'!$D$6:$D$35,MATCH($E35,'Objetivos y procesos'!$C$6:$C$35,0))=INDEX('Objetivos y procesos'!$E$6:$E$35,MATCH($E35,'Objetivos y procesos'!$C$6:$C$35,0)),INDEX('Objetivos y procesos'!$D$6:$D$35,MATCH($E35,'Objetivos y procesos'!$C$6:$C$35,0)),INDEX('Objetivos y procesos'!$D$6:$D$35,MATCH($E35,'Objetivos y procesos'!$C$6:$C$35,0))&amp;IF(INDEX('Objetivos y procesos'!$E$6:$E$35,MATCH($E35,'Objetivos y procesos'!$C$6:$C$35,0))="",""," / "&amp;INDEX('Objetivos y procesos'!$E$6:$E$35,MATCH($E35,'Objetivos y procesos'!$C$6:$C$35,0))))),"ID no encontrado"))</f>
        <v>Gestión comercial, cotizaciones y órdenes de venta</v>
      </c>
      <c r="G35" s="8" t="s">
        <v>96</v>
      </c>
      <c r="H35" s="5" t="str">
        <f>IF($G35="","",IFERROR(IF(VLOOKUP($G35,Requerimientos!$A$6:$M$43,7,FALSE)="","",VLOOKUP($G35,Requerimientos!$A$6:$M$43,7,FALSE)),"ID no encontrado"))</f>
        <v>El sistema debe permitir consultar los datos del cliente, incluidos su crédito disponible y su estado de bloqueo.</v>
      </c>
      <c r="I35" s="7" t="str">
        <f>IF($K35="","",IFERROR(IF(VLOOKUP($K35,'Historias y criterios'!$A$6:$P$83,2,FALSE)="","",VLOOKUP($K35,'Historias y criterios'!$A$6:$P$83,2,FALSE)),"ID no encontrado"))</f>
        <v>HU-008</v>
      </c>
      <c r="J35" s="5" t="str">
        <f>IF($K35="","",IFERROR(IF(VLOOKUP($K35,'Historias y criterios'!$A$6:$P$83,10,FALSE)="","",VLOOKUP($K35,'Historias y criterios'!$A$6:$P$83,10,FALSE)),"ID no encontrado"))</f>
        <v>Como vendedor o asistente de vendedor, quiero consultar productos, stock, clientes, crédito y bloqueo en la empresa activa, para tomar decisiones comerciales con información vigente del ERP</v>
      </c>
      <c r="K35" s="8" t="s">
        <v>97</v>
      </c>
      <c r="L35" s="5" t="str">
        <f>IF($K35="","",IFERROR(IF(VLOOKUP($K35,'Historias y criterios'!$A$6:$P$83,11,FALSE)="","",VLOOKUP($K35,'Historias y criterios'!$A$6:$P$83,11,FALSE)),"ID no encontrado"))</f>
        <v>El vendedor ve sus clientes y el asistente los de los vendedores asignados.</v>
      </c>
      <c r="M35" s="8" t="s">
        <v>98</v>
      </c>
      <c r="N35" s="5" t="str">
        <f>IF($M35="","",IFERROR(IF(VLOOKUP($M35,'Casos y evidencias'!$A$6:$O$83,5,FALSE)="","",VLOOKUP($M35,'Casos y evidencias'!$A$6:$O$83,5,FALSE)),"ID no encontrado"))</f>
        <v>Cartera de clientes de vendedor y asistente</v>
      </c>
      <c r="O35" s="5" t="str">
        <f>IF($M35="","",IFERROR(IF(VLOOKUP($M35,'Casos y evidencias'!$A$6:$O$83,10,FALSE)="","",VLOOKUP($M35,'Casos y evidencias'!$A$6:$O$83,10,FALSE)),"ID no encontrado"))</f>
        <v>No ejecutado</v>
      </c>
      <c r="P35" s="7" t="str">
        <f>IF($M35="","",IFERROR(IF(VLOOKUP($M35,'Casos y evidencias'!$A$6:$O$83,11,FALSE)="","",VLOOKUP($M35,'Casos y evidencias'!$A$6:$O$83,11,FALSE)),"ID no encontrado"))</f>
        <v/>
      </c>
      <c r="Q35" s="5" t="str">
        <f>IF($M35="","",IFERROR(IF(VLOOKUP($M35,'Casos y evidencias'!$A$6:$O$83,12,FALSE)="","",VLOOKUP($M35,'Casos y evidencias'!$A$6:$O$83,12,FALSE)),"ID no encontrado"))</f>
        <v/>
      </c>
      <c r="R35" s="4"/>
    </row>
    <row r="36" spans="1:18" ht="75.599999999999994" customHeight="1">
      <c r="A36" s="6">
        <v>29</v>
      </c>
      <c r="B36" s="5" t="str">
        <f>IF($G36="","",IF($K36="","Falta criterio",IFERROR(IF(VLOOKUP($K36,'Historias y criterios'!$A$6:$P$83,3,FALSE)&lt;&gt;$G36,"Revisar relación requisito-criterio",IF($M36="","Falta caso de prueba",IF(VLOOKUP($M36,'Casos y evidencias'!$A$6:$O$83,2,FALSE)&lt;&gt;$K36,"Revisar relación criterio-caso",IF($O36="Aprobado",IF($P36="","Falta evidencia","Trazabilidad completa"),IF($O36="Fallido","Prueba fallida",IF($O36="Bloqueado","Prueba bloqueada","Prueba pendiente")))))),"ID no encontrado")))</f>
        <v>Prueba pendiente</v>
      </c>
      <c r="C36" s="7" t="str">
        <f>IF($G36="","",IFERROR(IF(VLOOKUP($G36,Requerimientos!$A$6:$M$43,2,FALSE)="","",VLOOKUP($G36,Requerimientos!$A$6:$M$43,2,FALSE)),"ID no encontrado"))</f>
        <v>OBJ-003</v>
      </c>
      <c r="D36" s="5" t="str">
        <f>IF($C36="","",IFERROR(IF(VLOOKUP($C36,'Objetivos y procesos'!$A$6:$H$35,2,FALSE)="","",VLOOKUP($C36,'Objetivos y procesos'!$A$6:$H$35,2,FALSE)),"ID no encontrado"))</f>
        <v>Centralizar consultas, cotizaciones y órdenes de venta, aplicando vendedor, comisión, autorización e integración correctos.</v>
      </c>
      <c r="E36" s="7" t="str">
        <f>IF($G36="","",IFERROR(IF(VLOOKUP($G36,Requerimientos!$A$6:$M$43,3,FALSE)="","",VLOOKUP($G36,Requerimientos!$A$6:$M$43,3,FALSE)),"ID no encontrado"))</f>
        <v>PR-03</v>
      </c>
      <c r="F36" s="5" t="str">
        <f>IF($E36="","",IFERROR(IF(INDEX('Objetivos y procesos'!$D$6:$D$35,MATCH($E36,'Objetivos y procesos'!$C$6:$C$35,0))="","",IF(INDEX('Objetivos y procesos'!$D$6:$D$35,MATCH($E36,'Objetivos y procesos'!$C$6:$C$35,0))=INDEX('Objetivos y procesos'!$E$6:$E$35,MATCH($E36,'Objetivos y procesos'!$C$6:$C$35,0)),INDEX('Objetivos y procesos'!$D$6:$D$35,MATCH($E36,'Objetivos y procesos'!$C$6:$C$35,0)),INDEX('Objetivos y procesos'!$D$6:$D$35,MATCH($E36,'Objetivos y procesos'!$C$6:$C$35,0))&amp;IF(INDEX('Objetivos y procesos'!$E$6:$E$35,MATCH($E36,'Objetivos y procesos'!$C$6:$C$35,0))="",""," / "&amp;INDEX('Objetivos y procesos'!$E$6:$E$35,MATCH($E36,'Objetivos y procesos'!$C$6:$C$35,0))))),"ID no encontrado"))</f>
        <v>Gestión comercial, cotizaciones y órdenes de venta</v>
      </c>
      <c r="G36" s="8" t="s">
        <v>93</v>
      </c>
      <c r="H36" s="5" t="str">
        <f>IF($G36="","",IFERROR(IF(VLOOKUP($G36,Requerimientos!$A$6:$M$43,7,FALSE)="","",VLOOKUP($G36,Requerimientos!$A$6:$M$43,7,FALSE)),"ID no encontrado"))</f>
        <v>El sistema debe permitir consultar el catálogo de productos con su disponibilidad de stock.</v>
      </c>
      <c r="I36" s="7" t="str">
        <f>IF($K36="","",IFERROR(IF(VLOOKUP($K36,'Historias y criterios'!$A$6:$P$83,2,FALSE)="","",VLOOKUP($K36,'Historias y criterios'!$A$6:$P$83,2,FALSE)),"ID no encontrado"))</f>
        <v>HU-008</v>
      </c>
      <c r="J36" s="5" t="str">
        <f>IF($K36="","",IFERROR(IF(VLOOKUP($K36,'Historias y criterios'!$A$6:$P$83,10,FALSE)="","",VLOOKUP($K36,'Historias y criterios'!$A$6:$P$83,10,FALSE)),"ID no encontrado"))</f>
        <v>Como vendedor o asistente de vendedor, quiero consultar productos, stock, clientes, crédito y bloqueo en la empresa activa, para tomar decisiones comerciales con información vigente del ERP</v>
      </c>
      <c r="K36" s="8" t="s">
        <v>99</v>
      </c>
      <c r="L36" s="5" t="str">
        <f>IF($K36="","",IFERROR(IF(VLOOKUP($K36,'Historias y criterios'!$A$6:$P$83,11,FALSE)="","",VLOOKUP($K36,'Historias y criterios'!$A$6:$P$83,11,FALSE)),"ID no encontrado"))</f>
        <v>Stock, precios, crédito y bloqueo son de solo lectura y no se duplican como maestros locales.</v>
      </c>
      <c r="M36" s="8" t="s">
        <v>100</v>
      </c>
      <c r="N36" s="5" t="str">
        <f>IF($M36="","",IFERROR(IF(VLOOKUP($M36,'Casos y evidencias'!$A$6:$O$83,5,FALSE)="","",VLOOKUP($M36,'Casos y evidencias'!$A$6:$O$83,5,FALSE)),"ID no encontrado"))</f>
        <v>Datos del ERP en solo lectura</v>
      </c>
      <c r="O36" s="5" t="str">
        <f>IF($M36="","",IFERROR(IF(VLOOKUP($M36,'Casos y evidencias'!$A$6:$O$83,10,FALSE)="","",VLOOKUP($M36,'Casos y evidencias'!$A$6:$O$83,10,FALSE)),"ID no encontrado"))</f>
        <v>No ejecutado</v>
      </c>
      <c r="P36" s="7" t="str">
        <f>IF($M36="","",IFERROR(IF(VLOOKUP($M36,'Casos y evidencias'!$A$6:$O$83,11,FALSE)="","",VLOOKUP($M36,'Casos y evidencias'!$A$6:$O$83,11,FALSE)),"ID no encontrado"))</f>
        <v/>
      </c>
      <c r="Q36" s="5" t="str">
        <f>IF($M36="","",IFERROR(IF(VLOOKUP($M36,'Casos y evidencias'!$A$6:$O$83,12,FALSE)="","",VLOOKUP($M36,'Casos y evidencias'!$A$6:$O$83,12,FALSE)),"ID no encontrado"))</f>
        <v/>
      </c>
      <c r="R36" s="4"/>
    </row>
    <row r="37" spans="1:18" ht="75.599999999999994" customHeight="1">
      <c r="A37" s="6">
        <v>30</v>
      </c>
      <c r="B37" s="5" t="str">
        <f>IF($G37="","",IF($K37="","Falta criterio",IFERROR(IF(VLOOKUP($K37,'Historias y criterios'!$A$6:$P$83,3,FALSE)&lt;&gt;$G37,"Revisar relación requisito-criterio",IF($M37="","Falta caso de prueba",IF(VLOOKUP($M37,'Casos y evidencias'!$A$6:$O$83,2,FALSE)&lt;&gt;$K37,"Revisar relación criterio-caso",IF($O37="Aprobado",IF($P37="","Falta evidencia","Trazabilidad completa"),IF($O37="Fallido","Prueba fallida",IF($O37="Bloqueado","Prueba bloqueada","Prueba pendiente")))))),"ID no encontrado")))</f>
        <v>Prueba pendiente</v>
      </c>
      <c r="C37" s="7" t="str">
        <f>IF($G37="","",IFERROR(IF(VLOOKUP($G37,Requerimientos!$A$6:$M$43,2,FALSE)="","",VLOOKUP($G37,Requerimientos!$A$6:$M$43,2,FALSE)),"ID no encontrado"))</f>
        <v>OBJ-003</v>
      </c>
      <c r="D37" s="5" t="str">
        <f>IF($C37="","",IFERROR(IF(VLOOKUP($C37,'Objetivos y procesos'!$A$6:$H$35,2,FALSE)="","",VLOOKUP($C37,'Objetivos y procesos'!$A$6:$H$35,2,FALSE)),"ID no encontrado"))</f>
        <v>Centralizar consultas, cotizaciones y órdenes de venta, aplicando vendedor, comisión, autorización e integración correctos.</v>
      </c>
      <c r="E37" s="7" t="str">
        <f>IF($G37="","",IFERROR(IF(VLOOKUP($G37,Requerimientos!$A$6:$M$43,3,FALSE)="","",VLOOKUP($G37,Requerimientos!$A$6:$M$43,3,FALSE)),"ID no encontrado"))</f>
        <v>PR-03</v>
      </c>
      <c r="F37" s="5" t="str">
        <f>IF($E37="","",IFERROR(IF(INDEX('Objetivos y procesos'!$D$6:$D$35,MATCH($E37,'Objetivos y procesos'!$C$6:$C$35,0))="","",IF(INDEX('Objetivos y procesos'!$D$6:$D$35,MATCH($E37,'Objetivos y procesos'!$C$6:$C$35,0))=INDEX('Objetivos y procesos'!$E$6:$E$35,MATCH($E37,'Objetivos y procesos'!$C$6:$C$35,0)),INDEX('Objetivos y procesos'!$D$6:$D$35,MATCH($E37,'Objetivos y procesos'!$C$6:$C$35,0)),INDEX('Objetivos y procesos'!$D$6:$D$35,MATCH($E37,'Objetivos y procesos'!$C$6:$C$35,0))&amp;IF(INDEX('Objetivos y procesos'!$E$6:$E$35,MATCH($E37,'Objetivos y procesos'!$C$6:$C$35,0))="",""," / "&amp;INDEX('Objetivos y procesos'!$E$6:$E$35,MATCH($E37,'Objetivos y procesos'!$C$6:$C$35,0))))),"ID no encontrado"))</f>
        <v>Gestión comercial, cotizaciones y órdenes de venta</v>
      </c>
      <c r="G37" s="8" t="s">
        <v>96</v>
      </c>
      <c r="H37" s="5" t="str">
        <f>IF($G37="","",IFERROR(IF(VLOOKUP($G37,Requerimientos!$A$6:$M$43,7,FALSE)="","",VLOOKUP($G37,Requerimientos!$A$6:$M$43,7,FALSE)),"ID no encontrado"))</f>
        <v>El sistema debe permitir consultar los datos del cliente, incluidos su crédito disponible y su estado de bloqueo.</v>
      </c>
      <c r="I37" s="7" t="str">
        <f>IF($K37="","",IFERROR(IF(VLOOKUP($K37,'Historias y criterios'!$A$6:$P$83,2,FALSE)="","",VLOOKUP($K37,'Historias y criterios'!$A$6:$P$83,2,FALSE)),"ID no encontrado"))</f>
        <v>HU-008</v>
      </c>
      <c r="J37" s="5" t="str">
        <f>IF($K37="","",IFERROR(IF(VLOOKUP($K37,'Historias y criterios'!$A$6:$P$83,10,FALSE)="","",VLOOKUP($K37,'Historias y criterios'!$A$6:$P$83,10,FALSE)),"ID no encontrado"))</f>
        <v>Como vendedor o asistente de vendedor, quiero consultar productos, stock, clientes, crédito y bloqueo en la empresa activa, para tomar decisiones comerciales con información vigente del ERP</v>
      </c>
      <c r="K37" s="8" t="s">
        <v>101</v>
      </c>
      <c r="L37" s="5" t="str">
        <f>IF($K37="","",IFERROR(IF(VLOOKUP($K37,'Historias y criterios'!$A$6:$P$83,11,FALSE)="","",VLOOKUP($K37,'Historias y criterios'!$A$6:$P$83,11,FALSE)),"ID no encontrado"))</f>
        <v>Un cliente bloqueado queda identificado antes de solicitar una orden de venta.</v>
      </c>
      <c r="M37" s="8" t="s">
        <v>102</v>
      </c>
      <c r="N37" s="5" t="str">
        <f>IF($M37="","",IFERROR(IF(VLOOKUP($M37,'Casos y evidencias'!$A$6:$O$83,5,FALSE)="","",VLOOKUP($M37,'Casos y evidencias'!$A$6:$O$83,5,FALSE)),"ID no encontrado"))</f>
        <v>Identificación de cliente bloqueado</v>
      </c>
      <c r="O37" s="5" t="str">
        <f>IF($M37="","",IFERROR(IF(VLOOKUP($M37,'Casos y evidencias'!$A$6:$O$83,10,FALSE)="","",VLOOKUP($M37,'Casos y evidencias'!$A$6:$O$83,10,FALSE)),"ID no encontrado"))</f>
        <v>No ejecutado</v>
      </c>
      <c r="P37" s="7" t="str">
        <f>IF($M37="","",IFERROR(IF(VLOOKUP($M37,'Casos y evidencias'!$A$6:$O$83,11,FALSE)="","",VLOOKUP($M37,'Casos y evidencias'!$A$6:$O$83,11,FALSE)),"ID no encontrado"))</f>
        <v/>
      </c>
      <c r="Q37" s="5" t="str">
        <f>IF($M37="","",IFERROR(IF(VLOOKUP($M37,'Casos y evidencias'!$A$6:$O$83,12,FALSE)="","",VLOOKUP($M37,'Casos y evidencias'!$A$6:$O$83,12,FALSE)),"ID no encontrado"))</f>
        <v/>
      </c>
      <c r="R37" s="4"/>
    </row>
    <row r="38" spans="1:18" ht="75.599999999999994" customHeight="1">
      <c r="A38" s="6">
        <v>31</v>
      </c>
      <c r="B38" s="5" t="str">
        <f>IF($G38="","",IF($K38="","Falta criterio",IFERROR(IF(VLOOKUP($K38,'Historias y criterios'!$A$6:$P$83,3,FALSE)&lt;&gt;$G38,"Revisar relación requisito-criterio",IF($M38="","Falta caso de prueba",IF(VLOOKUP($M38,'Casos y evidencias'!$A$6:$O$83,2,FALSE)&lt;&gt;$K38,"Revisar relación criterio-caso",IF($O38="Aprobado",IF($P38="","Falta evidencia","Trazabilidad completa"),IF($O38="Fallido","Prueba fallida",IF($O38="Bloqueado","Prueba bloqueada","Prueba pendiente")))))),"ID no encontrado")))</f>
        <v>Prueba pendiente</v>
      </c>
      <c r="C38" s="7" t="str">
        <f>IF($G38="","",IFERROR(IF(VLOOKUP($G38,Requerimientos!$A$6:$M$43,2,FALSE)="","",VLOOKUP($G38,Requerimientos!$A$6:$M$43,2,FALSE)),"ID no encontrado"))</f>
        <v>OBJ-003</v>
      </c>
      <c r="D38" s="5" t="str">
        <f>IF($C38="","",IFERROR(IF(VLOOKUP($C38,'Objetivos y procesos'!$A$6:$H$35,2,FALSE)="","",VLOOKUP($C38,'Objetivos y procesos'!$A$6:$H$35,2,FALSE)),"ID no encontrado"))</f>
        <v>Centralizar consultas, cotizaciones y órdenes de venta, aplicando vendedor, comisión, autorización e integración correctos.</v>
      </c>
      <c r="E38" s="7" t="str">
        <f>IF($G38="","",IFERROR(IF(VLOOKUP($G38,Requerimientos!$A$6:$M$43,3,FALSE)="","",VLOOKUP($G38,Requerimientos!$A$6:$M$43,3,FALSE)),"ID no encontrado"))</f>
        <v>PR-03</v>
      </c>
      <c r="F38" s="5" t="str">
        <f>IF($E38="","",IFERROR(IF(INDEX('Objetivos y procesos'!$D$6:$D$35,MATCH($E38,'Objetivos y procesos'!$C$6:$C$35,0))="","",IF(INDEX('Objetivos y procesos'!$D$6:$D$35,MATCH($E38,'Objetivos y procesos'!$C$6:$C$35,0))=INDEX('Objetivos y procesos'!$E$6:$E$35,MATCH($E38,'Objetivos y procesos'!$C$6:$C$35,0)),INDEX('Objetivos y procesos'!$D$6:$D$35,MATCH($E38,'Objetivos y procesos'!$C$6:$C$35,0)),INDEX('Objetivos y procesos'!$D$6:$D$35,MATCH($E38,'Objetivos y procesos'!$C$6:$C$35,0))&amp;IF(INDEX('Objetivos y procesos'!$E$6:$E$35,MATCH($E38,'Objetivos y procesos'!$C$6:$C$35,0))="",""," / "&amp;INDEX('Objetivos y procesos'!$E$6:$E$35,MATCH($E38,'Objetivos y procesos'!$C$6:$C$35,0))))),"ID no encontrado"))</f>
        <v>Gestión comercial, cotizaciones y órdenes de venta</v>
      </c>
      <c r="G38" s="8" t="s">
        <v>103</v>
      </c>
      <c r="H38" s="5" t="str">
        <f>IF($G38="","",IFERROR(IF(VLOOKUP($G38,Requerimientos!$A$6:$M$43,7,FALSE)="","",VLOOKUP($G38,Requerimientos!$A$6:$M$43,7,FALSE)),"ID no encontrado"))</f>
        <v>El sistema debe permitir al vendedor crear y administrar cotizaciones con múltiples líneas de producto.</v>
      </c>
      <c r="I38" s="7" t="str">
        <f>IF($K38="","",IFERROR(IF(VLOOKUP($K38,'Historias y criterios'!$A$6:$P$83,2,FALSE)="","",VLOOKUP($K38,'Historias y criterios'!$A$6:$P$83,2,FALSE)),"ID no encontrado"))</f>
        <v>HU-009</v>
      </c>
      <c r="J38" s="5" t="str">
        <f>IF($K38="","",IFERROR(IF(VLOOKUP($K38,'Historias y criterios'!$A$6:$P$83,10,FALSE)="","",VLOOKUP($K38,'Historias y criterios'!$A$6:$P$83,10,FALSE)),"ID no encontrado"))</f>
        <v>Como vendedor o asistente de vendedor, quiero crear cotizaciones con varias líneas y el vendedor correspondiente, para presentar una oferta comercial consistente con la empresa activa</v>
      </c>
      <c r="K38" s="8" t="s">
        <v>104</v>
      </c>
      <c r="L38" s="5" t="str">
        <f>IF($K38="","",IFERROR(IF(VLOOKUP($K38,'Historias y criterios'!$A$6:$P$83,11,FALSE)="","",VLOOKUP($K38,'Historias y criterios'!$A$6:$P$83,11,FALSE)),"ID no encontrado"))</f>
        <v>La cotización exige un cliente y al menos una línea de producto.</v>
      </c>
      <c r="M38" s="8" t="s">
        <v>105</v>
      </c>
      <c r="N38" s="5" t="str">
        <f>IF($M38="","",IFERROR(IF(VLOOKUP($M38,'Casos y evidencias'!$A$6:$O$83,5,FALSE)="","",VLOOKUP($M38,'Casos y evidencias'!$A$6:$O$83,5,FALSE)),"ID no encontrado"))</f>
        <v>Validación de cliente y líneas de la cotización</v>
      </c>
      <c r="O38" s="5" t="str">
        <f>IF($M38="","",IFERROR(IF(VLOOKUP($M38,'Casos y evidencias'!$A$6:$O$83,10,FALSE)="","",VLOOKUP($M38,'Casos y evidencias'!$A$6:$O$83,10,FALSE)),"ID no encontrado"))</f>
        <v>No ejecutado</v>
      </c>
      <c r="P38" s="7" t="str">
        <f>IF($M38="","",IFERROR(IF(VLOOKUP($M38,'Casos y evidencias'!$A$6:$O$83,11,FALSE)="","",VLOOKUP($M38,'Casos y evidencias'!$A$6:$O$83,11,FALSE)),"ID no encontrado"))</f>
        <v/>
      </c>
      <c r="Q38" s="5" t="str">
        <f>IF($M38="","",IFERROR(IF(VLOOKUP($M38,'Casos y evidencias'!$A$6:$O$83,12,FALSE)="","",VLOOKUP($M38,'Casos y evidencias'!$A$6:$O$83,12,FALSE)),"ID no encontrado"))</f>
        <v/>
      </c>
      <c r="R38" s="4"/>
    </row>
    <row r="39" spans="1:18" ht="102.6" customHeight="1">
      <c r="A39" s="6">
        <v>32</v>
      </c>
      <c r="B39" s="5" t="str">
        <f>IF($G39="","",IF($K39="","Falta criterio",IFERROR(IF(VLOOKUP($K39,'Historias y criterios'!$A$6:$P$83,3,FALSE)&lt;&gt;$G39,"Revisar relación requisito-criterio",IF($M39="","Falta caso de prueba",IF(VLOOKUP($M39,'Casos y evidencias'!$A$6:$O$83,2,FALSE)&lt;&gt;$K39,"Revisar relación criterio-caso",IF($O39="Aprobado",IF($P39="","Falta evidencia","Trazabilidad completa"),IF($O39="Fallido","Prueba fallida",IF($O39="Bloqueado","Prueba bloqueada","Prueba pendiente")))))),"ID no encontrado")))</f>
        <v>Prueba pendiente</v>
      </c>
      <c r="C39" s="7" t="str">
        <f>IF($G39="","",IFERROR(IF(VLOOKUP($G39,Requerimientos!$A$6:$M$43,2,FALSE)="","",VLOOKUP($G39,Requerimientos!$A$6:$M$43,2,FALSE)),"ID no encontrado"))</f>
        <v>OBJ-003</v>
      </c>
      <c r="D39" s="5" t="str">
        <f>IF($C39="","",IFERROR(IF(VLOOKUP($C39,'Objetivos y procesos'!$A$6:$H$35,2,FALSE)="","",VLOOKUP($C39,'Objetivos y procesos'!$A$6:$H$35,2,FALSE)),"ID no encontrado"))</f>
        <v>Centralizar consultas, cotizaciones y órdenes de venta, aplicando vendedor, comisión, autorización e integración correctos.</v>
      </c>
      <c r="E39" s="7" t="str">
        <f>IF($G39="","",IFERROR(IF(VLOOKUP($G39,Requerimientos!$A$6:$M$43,3,FALSE)="","",VLOOKUP($G39,Requerimientos!$A$6:$M$43,3,FALSE)),"ID no encontrado"))</f>
        <v>PR-03</v>
      </c>
      <c r="F39" s="5" t="str">
        <f>IF($E39="","",IFERROR(IF(INDEX('Objetivos y procesos'!$D$6:$D$35,MATCH($E39,'Objetivos y procesos'!$C$6:$C$35,0))="","",IF(INDEX('Objetivos y procesos'!$D$6:$D$35,MATCH($E39,'Objetivos y procesos'!$C$6:$C$35,0))=INDEX('Objetivos y procesos'!$E$6:$E$35,MATCH($E39,'Objetivos y procesos'!$C$6:$C$35,0)),INDEX('Objetivos y procesos'!$D$6:$D$35,MATCH($E39,'Objetivos y procesos'!$C$6:$C$35,0)),INDEX('Objetivos y procesos'!$D$6:$D$35,MATCH($E39,'Objetivos y procesos'!$C$6:$C$35,0))&amp;IF(INDEX('Objetivos y procesos'!$E$6:$E$35,MATCH($E39,'Objetivos y procesos'!$C$6:$C$35,0))="",""," / "&amp;INDEX('Objetivos y procesos'!$E$6:$E$35,MATCH($E39,'Objetivos y procesos'!$C$6:$C$35,0))))),"ID no encontrado"))</f>
        <v>Gestión comercial, cotizaciones y órdenes de venta</v>
      </c>
      <c r="G39" s="8" t="s">
        <v>106</v>
      </c>
      <c r="H39" s="5" t="str">
        <f>IF($G39="","",IFERROR(IF(VLOOKUP($G39,Requerimientos!$A$6:$M$43,7,FALSE)="","",VLOOKUP($G39,Requerimientos!$A$6:$M$43,7,FALSE)),"ID no encontrado"))</f>
        <v>El sistema debe permitir que el asistente de vendedor seleccione, al crear una cotización, una nota de venta u otro documento comercial, el SlpCode del vendedor a cuyo nombre se emite, entre los vendedores que tiene asignados en la empresa activa.</v>
      </c>
      <c r="I39" s="7" t="str">
        <f>IF($K39="","",IFERROR(IF(VLOOKUP($K39,'Historias y criterios'!$A$6:$P$83,2,FALSE)="","",VLOOKUP($K39,'Historias y criterios'!$A$6:$P$83,2,FALSE)),"ID no encontrado"))</f>
        <v>HU-009</v>
      </c>
      <c r="J39" s="5" t="str">
        <f>IF($K39="","",IFERROR(IF(VLOOKUP($K39,'Historias y criterios'!$A$6:$P$83,10,FALSE)="","",VLOOKUP($K39,'Historias y criterios'!$A$6:$P$83,10,FALSE)),"ID no encontrado"))</f>
        <v>Como vendedor o asistente de vendedor, quiero crear cotizaciones con varias líneas y el vendedor correspondiente, para presentar una oferta comercial consistente con la empresa activa</v>
      </c>
      <c r="K39" s="8" t="s">
        <v>107</v>
      </c>
      <c r="L39" s="5" t="str">
        <f>IF($K39="","",IFERROR(IF(VLOOKUP($K39,'Historias y criterios'!$A$6:$P$83,11,FALSE)="","",VLOOKUP($K39,'Historias y criterios'!$A$6:$P$83,11,FALSE)),"ID no encontrado"))</f>
        <v>El vendedor usa su SlpCode; el asistente elige solo entre los vendedores asignados en la empresa activa.</v>
      </c>
      <c r="M39" s="8" t="s">
        <v>108</v>
      </c>
      <c r="N39" s="5" t="str">
        <f>IF($M39="","",IFERROR(IF(VLOOKUP($M39,'Casos y evidencias'!$A$6:$O$83,5,FALSE)="","",VLOOKUP($M39,'Casos y evidencias'!$A$6:$O$83,5,FALSE)),"ID no encontrado"))</f>
        <v>Selección del vendedor por parte del asistente</v>
      </c>
      <c r="O39" s="5" t="str">
        <f>IF($M39="","",IFERROR(IF(VLOOKUP($M39,'Casos y evidencias'!$A$6:$O$83,10,FALSE)="","",VLOOKUP($M39,'Casos y evidencias'!$A$6:$O$83,10,FALSE)),"ID no encontrado"))</f>
        <v>No ejecutado</v>
      </c>
      <c r="P39" s="7" t="str">
        <f>IF($M39="","",IFERROR(IF(VLOOKUP($M39,'Casos y evidencias'!$A$6:$O$83,11,FALSE)="","",VLOOKUP($M39,'Casos y evidencias'!$A$6:$O$83,11,FALSE)),"ID no encontrado"))</f>
        <v/>
      </c>
      <c r="Q39" s="5" t="str">
        <f>IF($M39="","",IFERROR(IF(VLOOKUP($M39,'Casos y evidencias'!$A$6:$O$83,12,FALSE)="","",VLOOKUP($M39,'Casos y evidencias'!$A$6:$O$83,12,FALSE)),"ID no encontrado"))</f>
        <v/>
      </c>
      <c r="R39" s="4"/>
    </row>
    <row r="40" spans="1:18" ht="102.6" customHeight="1">
      <c r="A40" s="6">
        <v>33</v>
      </c>
      <c r="B40" s="5" t="str">
        <f>IF($G40="","",IF($K40="","Falta criterio",IFERROR(IF(VLOOKUP($K40,'Historias y criterios'!$A$6:$P$83,3,FALSE)&lt;&gt;$G40,"Revisar relación requisito-criterio",IF($M40="","Falta caso de prueba",IF(VLOOKUP($M40,'Casos y evidencias'!$A$6:$O$83,2,FALSE)&lt;&gt;$K40,"Revisar relación criterio-caso",IF($O40="Aprobado",IF($P40="","Falta evidencia","Trazabilidad completa"),IF($O40="Fallido","Prueba fallida",IF($O40="Bloqueado","Prueba bloqueada","Prueba pendiente")))))),"ID no encontrado")))</f>
        <v>Prueba pendiente</v>
      </c>
      <c r="C40" s="7" t="str">
        <f>IF($G40="","",IFERROR(IF(VLOOKUP($G40,Requerimientos!$A$6:$M$43,2,FALSE)="","",VLOOKUP($G40,Requerimientos!$A$6:$M$43,2,FALSE)),"ID no encontrado"))</f>
        <v>OBJ-003</v>
      </c>
      <c r="D40" s="5" t="str">
        <f>IF($C40="","",IFERROR(IF(VLOOKUP($C40,'Objetivos y procesos'!$A$6:$H$35,2,FALSE)="","",VLOOKUP($C40,'Objetivos y procesos'!$A$6:$H$35,2,FALSE)),"ID no encontrado"))</f>
        <v>Centralizar consultas, cotizaciones y órdenes de venta, aplicando vendedor, comisión, autorización e integración correctos.</v>
      </c>
      <c r="E40" s="7" t="str">
        <f>IF($G40="","",IFERROR(IF(VLOOKUP($G40,Requerimientos!$A$6:$M$43,3,FALSE)="","",VLOOKUP($G40,Requerimientos!$A$6:$M$43,3,FALSE)),"ID no encontrado"))</f>
        <v>PR-03</v>
      </c>
      <c r="F40" s="5" t="str">
        <f>IF($E40="","",IFERROR(IF(INDEX('Objetivos y procesos'!$D$6:$D$35,MATCH($E40,'Objetivos y procesos'!$C$6:$C$35,0))="","",IF(INDEX('Objetivos y procesos'!$D$6:$D$35,MATCH($E40,'Objetivos y procesos'!$C$6:$C$35,0))=INDEX('Objetivos y procesos'!$E$6:$E$35,MATCH($E40,'Objetivos y procesos'!$C$6:$C$35,0)),INDEX('Objetivos y procesos'!$D$6:$D$35,MATCH($E40,'Objetivos y procesos'!$C$6:$C$35,0)),INDEX('Objetivos y procesos'!$D$6:$D$35,MATCH($E40,'Objetivos y procesos'!$C$6:$C$35,0))&amp;IF(INDEX('Objetivos y procesos'!$E$6:$E$35,MATCH($E40,'Objetivos y procesos'!$C$6:$C$35,0))="",""," / "&amp;INDEX('Objetivos y procesos'!$E$6:$E$35,MATCH($E40,'Objetivos y procesos'!$C$6:$C$35,0))))),"ID no encontrado"))</f>
        <v>Gestión comercial, cotizaciones y órdenes de venta</v>
      </c>
      <c r="G40" s="8" t="s">
        <v>106</v>
      </c>
      <c r="H40" s="5" t="str">
        <f>IF($G40="","",IFERROR(IF(VLOOKUP($G40,Requerimientos!$A$6:$M$43,7,FALSE)="","",VLOOKUP($G40,Requerimientos!$A$6:$M$43,7,FALSE)),"ID no encontrado"))</f>
        <v>El sistema debe permitir que el asistente de vendedor seleccione, al crear una cotización, una nota de venta u otro documento comercial, el SlpCode del vendedor a cuyo nombre se emite, entre los vendedores que tiene asignados en la empresa activa.</v>
      </c>
      <c r="I40" s="7" t="str">
        <f>IF($K40="","",IFERROR(IF(VLOOKUP($K40,'Historias y criterios'!$A$6:$P$83,2,FALSE)="","",VLOOKUP($K40,'Historias y criterios'!$A$6:$P$83,2,FALSE)),"ID no encontrado"))</f>
        <v>HU-009</v>
      </c>
      <c r="J40" s="5" t="str">
        <f>IF($K40="","",IFERROR(IF(VLOOKUP($K40,'Historias y criterios'!$A$6:$P$83,10,FALSE)="","",VLOOKUP($K40,'Historias y criterios'!$A$6:$P$83,10,FALSE)),"ID no encontrado"))</f>
        <v>Como vendedor o asistente de vendedor, quiero crear cotizaciones con varias líneas y el vendedor correspondiente, para presentar una oferta comercial consistente con la empresa activa</v>
      </c>
      <c r="K40" s="8" t="s">
        <v>109</v>
      </c>
      <c r="L40" s="5" t="str">
        <f>IF($K40="","",IFERROR(IF(VLOOKUP($K40,'Historias y criterios'!$A$6:$P$83,11,FALSE)="","",VLOOKUP($K40,'Historias y criterios'!$A$6:$P$83,11,FALSE)),"ID no encontrado"))</f>
        <v>Se registra tanto al creador como al vendedor del documento.</v>
      </c>
      <c r="M40" s="8" t="s">
        <v>110</v>
      </c>
      <c r="N40" s="5" t="str">
        <f>IF($M40="","",IFERROR(IF(VLOOKUP($M40,'Casos y evidencias'!$A$6:$O$83,5,FALSE)="","",VLOOKUP($M40,'Casos y evidencias'!$A$6:$O$83,5,FALSE)),"ID no encontrado"))</f>
        <v>Registro de creador y vendedor del documento</v>
      </c>
      <c r="O40" s="5" t="str">
        <f>IF($M40="","",IFERROR(IF(VLOOKUP($M40,'Casos y evidencias'!$A$6:$O$83,10,FALSE)="","",VLOOKUP($M40,'Casos y evidencias'!$A$6:$O$83,10,FALSE)),"ID no encontrado"))</f>
        <v>No ejecutado</v>
      </c>
      <c r="P40" s="7" t="str">
        <f>IF($M40="","",IFERROR(IF(VLOOKUP($M40,'Casos y evidencias'!$A$6:$O$83,11,FALSE)="","",VLOOKUP($M40,'Casos y evidencias'!$A$6:$O$83,11,FALSE)),"ID no encontrado"))</f>
        <v/>
      </c>
      <c r="Q40" s="5" t="str">
        <f>IF($M40="","",IFERROR(IF(VLOOKUP($M40,'Casos y evidencias'!$A$6:$O$83,12,FALSE)="","",VLOOKUP($M40,'Casos y evidencias'!$A$6:$O$83,12,FALSE)),"ID no encontrado"))</f>
        <v/>
      </c>
      <c r="R40" s="4"/>
    </row>
    <row r="41" spans="1:18" ht="102.6" customHeight="1">
      <c r="A41" s="6">
        <v>34</v>
      </c>
      <c r="B41" s="5" t="str">
        <f>IF($G41="","",IF($K41="","Falta criterio",IFERROR(IF(VLOOKUP($K41,'Historias y criterios'!$A$6:$P$83,3,FALSE)&lt;&gt;$G41,"Revisar relación requisito-criterio",IF($M41="","Falta caso de prueba",IF(VLOOKUP($M41,'Casos y evidencias'!$A$6:$O$83,2,FALSE)&lt;&gt;$K41,"Revisar relación criterio-caso",IF($O41="Aprobado",IF($P41="","Falta evidencia","Trazabilidad completa"),IF($O41="Fallido","Prueba fallida",IF($O41="Bloqueado","Prueba bloqueada","Prueba pendiente")))))),"ID no encontrado")))</f>
        <v>Prueba pendiente</v>
      </c>
      <c r="C41" s="7" t="str">
        <f>IF($G41="","",IFERROR(IF(VLOOKUP($G41,Requerimientos!$A$6:$M$43,2,FALSE)="","",VLOOKUP($G41,Requerimientos!$A$6:$M$43,2,FALSE)),"ID no encontrado"))</f>
        <v>OBJ-003</v>
      </c>
      <c r="D41" s="5" t="str">
        <f>IF($C41="","",IFERROR(IF(VLOOKUP($C41,'Objetivos y procesos'!$A$6:$H$35,2,FALSE)="","",VLOOKUP($C41,'Objetivos y procesos'!$A$6:$H$35,2,FALSE)),"ID no encontrado"))</f>
        <v>Centralizar consultas, cotizaciones y órdenes de venta, aplicando vendedor, comisión, autorización e integración correctos.</v>
      </c>
      <c r="E41" s="7" t="str">
        <f>IF($G41="","",IFERROR(IF(VLOOKUP($G41,Requerimientos!$A$6:$M$43,3,FALSE)="","",VLOOKUP($G41,Requerimientos!$A$6:$M$43,3,FALSE)),"ID no encontrado"))</f>
        <v>PR-03</v>
      </c>
      <c r="F41" s="5" t="str">
        <f>IF($E41="","",IFERROR(IF(INDEX('Objetivos y procesos'!$D$6:$D$35,MATCH($E41,'Objetivos y procesos'!$C$6:$C$35,0))="","",IF(INDEX('Objetivos y procesos'!$D$6:$D$35,MATCH($E41,'Objetivos y procesos'!$C$6:$C$35,0))=INDEX('Objetivos y procesos'!$E$6:$E$35,MATCH($E41,'Objetivos y procesos'!$C$6:$C$35,0)),INDEX('Objetivos y procesos'!$D$6:$D$35,MATCH($E41,'Objetivos y procesos'!$C$6:$C$35,0)),INDEX('Objetivos y procesos'!$D$6:$D$35,MATCH($E41,'Objetivos y procesos'!$C$6:$C$35,0))&amp;IF(INDEX('Objetivos y procesos'!$E$6:$E$35,MATCH($E41,'Objetivos y procesos'!$C$6:$C$35,0))="",""," / "&amp;INDEX('Objetivos y procesos'!$E$6:$E$35,MATCH($E41,'Objetivos y procesos'!$C$6:$C$35,0))))),"ID no encontrado"))</f>
        <v>Gestión comercial, cotizaciones y órdenes de venta</v>
      </c>
      <c r="G41" s="8" t="s">
        <v>106</v>
      </c>
      <c r="H41" s="5" t="str">
        <f>IF($G41="","",IFERROR(IF(VLOOKUP($G41,Requerimientos!$A$6:$M$43,7,FALSE)="","",VLOOKUP($G41,Requerimientos!$A$6:$M$43,7,FALSE)),"ID no encontrado"))</f>
        <v>El sistema debe permitir que el asistente de vendedor seleccione, al crear una cotización, una nota de venta u otro documento comercial, el SlpCode del vendedor a cuyo nombre se emite, entre los vendedores que tiene asignados en la empresa activa.</v>
      </c>
      <c r="I41" s="7" t="str">
        <f>IF($K41="","",IFERROR(IF(VLOOKUP($K41,'Historias y criterios'!$A$6:$P$83,2,FALSE)="","",VLOOKUP($K41,'Historias y criterios'!$A$6:$P$83,2,FALSE)),"ID no encontrado"))</f>
        <v>HU-009</v>
      </c>
      <c r="J41" s="5" t="str">
        <f>IF($K41="","",IFERROR(IF(VLOOKUP($K41,'Historias y criterios'!$A$6:$P$83,10,FALSE)="","",VLOOKUP($K41,'Historias y criterios'!$A$6:$P$83,10,FALSE)),"ID no encontrado"))</f>
        <v>Como vendedor o asistente de vendedor, quiero crear cotizaciones con varias líneas y el vendedor correspondiente, para presentar una oferta comercial consistente con la empresa activa</v>
      </c>
      <c r="K41" s="8" t="s">
        <v>111</v>
      </c>
      <c r="L41" s="5" t="str">
        <f>IF($K41="","",IFERROR(IF(VLOOKUP($K41,'Historias y criterios'!$A$6:$P$83,11,FALSE)="","",VLOOKUP($K41,'Historias y criterios'!$A$6:$P$83,11,FALSE)),"ID no encontrado"))</f>
        <v>La comisión se calcula con la escala del vendedor o con la predeterminada si no tiene una asignada.</v>
      </c>
      <c r="M41" s="8" t="s">
        <v>112</v>
      </c>
      <c r="N41" s="5" t="str">
        <f>IF($M41="","",IFERROR(IF(VLOOKUP($M41,'Casos y evidencias'!$A$6:$O$83,5,FALSE)="","",VLOOKUP($M41,'Casos y evidencias'!$A$6:$O$83,5,FALSE)),"ID no encontrado"))</f>
        <v>Cálculo de comisión según escala</v>
      </c>
      <c r="O41" s="5" t="str">
        <f>IF($M41="","",IFERROR(IF(VLOOKUP($M41,'Casos y evidencias'!$A$6:$O$83,10,FALSE)="","",VLOOKUP($M41,'Casos y evidencias'!$A$6:$O$83,10,FALSE)),"ID no encontrado"))</f>
        <v>No ejecutado</v>
      </c>
      <c r="P41" s="7" t="str">
        <f>IF($M41="","",IFERROR(IF(VLOOKUP($M41,'Casos y evidencias'!$A$6:$O$83,11,FALSE)="","",VLOOKUP($M41,'Casos y evidencias'!$A$6:$O$83,11,FALSE)),"ID no encontrado"))</f>
        <v/>
      </c>
      <c r="Q41" s="5" t="str">
        <f>IF($M41="","",IFERROR(IF(VLOOKUP($M41,'Casos y evidencias'!$A$6:$O$83,12,FALSE)="","",VLOOKUP($M41,'Casos y evidencias'!$A$6:$O$83,12,FALSE)),"ID no encontrado"))</f>
        <v/>
      </c>
      <c r="R41" s="4"/>
    </row>
    <row r="42" spans="1:18" ht="75.599999999999994" customHeight="1">
      <c r="A42" s="6">
        <v>35</v>
      </c>
      <c r="B42" s="5" t="str">
        <f>IF($G42="","",IF($K42="","Falta criterio",IFERROR(IF(VLOOKUP($K42,'Historias y criterios'!$A$6:$P$83,3,FALSE)&lt;&gt;$G42,"Revisar relación requisito-criterio",IF($M42="","Falta caso de prueba",IF(VLOOKUP($M42,'Casos y evidencias'!$A$6:$O$83,2,FALSE)&lt;&gt;$K42,"Revisar relación criterio-caso",IF($O42="Aprobado",IF($P42="","Falta evidencia","Trazabilidad completa"),IF($O42="Fallido","Prueba fallida",IF($O42="Bloqueado","Prueba bloqueada","Prueba pendiente")))))),"ID no encontrado")))</f>
        <v>Prueba pendiente</v>
      </c>
      <c r="C42" s="7" t="str">
        <f>IF($G42="","",IFERROR(IF(VLOOKUP($G42,Requerimientos!$A$6:$M$43,2,FALSE)="","",VLOOKUP($G42,Requerimientos!$A$6:$M$43,2,FALSE)),"ID no encontrado"))</f>
        <v>OBJ-003</v>
      </c>
      <c r="D42" s="5" t="str">
        <f>IF($C42="","",IFERROR(IF(VLOOKUP($C42,'Objetivos y procesos'!$A$6:$H$35,2,FALSE)="","",VLOOKUP($C42,'Objetivos y procesos'!$A$6:$H$35,2,FALSE)),"ID no encontrado"))</f>
        <v>Centralizar consultas, cotizaciones y órdenes de venta, aplicando vendedor, comisión, autorización e integración correctos.</v>
      </c>
      <c r="E42" s="7" t="str">
        <f>IF($G42="","",IFERROR(IF(VLOOKUP($G42,Requerimientos!$A$6:$M$43,3,FALSE)="","",VLOOKUP($G42,Requerimientos!$A$6:$M$43,3,FALSE)),"ID no encontrado"))</f>
        <v>PR-03</v>
      </c>
      <c r="F42" s="5" t="str">
        <f>IF($E42="","",IFERROR(IF(INDEX('Objetivos y procesos'!$D$6:$D$35,MATCH($E42,'Objetivos y procesos'!$C$6:$C$35,0))="","",IF(INDEX('Objetivos y procesos'!$D$6:$D$35,MATCH($E42,'Objetivos y procesos'!$C$6:$C$35,0))=INDEX('Objetivos y procesos'!$E$6:$E$35,MATCH($E42,'Objetivos y procesos'!$C$6:$C$35,0)),INDEX('Objetivos y procesos'!$D$6:$D$35,MATCH($E42,'Objetivos y procesos'!$C$6:$C$35,0)),INDEX('Objetivos y procesos'!$D$6:$D$35,MATCH($E42,'Objetivos y procesos'!$C$6:$C$35,0))&amp;IF(INDEX('Objetivos y procesos'!$E$6:$E$35,MATCH($E42,'Objetivos y procesos'!$C$6:$C$35,0))="",""," / "&amp;INDEX('Objetivos y procesos'!$E$6:$E$35,MATCH($E42,'Objetivos y procesos'!$C$6:$C$35,0))))),"ID no encontrado"))</f>
        <v>Gestión comercial, cotizaciones y órdenes de venta</v>
      </c>
      <c r="G42" s="8" t="s">
        <v>113</v>
      </c>
      <c r="H42" s="5" t="str">
        <f>IF($G42="","",IFERROR(IF(VLOOKUP($G42,Requerimientos!$A$6:$M$43,7,FALSE)="","",VLOOKUP($G42,Requerimientos!$A$6:$M$43,7,FALSE)),"ID no encontrado"))</f>
        <v>El sistema debe permitir generar el documento de la cotización en formato imprimible o descargable.</v>
      </c>
      <c r="I42" s="7" t="str">
        <f>IF($K42="","",IFERROR(IF(VLOOKUP($K42,'Historias y criterios'!$A$6:$P$83,2,FALSE)="","",VLOOKUP($K42,'Historias y criterios'!$A$6:$P$83,2,FALSE)),"ID no encontrado"))</f>
        <v>HU-010</v>
      </c>
      <c r="J42" s="5" t="str">
        <f>IF($K42="","",IFERROR(IF(VLOOKUP($K42,'Historias y criterios'!$A$6:$P$83,10,FALSE)="","",VLOOKUP($K42,'Historias y criterios'!$A$6:$P$83,10,FALSE)),"ID no encontrado"))</f>
        <v>Como vendedor, quiero descargar la cotización y convertir una cotización aceptada en solicitud de orden de venta, para continuar el proceso comercial sin volver a ingresar sus datos</v>
      </c>
      <c r="K42" s="8" t="s">
        <v>114</v>
      </c>
      <c r="L42" s="5" t="str">
        <f>IF($K42="","",IFERROR(IF(VLOOKUP($K42,'Historias y criterios'!$A$6:$P$83,11,FALSE)="","",VLOOKUP($K42,'Historias y criterios'!$A$6:$P$83,11,FALSE)),"ID no encontrado"))</f>
        <v>La cotización puede generarse en un formato imprimible o descargable.</v>
      </c>
      <c r="M42" s="8" t="s">
        <v>115</v>
      </c>
      <c r="N42" s="5" t="str">
        <f>IF($M42="","",IFERROR(IF(VLOOKUP($M42,'Casos y evidencias'!$A$6:$O$83,5,FALSE)="","",VLOOKUP($M42,'Casos y evidencias'!$A$6:$O$83,5,FALSE)),"ID no encontrado"))</f>
        <v>Generación de cotización imprimible</v>
      </c>
      <c r="O42" s="5" t="str">
        <f>IF($M42="","",IFERROR(IF(VLOOKUP($M42,'Casos y evidencias'!$A$6:$O$83,10,FALSE)="","",VLOOKUP($M42,'Casos y evidencias'!$A$6:$O$83,10,FALSE)),"ID no encontrado"))</f>
        <v>No ejecutado</v>
      </c>
      <c r="P42" s="7" t="str">
        <f>IF($M42="","",IFERROR(IF(VLOOKUP($M42,'Casos y evidencias'!$A$6:$O$83,11,FALSE)="","",VLOOKUP($M42,'Casos y evidencias'!$A$6:$O$83,11,FALSE)),"ID no encontrado"))</f>
        <v/>
      </c>
      <c r="Q42" s="5" t="str">
        <f>IF($M42="","",IFERROR(IF(VLOOKUP($M42,'Casos y evidencias'!$A$6:$O$83,12,FALSE)="","",VLOOKUP($M42,'Casos y evidencias'!$A$6:$O$83,12,FALSE)),"ID no encontrado"))</f>
        <v/>
      </c>
      <c r="R42" s="4"/>
    </row>
    <row r="43" spans="1:18" ht="75.599999999999994" customHeight="1">
      <c r="A43" s="6">
        <v>36</v>
      </c>
      <c r="B43" s="5" t="str">
        <f>IF($G43="","",IF($K43="","Falta criterio",IFERROR(IF(VLOOKUP($K43,'Historias y criterios'!$A$6:$P$83,3,FALSE)&lt;&gt;$G43,"Revisar relación requisito-criterio",IF($M43="","Falta caso de prueba",IF(VLOOKUP($M43,'Casos y evidencias'!$A$6:$O$83,2,FALSE)&lt;&gt;$K43,"Revisar relación criterio-caso",IF($O43="Aprobado",IF($P43="","Falta evidencia","Trazabilidad completa"),IF($O43="Fallido","Prueba fallida",IF($O43="Bloqueado","Prueba bloqueada","Prueba pendiente")))))),"ID no encontrado")))</f>
        <v>Prueba pendiente</v>
      </c>
      <c r="C43" s="7" t="str">
        <f>IF($G43="","",IFERROR(IF(VLOOKUP($G43,Requerimientos!$A$6:$M$43,2,FALSE)="","",VLOOKUP($G43,Requerimientos!$A$6:$M$43,2,FALSE)),"ID no encontrado"))</f>
        <v>OBJ-003</v>
      </c>
      <c r="D43" s="5" t="str">
        <f>IF($C43="","",IFERROR(IF(VLOOKUP($C43,'Objetivos y procesos'!$A$6:$H$35,2,FALSE)="","",VLOOKUP($C43,'Objetivos y procesos'!$A$6:$H$35,2,FALSE)),"ID no encontrado"))</f>
        <v>Centralizar consultas, cotizaciones y órdenes de venta, aplicando vendedor, comisión, autorización e integración correctos.</v>
      </c>
      <c r="E43" s="7" t="str">
        <f>IF($G43="","",IFERROR(IF(VLOOKUP($G43,Requerimientos!$A$6:$M$43,3,FALSE)="","",VLOOKUP($G43,Requerimientos!$A$6:$M$43,3,FALSE)),"ID no encontrado"))</f>
        <v>PR-03</v>
      </c>
      <c r="F43" s="5" t="str">
        <f>IF($E43="","",IFERROR(IF(INDEX('Objetivos y procesos'!$D$6:$D$35,MATCH($E43,'Objetivos y procesos'!$C$6:$C$35,0))="","",IF(INDEX('Objetivos y procesos'!$D$6:$D$35,MATCH($E43,'Objetivos y procesos'!$C$6:$C$35,0))=INDEX('Objetivos y procesos'!$E$6:$E$35,MATCH($E43,'Objetivos y procesos'!$C$6:$C$35,0)),INDEX('Objetivos y procesos'!$D$6:$D$35,MATCH($E43,'Objetivos y procesos'!$C$6:$C$35,0)),INDEX('Objetivos y procesos'!$D$6:$D$35,MATCH($E43,'Objetivos y procesos'!$C$6:$C$35,0))&amp;IF(INDEX('Objetivos y procesos'!$E$6:$E$35,MATCH($E43,'Objetivos y procesos'!$C$6:$C$35,0))="",""," / "&amp;INDEX('Objetivos y procesos'!$E$6:$E$35,MATCH($E43,'Objetivos y procesos'!$C$6:$C$35,0))))),"ID no encontrado"))</f>
        <v>Gestión comercial, cotizaciones y órdenes de venta</v>
      </c>
      <c r="G43" s="8" t="s">
        <v>116</v>
      </c>
      <c r="H43" s="5" t="str">
        <f>IF($G43="","",IFERROR(IF(VLOOKUP($G43,Requerimientos!$A$6:$M$43,7,FALSE)="","",VLOOKUP($G43,Requerimientos!$A$6:$M$43,7,FALSE)),"ID no encontrado"))</f>
        <v>El sistema debe permitir convertir una cotización aceptada por el cliente en una solicitud de orden de venta.</v>
      </c>
      <c r="I43" s="7" t="str">
        <f>IF($K43="","",IFERROR(IF(VLOOKUP($K43,'Historias y criterios'!$A$6:$P$83,2,FALSE)="","",VLOOKUP($K43,'Historias y criterios'!$A$6:$P$83,2,FALSE)),"ID no encontrado"))</f>
        <v>HU-010</v>
      </c>
      <c r="J43" s="5" t="str">
        <f>IF($K43="","",IFERROR(IF(VLOOKUP($K43,'Historias y criterios'!$A$6:$P$83,10,FALSE)="","",VLOOKUP($K43,'Historias y criterios'!$A$6:$P$83,10,FALSE)),"ID no encontrado"))</f>
        <v>Como vendedor, quiero descargar la cotización y convertir una cotización aceptada en solicitud de orden de venta, para continuar el proceso comercial sin volver a ingresar sus datos</v>
      </c>
      <c r="K43" s="8" t="s">
        <v>117</v>
      </c>
      <c r="L43" s="5" t="str">
        <f>IF($K43="","",IFERROR(IF(VLOOKUP($K43,'Historias y criterios'!$A$6:$P$83,11,FALSE)="","",VLOOKUP($K43,'Historias y criterios'!$A$6:$P$83,11,FALSE)),"ID no encontrado"))</f>
        <v>Solo una cotización abierta y aceptada puede convertirse.</v>
      </c>
      <c r="M43" s="8" t="s">
        <v>118</v>
      </c>
      <c r="N43" s="5" t="str">
        <f>IF($M43="","",IFERROR(IF(VLOOKUP($M43,'Casos y evidencias'!$A$6:$O$83,5,FALSE)="","",VLOOKUP($M43,'Casos y evidencias'!$A$6:$O$83,5,FALSE)),"ID no encontrado"))</f>
        <v>Conversión solo de cotizaciones abiertas y aceptadas</v>
      </c>
      <c r="O43" s="5" t="str">
        <f>IF($M43="","",IFERROR(IF(VLOOKUP($M43,'Casos y evidencias'!$A$6:$O$83,10,FALSE)="","",VLOOKUP($M43,'Casos y evidencias'!$A$6:$O$83,10,FALSE)),"ID no encontrado"))</f>
        <v>No ejecutado</v>
      </c>
      <c r="P43" s="7" t="str">
        <f>IF($M43="","",IFERROR(IF(VLOOKUP($M43,'Casos y evidencias'!$A$6:$O$83,11,FALSE)="","",VLOOKUP($M43,'Casos y evidencias'!$A$6:$O$83,11,FALSE)),"ID no encontrado"))</f>
        <v/>
      </c>
      <c r="Q43" s="5" t="str">
        <f>IF($M43="","",IFERROR(IF(VLOOKUP($M43,'Casos y evidencias'!$A$6:$O$83,12,FALSE)="","",VLOOKUP($M43,'Casos y evidencias'!$A$6:$O$83,12,FALSE)),"ID no encontrado"))</f>
        <v/>
      </c>
      <c r="R43" s="4"/>
    </row>
    <row r="44" spans="1:18" ht="75.599999999999994" customHeight="1">
      <c r="A44" s="6">
        <v>37</v>
      </c>
      <c r="B44" s="5" t="str">
        <f>IF($G44="","",IF($K44="","Falta criterio",IFERROR(IF(VLOOKUP($K44,'Historias y criterios'!$A$6:$P$83,3,FALSE)&lt;&gt;$G44,"Revisar relación requisito-criterio",IF($M44="","Falta caso de prueba",IF(VLOOKUP($M44,'Casos y evidencias'!$A$6:$O$83,2,FALSE)&lt;&gt;$K44,"Revisar relación criterio-caso",IF($O44="Aprobado",IF($P44="","Falta evidencia","Trazabilidad completa"),IF($O44="Fallido","Prueba fallida",IF($O44="Bloqueado","Prueba bloqueada","Prueba pendiente")))))),"ID no encontrado")))</f>
        <v>Prueba pendiente</v>
      </c>
      <c r="C44" s="7" t="str">
        <f>IF($G44="","",IFERROR(IF(VLOOKUP($G44,Requerimientos!$A$6:$M$43,2,FALSE)="","",VLOOKUP($G44,Requerimientos!$A$6:$M$43,2,FALSE)),"ID no encontrado"))</f>
        <v>OBJ-003</v>
      </c>
      <c r="D44" s="5" t="str">
        <f>IF($C44="","",IFERROR(IF(VLOOKUP($C44,'Objetivos y procesos'!$A$6:$H$35,2,FALSE)="","",VLOOKUP($C44,'Objetivos y procesos'!$A$6:$H$35,2,FALSE)),"ID no encontrado"))</f>
        <v>Centralizar consultas, cotizaciones y órdenes de venta, aplicando vendedor, comisión, autorización e integración correctos.</v>
      </c>
      <c r="E44" s="7" t="str">
        <f>IF($G44="","",IFERROR(IF(VLOOKUP($G44,Requerimientos!$A$6:$M$43,3,FALSE)="","",VLOOKUP($G44,Requerimientos!$A$6:$M$43,3,FALSE)),"ID no encontrado"))</f>
        <v>PR-03</v>
      </c>
      <c r="F44" s="5" t="str">
        <f>IF($E44="","",IFERROR(IF(INDEX('Objetivos y procesos'!$D$6:$D$35,MATCH($E44,'Objetivos y procesos'!$C$6:$C$35,0))="","",IF(INDEX('Objetivos y procesos'!$D$6:$D$35,MATCH($E44,'Objetivos y procesos'!$C$6:$C$35,0))=INDEX('Objetivos y procesos'!$E$6:$E$35,MATCH($E44,'Objetivos y procesos'!$C$6:$C$35,0)),INDEX('Objetivos y procesos'!$D$6:$D$35,MATCH($E44,'Objetivos y procesos'!$C$6:$C$35,0)),INDEX('Objetivos y procesos'!$D$6:$D$35,MATCH($E44,'Objetivos y procesos'!$C$6:$C$35,0))&amp;IF(INDEX('Objetivos y procesos'!$E$6:$E$35,MATCH($E44,'Objetivos y procesos'!$C$6:$C$35,0))="",""," / "&amp;INDEX('Objetivos y procesos'!$E$6:$E$35,MATCH($E44,'Objetivos y procesos'!$C$6:$C$35,0))))),"ID no encontrado"))</f>
        <v>Gestión comercial, cotizaciones y órdenes de venta</v>
      </c>
      <c r="G44" s="8" t="s">
        <v>116</v>
      </c>
      <c r="H44" s="5" t="str">
        <f>IF($G44="","",IFERROR(IF(VLOOKUP($G44,Requerimientos!$A$6:$M$43,7,FALSE)="","",VLOOKUP($G44,Requerimientos!$A$6:$M$43,7,FALSE)),"ID no encontrado"))</f>
        <v>El sistema debe permitir convertir una cotización aceptada por el cliente en una solicitud de orden de venta.</v>
      </c>
      <c r="I44" s="7" t="str">
        <f>IF($K44="","",IFERROR(IF(VLOOKUP($K44,'Historias y criterios'!$A$6:$P$83,2,FALSE)="","",VLOOKUP($K44,'Historias y criterios'!$A$6:$P$83,2,FALSE)),"ID no encontrado"))</f>
        <v>HU-010</v>
      </c>
      <c r="J44" s="5" t="str">
        <f>IF($K44="","",IFERROR(IF(VLOOKUP($K44,'Historias y criterios'!$A$6:$P$83,10,FALSE)="","",VLOOKUP($K44,'Historias y criterios'!$A$6:$P$83,10,FALSE)),"ID no encontrado"))</f>
        <v>Como vendedor, quiero descargar la cotización y convertir una cotización aceptada en solicitud de orden de venta, para continuar el proceso comercial sin volver a ingresar sus datos</v>
      </c>
      <c r="K44" s="8" t="s">
        <v>119</v>
      </c>
      <c r="L44" s="5" t="str">
        <f>IF($K44="","",IFERROR(IF(VLOOKUP($K44,'Historias y criterios'!$A$6:$P$83,11,FALSE)="","",VLOOKUP($K44,'Historias y criterios'!$A$6:$P$83,11,FALSE)),"ID no encontrado"))</f>
        <v>La solicitud hereda cliente, líneas y condiciones, y conserva el vínculo con la cotización.</v>
      </c>
      <c r="M44" s="8" t="s">
        <v>120</v>
      </c>
      <c r="N44" s="5" t="str">
        <f>IF($M44="","",IFERROR(IF(VLOOKUP($M44,'Casos y evidencias'!$A$6:$O$83,5,FALSE)="","",VLOOKUP($M44,'Casos y evidencias'!$A$6:$O$83,5,FALSE)),"ID no encontrado"))</f>
        <v>Herencia de datos y vínculo con la cotización</v>
      </c>
      <c r="O44" s="5" t="str">
        <f>IF($M44="","",IFERROR(IF(VLOOKUP($M44,'Casos y evidencias'!$A$6:$O$83,10,FALSE)="","",VLOOKUP($M44,'Casos y evidencias'!$A$6:$O$83,10,FALSE)),"ID no encontrado"))</f>
        <v>No ejecutado</v>
      </c>
      <c r="P44" s="7" t="str">
        <f>IF($M44="","",IFERROR(IF(VLOOKUP($M44,'Casos y evidencias'!$A$6:$O$83,11,FALSE)="","",VLOOKUP($M44,'Casos y evidencias'!$A$6:$O$83,11,FALSE)),"ID no encontrado"))</f>
        <v/>
      </c>
      <c r="Q44" s="5" t="str">
        <f>IF($M44="","",IFERROR(IF(VLOOKUP($M44,'Casos y evidencias'!$A$6:$O$83,12,FALSE)="","",VLOOKUP($M44,'Casos y evidencias'!$A$6:$O$83,12,FALSE)),"ID no encontrado"))</f>
        <v/>
      </c>
      <c r="R44" s="4"/>
    </row>
    <row r="45" spans="1:18" ht="75.599999999999994" customHeight="1">
      <c r="A45" s="6">
        <v>38</v>
      </c>
      <c r="B45" s="5" t="str">
        <f>IF($G45="","",IF($K45="","Falta criterio",IFERROR(IF(VLOOKUP($K45,'Historias y criterios'!$A$6:$P$83,3,FALSE)&lt;&gt;$G45,"Revisar relación requisito-criterio",IF($M45="","Falta caso de prueba",IF(VLOOKUP($M45,'Casos y evidencias'!$A$6:$O$83,2,FALSE)&lt;&gt;$K45,"Revisar relación criterio-caso",IF($O45="Aprobado",IF($P45="","Falta evidencia","Trazabilidad completa"),IF($O45="Fallido","Prueba fallida",IF($O45="Bloqueado","Prueba bloqueada","Prueba pendiente")))))),"ID no encontrado")))</f>
        <v>Prueba pendiente</v>
      </c>
      <c r="C45" s="7" t="str">
        <f>IF($G45="","",IFERROR(IF(VLOOKUP($G45,Requerimientos!$A$6:$M$43,2,FALSE)="","",VLOOKUP($G45,Requerimientos!$A$6:$M$43,2,FALSE)),"ID no encontrado"))</f>
        <v>OBJ-003</v>
      </c>
      <c r="D45" s="5" t="str">
        <f>IF($C45="","",IFERROR(IF(VLOOKUP($C45,'Objetivos y procesos'!$A$6:$H$35,2,FALSE)="","",VLOOKUP($C45,'Objetivos y procesos'!$A$6:$H$35,2,FALSE)),"ID no encontrado"))</f>
        <v>Centralizar consultas, cotizaciones y órdenes de venta, aplicando vendedor, comisión, autorización e integración correctos.</v>
      </c>
      <c r="E45" s="7" t="str">
        <f>IF($G45="","",IFERROR(IF(VLOOKUP($G45,Requerimientos!$A$6:$M$43,3,FALSE)="","",VLOOKUP($G45,Requerimientos!$A$6:$M$43,3,FALSE)),"ID no encontrado"))</f>
        <v>PR-03</v>
      </c>
      <c r="F45" s="5" t="str">
        <f>IF($E45="","",IFERROR(IF(INDEX('Objetivos y procesos'!$D$6:$D$35,MATCH($E45,'Objetivos y procesos'!$C$6:$C$35,0))="","",IF(INDEX('Objetivos y procesos'!$D$6:$D$35,MATCH($E45,'Objetivos y procesos'!$C$6:$C$35,0))=INDEX('Objetivos y procesos'!$E$6:$E$35,MATCH($E45,'Objetivos y procesos'!$C$6:$C$35,0)),INDEX('Objetivos y procesos'!$D$6:$D$35,MATCH($E45,'Objetivos y procesos'!$C$6:$C$35,0)),INDEX('Objetivos y procesos'!$D$6:$D$35,MATCH($E45,'Objetivos y procesos'!$C$6:$C$35,0))&amp;IF(INDEX('Objetivos y procesos'!$E$6:$E$35,MATCH($E45,'Objetivos y procesos'!$C$6:$C$35,0))="",""," / "&amp;INDEX('Objetivos y procesos'!$E$6:$E$35,MATCH($E45,'Objetivos y procesos'!$C$6:$C$35,0))))),"ID no encontrado"))</f>
        <v>Gestión comercial, cotizaciones y órdenes de venta</v>
      </c>
      <c r="G45" s="8" t="s">
        <v>116</v>
      </c>
      <c r="H45" s="5" t="str">
        <f>IF($G45="","",IFERROR(IF(VLOOKUP($G45,Requerimientos!$A$6:$M$43,7,FALSE)="","",VLOOKUP($G45,Requerimientos!$A$6:$M$43,7,FALSE)),"ID no encontrado"))</f>
        <v>El sistema debe permitir convertir una cotización aceptada por el cliente en una solicitud de orden de venta.</v>
      </c>
      <c r="I45" s="7" t="str">
        <f>IF($K45="","",IFERROR(IF(VLOOKUP($K45,'Historias y criterios'!$A$6:$P$83,2,FALSE)="","",VLOOKUP($K45,'Historias y criterios'!$A$6:$P$83,2,FALSE)),"ID no encontrado"))</f>
        <v>HU-010</v>
      </c>
      <c r="J45" s="5" t="str">
        <f>IF($K45="","",IFERROR(IF(VLOOKUP($K45,'Historias y criterios'!$A$6:$P$83,10,FALSE)="","",VLOOKUP($K45,'Historias y criterios'!$A$6:$P$83,10,FALSE)),"ID no encontrado"))</f>
        <v>Como vendedor, quiero descargar la cotización y convertir una cotización aceptada en solicitud de orden de venta, para continuar el proceso comercial sin volver a ingresar sus datos</v>
      </c>
      <c r="K45" s="8" t="s">
        <v>121</v>
      </c>
      <c r="L45" s="5" t="str">
        <f>IF($K45="","",IFERROR(IF(VLOOKUP($K45,'Historias y criterios'!$A$6:$P$83,11,FALSE)="","",VLOOKUP($K45,'Historias y criterios'!$A$6:$P$83,11,FALSE)),"ID no encontrado"))</f>
        <v>Se impide continuar si el cliente está bloqueado.</v>
      </c>
      <c r="M45" s="8" t="s">
        <v>122</v>
      </c>
      <c r="N45" s="5" t="str">
        <f>IF($M45="","",IFERROR(IF(VLOOKUP($M45,'Casos y evidencias'!$A$6:$O$83,5,FALSE)="","",VLOOKUP($M45,'Casos y evidencias'!$A$6:$O$83,5,FALSE)),"ID no encontrado"))</f>
        <v>Bloqueo por cliente bloqueado</v>
      </c>
      <c r="O45" s="5" t="str">
        <f>IF($M45="","",IFERROR(IF(VLOOKUP($M45,'Casos y evidencias'!$A$6:$O$83,10,FALSE)="","",VLOOKUP($M45,'Casos y evidencias'!$A$6:$O$83,10,FALSE)),"ID no encontrado"))</f>
        <v>No ejecutado</v>
      </c>
      <c r="P45" s="7" t="str">
        <f>IF($M45="","",IFERROR(IF(VLOOKUP($M45,'Casos y evidencias'!$A$6:$O$83,11,FALSE)="","",VLOOKUP($M45,'Casos y evidencias'!$A$6:$O$83,11,FALSE)),"ID no encontrado"))</f>
        <v/>
      </c>
      <c r="Q45" s="5" t="str">
        <f>IF($M45="","",IFERROR(IF(VLOOKUP($M45,'Casos y evidencias'!$A$6:$O$83,12,FALSE)="","",VLOOKUP($M45,'Casos y evidencias'!$A$6:$O$83,12,FALSE)),"ID no encontrado"))</f>
        <v/>
      </c>
      <c r="R45" s="4"/>
    </row>
    <row r="46" spans="1:18" ht="75.599999999999994" customHeight="1">
      <c r="A46" s="6">
        <v>39</v>
      </c>
      <c r="B46" s="5" t="str">
        <f>IF($G46="","",IF($K46="","Falta criterio",IFERROR(IF(VLOOKUP($K46,'Historias y criterios'!$A$6:$P$83,3,FALSE)&lt;&gt;$G46,"Revisar relación requisito-criterio",IF($M46="","Falta caso de prueba",IF(VLOOKUP($M46,'Casos y evidencias'!$A$6:$O$83,2,FALSE)&lt;&gt;$K46,"Revisar relación criterio-caso",IF($O46="Aprobado",IF($P46="","Falta evidencia","Trazabilidad completa"),IF($O46="Fallido","Prueba fallida",IF($O46="Bloqueado","Prueba bloqueada","Prueba pendiente")))))),"ID no encontrado")))</f>
        <v>Prueba pendiente</v>
      </c>
      <c r="C46" s="7" t="str">
        <f>IF($G46="","",IFERROR(IF(VLOOKUP($G46,Requerimientos!$A$6:$M$43,2,FALSE)="","",VLOOKUP($G46,Requerimientos!$A$6:$M$43,2,FALSE)),"ID no encontrado"))</f>
        <v>OBJ-003</v>
      </c>
      <c r="D46" s="5" t="str">
        <f>IF($C46="","",IFERROR(IF(VLOOKUP($C46,'Objetivos y procesos'!$A$6:$H$35,2,FALSE)="","",VLOOKUP($C46,'Objetivos y procesos'!$A$6:$H$35,2,FALSE)),"ID no encontrado"))</f>
        <v>Centralizar consultas, cotizaciones y órdenes de venta, aplicando vendedor, comisión, autorización e integración correctos.</v>
      </c>
      <c r="E46" s="7" t="str">
        <f>IF($G46="","",IFERROR(IF(VLOOKUP($G46,Requerimientos!$A$6:$M$43,3,FALSE)="","",VLOOKUP($G46,Requerimientos!$A$6:$M$43,3,FALSE)),"ID no encontrado"))</f>
        <v>PR-03</v>
      </c>
      <c r="F46" s="5" t="str">
        <f>IF($E46="","",IFERROR(IF(INDEX('Objetivos y procesos'!$D$6:$D$35,MATCH($E46,'Objetivos y procesos'!$C$6:$C$35,0))="","",IF(INDEX('Objetivos y procesos'!$D$6:$D$35,MATCH($E46,'Objetivos y procesos'!$C$6:$C$35,0))=INDEX('Objetivos y procesos'!$E$6:$E$35,MATCH($E46,'Objetivos y procesos'!$C$6:$C$35,0)),INDEX('Objetivos y procesos'!$D$6:$D$35,MATCH($E46,'Objetivos y procesos'!$C$6:$C$35,0)),INDEX('Objetivos y procesos'!$D$6:$D$35,MATCH($E46,'Objetivos y procesos'!$C$6:$C$35,0))&amp;IF(INDEX('Objetivos y procesos'!$E$6:$E$35,MATCH($E46,'Objetivos y procesos'!$C$6:$C$35,0))="",""," / "&amp;INDEX('Objetivos y procesos'!$E$6:$E$35,MATCH($E46,'Objetivos y procesos'!$C$6:$C$35,0))))),"ID no encontrado"))</f>
        <v>Gestión comercial, cotizaciones y órdenes de venta</v>
      </c>
      <c r="G46" s="8" t="s">
        <v>123</v>
      </c>
      <c r="H46" s="5" t="str">
        <f>IF($G46="","",IFERROR(IF(VLOOKUP($G46,Requerimientos!$A$6:$M$43,7,FALSE)="","",VLOOKUP($G46,Requerimientos!$A$6:$M$43,7,FALSE)),"ID no encontrado"))</f>
        <v>El sistema debe enviar al ERP únicamente los documentos que cuenten con autorización previa registrada.</v>
      </c>
      <c r="I46" s="7" t="str">
        <f>IF($K46="","",IFERROR(IF(VLOOKUP($K46,'Historias y criterios'!$A$6:$P$83,2,FALSE)="","",VLOOKUP($K46,'Historias y criterios'!$A$6:$P$83,2,FALSE)),"ID no encontrado"))</f>
        <v>HU-011</v>
      </c>
      <c r="J46" s="5" t="str">
        <f>IF($K46="","",IFERROR(IF(VLOOKUP($K46,'Historias y criterios'!$A$6:$P$83,10,FALSE)="","",VLOOKUP($K46,'Historias y criterios'!$A$6:$P$83,10,FALSE)),"ID no encontrado"))</f>
        <v>Como autorizador comercial, quiero aprobar las solicitudes que correspondan y enviar la orden de venta al ERP, para crear únicamente documentos validados y mantener su trazabilidad</v>
      </c>
      <c r="K46" s="8" t="s">
        <v>124</v>
      </c>
      <c r="L46" s="5" t="str">
        <f>IF($K46="","",IFERROR(IF(VLOOKUP($K46,'Historias y criterios'!$A$6:$P$83,11,FALSE)="","",VLOOKUP($K46,'Historias y criterios'!$A$6:$P$83,11,FALSE)),"ID no encontrado"))</f>
        <v>Las órdenes que superan los límites definidos requieren autorización previa.</v>
      </c>
      <c r="M46" s="8" t="s">
        <v>125</v>
      </c>
      <c r="N46" s="5" t="str">
        <f>IF($M46="","",IFERROR(IF(VLOOKUP($M46,'Casos y evidencias'!$A$6:$O$83,5,FALSE)="","",VLOOKUP($M46,'Casos y evidencias'!$A$6:$O$83,5,FALSE)),"ID no encontrado"))</f>
        <v>Autorización previa por superar límites</v>
      </c>
      <c r="O46" s="5" t="str">
        <f>IF($M46="","",IFERROR(IF(VLOOKUP($M46,'Casos y evidencias'!$A$6:$O$83,10,FALSE)="","",VLOOKUP($M46,'Casos y evidencias'!$A$6:$O$83,10,FALSE)),"ID no encontrado"))</f>
        <v>No ejecutado</v>
      </c>
      <c r="P46" s="7" t="str">
        <f>IF($M46="","",IFERROR(IF(VLOOKUP($M46,'Casos y evidencias'!$A$6:$O$83,11,FALSE)="","",VLOOKUP($M46,'Casos y evidencias'!$A$6:$O$83,11,FALSE)),"ID no encontrado"))</f>
        <v/>
      </c>
      <c r="Q46" s="5" t="str">
        <f>IF($M46="","",IFERROR(IF(VLOOKUP($M46,'Casos y evidencias'!$A$6:$O$83,12,FALSE)="","",VLOOKUP($M46,'Casos y evidencias'!$A$6:$O$83,12,FALSE)),"ID no encontrado"))</f>
        <v/>
      </c>
      <c r="R46" s="4"/>
    </row>
    <row r="47" spans="1:18" ht="75.599999999999994" customHeight="1">
      <c r="A47" s="6">
        <v>40</v>
      </c>
      <c r="B47" s="5" t="str">
        <f>IF($G47="","",IF($K47="","Falta criterio",IFERROR(IF(VLOOKUP($K47,'Historias y criterios'!$A$6:$P$83,3,FALSE)&lt;&gt;$G47,"Revisar relación requisito-criterio",IF($M47="","Falta caso de prueba",IF(VLOOKUP($M47,'Casos y evidencias'!$A$6:$O$83,2,FALSE)&lt;&gt;$K47,"Revisar relación criterio-caso",IF($O47="Aprobado",IF($P47="","Falta evidencia","Trazabilidad completa"),IF($O47="Fallido","Prueba fallida",IF($O47="Bloqueado","Prueba bloqueada","Prueba pendiente")))))),"ID no encontrado")))</f>
        <v>Prueba pendiente</v>
      </c>
      <c r="C47" s="7" t="str">
        <f>IF($G47="","",IFERROR(IF(VLOOKUP($G47,Requerimientos!$A$6:$M$43,2,FALSE)="","",VLOOKUP($G47,Requerimientos!$A$6:$M$43,2,FALSE)),"ID no encontrado"))</f>
        <v>OBJ-003</v>
      </c>
      <c r="D47" s="5" t="str">
        <f>IF($C47="","",IFERROR(IF(VLOOKUP($C47,'Objetivos y procesos'!$A$6:$H$35,2,FALSE)="","",VLOOKUP($C47,'Objetivos y procesos'!$A$6:$H$35,2,FALSE)),"ID no encontrado"))</f>
        <v>Centralizar consultas, cotizaciones y órdenes de venta, aplicando vendedor, comisión, autorización e integración correctos.</v>
      </c>
      <c r="E47" s="7" t="str">
        <f>IF($G47="","",IFERROR(IF(VLOOKUP($G47,Requerimientos!$A$6:$M$43,3,FALSE)="","",VLOOKUP($G47,Requerimientos!$A$6:$M$43,3,FALSE)),"ID no encontrado"))</f>
        <v>PR-03</v>
      </c>
      <c r="F47" s="5" t="str">
        <f>IF($E47="","",IFERROR(IF(INDEX('Objetivos y procesos'!$D$6:$D$35,MATCH($E47,'Objetivos y procesos'!$C$6:$C$35,0))="","",IF(INDEX('Objetivos y procesos'!$D$6:$D$35,MATCH($E47,'Objetivos y procesos'!$C$6:$C$35,0))=INDEX('Objetivos y procesos'!$E$6:$E$35,MATCH($E47,'Objetivos y procesos'!$C$6:$C$35,0)),INDEX('Objetivos y procesos'!$D$6:$D$35,MATCH($E47,'Objetivos y procesos'!$C$6:$C$35,0)),INDEX('Objetivos y procesos'!$D$6:$D$35,MATCH($E47,'Objetivos y procesos'!$C$6:$C$35,0))&amp;IF(INDEX('Objetivos y procesos'!$E$6:$E$35,MATCH($E47,'Objetivos y procesos'!$C$6:$C$35,0))="",""," / "&amp;INDEX('Objetivos y procesos'!$E$6:$E$35,MATCH($E47,'Objetivos y procesos'!$C$6:$C$35,0))))),"ID no encontrado"))</f>
        <v>Gestión comercial, cotizaciones y órdenes de venta</v>
      </c>
      <c r="G47" s="8" t="s">
        <v>123</v>
      </c>
      <c r="H47" s="5" t="str">
        <f>IF($G47="","",IFERROR(IF(VLOOKUP($G47,Requerimientos!$A$6:$M$43,7,FALSE)="","",VLOOKUP($G47,Requerimientos!$A$6:$M$43,7,FALSE)),"ID no encontrado"))</f>
        <v>El sistema debe enviar al ERP únicamente los documentos que cuenten con autorización previa registrada.</v>
      </c>
      <c r="I47" s="7" t="str">
        <f>IF($K47="","",IFERROR(IF(VLOOKUP($K47,'Historias y criterios'!$A$6:$P$83,2,FALSE)="","",VLOOKUP($K47,'Historias y criterios'!$A$6:$P$83,2,FALSE)),"ID no encontrado"))</f>
        <v>HU-011</v>
      </c>
      <c r="J47" s="5" t="str">
        <f>IF($K47="","",IFERROR(IF(VLOOKUP($K47,'Historias y criterios'!$A$6:$P$83,10,FALSE)="","",VLOOKUP($K47,'Historias y criterios'!$A$6:$P$83,10,FALSE)),"ID no encontrado"))</f>
        <v>Como autorizador comercial, quiero aprobar las solicitudes que correspondan y enviar la orden de venta al ERP, para crear únicamente documentos validados y mantener su trazabilidad</v>
      </c>
      <c r="K47" s="8" t="s">
        <v>126</v>
      </c>
      <c r="L47" s="5" t="str">
        <f>IF($K47="","",IFERROR(IF(VLOOKUP($K47,'Historias y criterios'!$A$6:$P$83,11,FALSE)="","",VLOOKUP($K47,'Historias y criterios'!$A$6:$P$83,11,FALSE)),"ID no encontrado"))</f>
        <v>Solo un rol autorizado puede aprobar el envío.</v>
      </c>
      <c r="M47" s="8" t="s">
        <v>127</v>
      </c>
      <c r="N47" s="5" t="str">
        <f>IF($M47="","",IFERROR(IF(VLOOKUP($M47,'Casos y evidencias'!$A$6:$O$83,5,FALSE)="","",VLOOKUP($M47,'Casos y evidencias'!$A$6:$O$83,5,FALSE)),"ID no encontrado"))</f>
        <v>Aprobación solo por rol autorizado</v>
      </c>
      <c r="O47" s="5" t="str">
        <f>IF($M47="","",IFERROR(IF(VLOOKUP($M47,'Casos y evidencias'!$A$6:$O$83,10,FALSE)="","",VLOOKUP($M47,'Casos y evidencias'!$A$6:$O$83,10,FALSE)),"ID no encontrado"))</f>
        <v>No ejecutado</v>
      </c>
      <c r="P47" s="7" t="str">
        <f>IF($M47="","",IFERROR(IF(VLOOKUP($M47,'Casos y evidencias'!$A$6:$O$83,11,FALSE)="","",VLOOKUP($M47,'Casos y evidencias'!$A$6:$O$83,11,FALSE)),"ID no encontrado"))</f>
        <v/>
      </c>
      <c r="Q47" s="5" t="str">
        <f>IF($M47="","",IFERROR(IF(VLOOKUP($M47,'Casos y evidencias'!$A$6:$O$83,12,FALSE)="","",VLOOKUP($M47,'Casos y evidencias'!$A$6:$O$83,12,FALSE)),"ID no encontrado"))</f>
        <v/>
      </c>
      <c r="R47" s="4"/>
    </row>
    <row r="48" spans="1:18" ht="75.599999999999994" customHeight="1">
      <c r="A48" s="6">
        <v>41</v>
      </c>
      <c r="B48" s="5" t="str">
        <f>IF($G48="","",IF($K48="","Falta criterio",IFERROR(IF(VLOOKUP($K48,'Historias y criterios'!$A$6:$P$83,3,FALSE)&lt;&gt;$G48,"Revisar relación requisito-criterio",IF($M48="","Falta caso de prueba",IF(VLOOKUP($M48,'Casos y evidencias'!$A$6:$O$83,2,FALSE)&lt;&gt;$K48,"Revisar relación criterio-caso",IF($O48="Aprobado",IF($P48="","Falta evidencia","Trazabilidad completa"),IF($O48="Fallido","Prueba fallida",IF($O48="Bloqueado","Prueba bloqueada","Prueba pendiente")))))),"ID no encontrado")))</f>
        <v>Prueba pendiente</v>
      </c>
      <c r="C48" s="7" t="str">
        <f>IF($G48="","",IFERROR(IF(VLOOKUP($G48,Requerimientos!$A$6:$M$43,2,FALSE)="","",VLOOKUP($G48,Requerimientos!$A$6:$M$43,2,FALSE)),"ID no encontrado"))</f>
        <v>OBJ-003</v>
      </c>
      <c r="D48" s="5" t="str">
        <f>IF($C48="","",IFERROR(IF(VLOOKUP($C48,'Objetivos y procesos'!$A$6:$H$35,2,FALSE)="","",VLOOKUP($C48,'Objetivos y procesos'!$A$6:$H$35,2,FALSE)),"ID no encontrado"))</f>
        <v>Centralizar consultas, cotizaciones y órdenes de venta, aplicando vendedor, comisión, autorización e integración correctos.</v>
      </c>
      <c r="E48" s="7" t="str">
        <f>IF($G48="","",IFERROR(IF(VLOOKUP($G48,Requerimientos!$A$6:$M$43,3,FALSE)="","",VLOOKUP($G48,Requerimientos!$A$6:$M$43,3,FALSE)),"ID no encontrado"))</f>
        <v>PR-03</v>
      </c>
      <c r="F48" s="5" t="str">
        <f>IF($E48="","",IFERROR(IF(INDEX('Objetivos y procesos'!$D$6:$D$35,MATCH($E48,'Objetivos y procesos'!$C$6:$C$35,0))="","",IF(INDEX('Objetivos y procesos'!$D$6:$D$35,MATCH($E48,'Objetivos y procesos'!$C$6:$C$35,0))=INDEX('Objetivos y procesos'!$E$6:$E$35,MATCH($E48,'Objetivos y procesos'!$C$6:$C$35,0)),INDEX('Objetivos y procesos'!$D$6:$D$35,MATCH($E48,'Objetivos y procesos'!$C$6:$C$35,0)),INDEX('Objetivos y procesos'!$D$6:$D$35,MATCH($E48,'Objetivos y procesos'!$C$6:$C$35,0))&amp;IF(INDEX('Objetivos y procesos'!$E$6:$E$35,MATCH($E48,'Objetivos y procesos'!$C$6:$C$35,0))="",""," / "&amp;INDEX('Objetivos y procesos'!$E$6:$E$35,MATCH($E48,'Objetivos y procesos'!$C$6:$C$35,0))))),"ID no encontrado"))</f>
        <v>Gestión comercial, cotizaciones y órdenes de venta</v>
      </c>
      <c r="G48" s="8" t="s">
        <v>123</v>
      </c>
      <c r="H48" s="5" t="str">
        <f>IF($G48="","",IFERROR(IF(VLOOKUP($G48,Requerimientos!$A$6:$M$43,7,FALSE)="","",VLOOKUP($G48,Requerimientos!$A$6:$M$43,7,FALSE)),"ID no encontrado"))</f>
        <v>El sistema debe enviar al ERP únicamente los documentos que cuenten con autorización previa registrada.</v>
      </c>
      <c r="I48" s="7" t="str">
        <f>IF($K48="","",IFERROR(IF(VLOOKUP($K48,'Historias y criterios'!$A$6:$P$83,2,FALSE)="","",VLOOKUP($K48,'Historias y criterios'!$A$6:$P$83,2,FALSE)),"ID no encontrado"))</f>
        <v>HU-011</v>
      </c>
      <c r="J48" s="5" t="str">
        <f>IF($K48="","",IFERROR(IF(VLOOKUP($K48,'Historias y criterios'!$A$6:$P$83,10,FALSE)="","",VLOOKUP($K48,'Historias y criterios'!$A$6:$P$83,10,FALSE)),"ID no encontrado"))</f>
        <v>Como autorizador comercial, quiero aprobar las solicitudes que correspondan y enviar la orden de venta al ERP, para crear únicamente documentos validados y mantener su trazabilidad</v>
      </c>
      <c r="K48" s="8" t="s">
        <v>128</v>
      </c>
      <c r="L48" s="5" t="str">
        <f>IF($K48="","",IFERROR(IF(VLOOKUP($K48,'Historias y criterios'!$A$6:$P$83,11,FALSE)="","",VLOOKUP($K48,'Historias y criterios'!$A$6:$P$83,11,FALSE)),"ID no encontrado"))</f>
        <v>El ERP recibe exactamente el documento autorizado y devuelve un resultado e identificador.</v>
      </c>
      <c r="M48" s="8" t="s">
        <v>129</v>
      </c>
      <c r="N48" s="5" t="str">
        <f>IF($M48="","",IFERROR(IF(VLOOKUP($M48,'Casos y evidencias'!$A$6:$O$83,5,FALSE)="","",VLOOKUP($M48,'Casos y evidencias'!$A$6:$O$83,5,FALSE)),"ID no encontrado"))</f>
        <v>Envío exacto del documento autorizado</v>
      </c>
      <c r="O48" s="5" t="str">
        <f>IF($M48="","",IFERROR(IF(VLOOKUP($M48,'Casos y evidencias'!$A$6:$O$83,10,FALSE)="","",VLOOKUP($M48,'Casos y evidencias'!$A$6:$O$83,10,FALSE)),"ID no encontrado"))</f>
        <v>No ejecutado</v>
      </c>
      <c r="P48" s="7" t="str">
        <f>IF($M48="","",IFERROR(IF(VLOOKUP($M48,'Casos y evidencias'!$A$6:$O$83,11,FALSE)="","",VLOOKUP($M48,'Casos y evidencias'!$A$6:$O$83,11,FALSE)),"ID no encontrado"))</f>
        <v/>
      </c>
      <c r="Q48" s="5" t="str">
        <f>IF($M48="","",IFERROR(IF(VLOOKUP($M48,'Casos y evidencias'!$A$6:$O$83,12,FALSE)="","",VLOOKUP($M48,'Casos y evidencias'!$A$6:$O$83,12,FALSE)),"ID no encontrado"))</f>
        <v/>
      </c>
      <c r="R48" s="4"/>
    </row>
    <row r="49" spans="1:18" ht="75.599999999999994" customHeight="1">
      <c r="A49" s="6">
        <v>42</v>
      </c>
      <c r="B49" s="5" t="str">
        <f>IF($G49="","",IF($K49="","Falta criterio",IFERROR(IF(VLOOKUP($K49,'Historias y criterios'!$A$6:$P$83,3,FALSE)&lt;&gt;$G49,"Revisar relación requisito-criterio",IF($M49="","Falta caso de prueba",IF(VLOOKUP($M49,'Casos y evidencias'!$A$6:$O$83,2,FALSE)&lt;&gt;$K49,"Revisar relación criterio-caso",IF($O49="Aprobado",IF($P49="","Falta evidencia","Trazabilidad completa"),IF($O49="Fallido","Prueba fallida",IF($O49="Bloqueado","Prueba bloqueada","Prueba pendiente")))))),"ID no encontrado")))</f>
        <v>Prueba pendiente</v>
      </c>
      <c r="C49" s="7" t="str">
        <f>IF($G49="","",IFERROR(IF(VLOOKUP($G49,Requerimientos!$A$6:$M$43,2,FALSE)="","",VLOOKUP($G49,Requerimientos!$A$6:$M$43,2,FALSE)),"ID no encontrado"))</f>
        <v>OBJ-003</v>
      </c>
      <c r="D49" s="5" t="str">
        <f>IF($C49="","",IFERROR(IF(VLOOKUP($C49,'Objetivos y procesos'!$A$6:$H$35,2,FALSE)="","",VLOOKUP($C49,'Objetivos y procesos'!$A$6:$H$35,2,FALSE)),"ID no encontrado"))</f>
        <v>Centralizar consultas, cotizaciones y órdenes de venta, aplicando vendedor, comisión, autorización e integración correctos.</v>
      </c>
      <c r="E49" s="7" t="str">
        <f>IF($G49="","",IFERROR(IF(VLOOKUP($G49,Requerimientos!$A$6:$M$43,3,FALSE)="","",VLOOKUP($G49,Requerimientos!$A$6:$M$43,3,FALSE)),"ID no encontrado"))</f>
        <v>PR-03</v>
      </c>
      <c r="F49" s="5" t="str">
        <f>IF($E49="","",IFERROR(IF(INDEX('Objetivos y procesos'!$D$6:$D$35,MATCH($E49,'Objetivos y procesos'!$C$6:$C$35,0))="","",IF(INDEX('Objetivos y procesos'!$D$6:$D$35,MATCH($E49,'Objetivos y procesos'!$C$6:$C$35,0))=INDEX('Objetivos y procesos'!$E$6:$E$35,MATCH($E49,'Objetivos y procesos'!$C$6:$C$35,0)),INDEX('Objetivos y procesos'!$D$6:$D$35,MATCH($E49,'Objetivos y procesos'!$C$6:$C$35,0)),INDEX('Objetivos y procesos'!$D$6:$D$35,MATCH($E49,'Objetivos y procesos'!$C$6:$C$35,0))&amp;IF(INDEX('Objetivos y procesos'!$E$6:$E$35,MATCH($E49,'Objetivos y procesos'!$C$6:$C$35,0))="",""," / "&amp;INDEX('Objetivos y procesos'!$E$6:$E$35,MATCH($E49,'Objetivos y procesos'!$C$6:$C$35,0))))),"ID no encontrado"))</f>
        <v>Gestión comercial, cotizaciones y órdenes de venta</v>
      </c>
      <c r="G49" s="8" t="s">
        <v>130</v>
      </c>
      <c r="H49" s="5" t="str">
        <f>IF($G49="","",IFERROR(IF(VLOOKUP($G49,Requerimientos!$A$6:$M$43,7,FALSE)="","",VLOOKUP($G49,Requerimientos!$A$6:$M$43,7,FALSE)),"ID no encontrado"))</f>
        <v>El sistema debe permitir consultar el estado y la trazabilidad de los documentos comerciales enviados a SAP Business One.</v>
      </c>
      <c r="I49" s="7" t="str">
        <f>IF($K49="","",IFERROR(IF(VLOOKUP($K49,'Historias y criterios'!$A$6:$P$83,2,FALSE)="","",VLOOKUP($K49,'Historias y criterios'!$A$6:$P$83,2,FALSE)),"ID no encontrado"))</f>
        <v>HU-011</v>
      </c>
      <c r="J49" s="5" t="str">
        <f>IF($K49="","",IFERROR(IF(VLOOKUP($K49,'Historias y criterios'!$A$6:$P$83,10,FALSE)="","",VLOOKUP($K49,'Historias y criterios'!$A$6:$P$83,10,FALSE)),"ID no encontrado"))</f>
        <v>Como autorizador comercial, quiero aprobar las solicitudes que correspondan y enviar la orden de venta al ERP, para crear únicamente documentos validados y mantener su trazabilidad</v>
      </c>
      <c r="K49" s="8" t="s">
        <v>131</v>
      </c>
      <c r="L49" s="5" t="str">
        <f>IF($K49="","",IFERROR(IF(VLOOKUP($K49,'Historias y criterios'!$A$6:$P$83,11,FALSE)="","",VLOOKUP($K49,'Historias y criterios'!$A$6:$P$83,11,FALSE)),"ID no encontrado"))</f>
        <v>El usuario consulta el estado, vínculo y trazabilidad del documento enviado.</v>
      </c>
      <c r="M49" s="8" t="s">
        <v>132</v>
      </c>
      <c r="N49" s="5" t="str">
        <f>IF($M49="","",IFERROR(IF(VLOOKUP($M49,'Casos y evidencias'!$A$6:$O$83,5,FALSE)="","",VLOOKUP($M49,'Casos y evidencias'!$A$6:$O$83,5,FALSE)),"ID no encontrado"))</f>
        <v>Consulta de estado y trazabilidad del documento</v>
      </c>
      <c r="O49" s="5" t="str">
        <f>IF($M49="","",IFERROR(IF(VLOOKUP($M49,'Casos y evidencias'!$A$6:$O$83,10,FALSE)="","",VLOOKUP($M49,'Casos y evidencias'!$A$6:$O$83,10,FALSE)),"ID no encontrado"))</f>
        <v>No ejecutado</v>
      </c>
      <c r="P49" s="7" t="str">
        <f>IF($M49="","",IFERROR(IF(VLOOKUP($M49,'Casos y evidencias'!$A$6:$O$83,11,FALSE)="","",VLOOKUP($M49,'Casos y evidencias'!$A$6:$O$83,11,FALSE)),"ID no encontrado"))</f>
        <v/>
      </c>
      <c r="Q49" s="5" t="str">
        <f>IF($M49="","",IFERROR(IF(VLOOKUP($M49,'Casos y evidencias'!$A$6:$O$83,12,FALSE)="","",VLOOKUP($M49,'Casos y evidencias'!$A$6:$O$83,12,FALSE)),"ID no encontrado"))</f>
        <v/>
      </c>
      <c r="R49" s="4"/>
    </row>
    <row r="50" spans="1:18" ht="89.1" customHeight="1">
      <c r="A50" s="6">
        <v>43</v>
      </c>
      <c r="B50" s="5" t="str">
        <f>IF($G50="","",IF($K50="","Falta criterio",IFERROR(IF(VLOOKUP($K50,'Historias y criterios'!$A$6:$P$83,3,FALSE)&lt;&gt;$G50,"Revisar relación requisito-criterio",IF($M50="","Falta caso de prueba",IF(VLOOKUP($M50,'Casos y evidencias'!$A$6:$O$83,2,FALSE)&lt;&gt;$K50,"Revisar relación criterio-caso",IF($O50="Aprobado",IF($P50="","Falta evidencia","Trazabilidad completa"),IF($O50="Fallido","Prueba fallida",IF($O50="Bloqueado","Prueba bloqueada","Prueba pendiente")))))),"ID no encontrado")))</f>
        <v>Prueba pendiente</v>
      </c>
      <c r="C50" s="7" t="str">
        <f>IF($G50="","",IFERROR(IF(VLOOKUP($G50,Requerimientos!$A$6:$M$43,2,FALSE)="","",VLOOKUP($G50,Requerimientos!$A$6:$M$43,2,FALSE)),"ID no encontrado"))</f>
        <v>OBJ-004</v>
      </c>
      <c r="D50" s="5" t="str">
        <f>IF($C50="","",IFERROR(IF(VLOOKUP($C50,'Objetivos y procesos'!$A$6:$H$35,2,FALSE)="","",VLOOKUP($C50,'Objetivos y procesos'!$A$6:$H$35,2,FALSE)),"ID no encontrado"))</f>
        <v>Entregar avisos oportunos y una trazabilidad común para todos los procesos incorporados.</v>
      </c>
      <c r="E50" s="7" t="str">
        <f>IF($G50="","",IFERROR(IF(VLOOKUP($G50,Requerimientos!$A$6:$M$43,3,FALSE)="","",VLOOKUP($G50,Requerimientos!$A$6:$M$43,3,FALSE)),"ID no encontrado"))</f>
        <v>PR-04</v>
      </c>
      <c r="F50" s="5" t="str">
        <f>IF($E50="","",IFERROR(IF(INDEX('Objetivos y procesos'!$D$6:$D$35,MATCH($E50,'Objetivos y procesos'!$C$6:$C$35,0))="","",IF(INDEX('Objetivos y procesos'!$D$6:$D$35,MATCH($E50,'Objetivos y procesos'!$C$6:$C$35,0))=INDEX('Objetivos y procesos'!$E$6:$E$35,MATCH($E50,'Objetivos y procesos'!$C$6:$C$35,0)),INDEX('Objetivos y procesos'!$D$6:$D$35,MATCH($E50,'Objetivos y procesos'!$C$6:$C$35,0)),INDEX('Objetivos y procesos'!$D$6:$D$35,MATCH($E50,'Objetivos y procesos'!$C$6:$C$35,0))&amp;IF(INDEX('Objetivos y procesos'!$E$6:$E$35,MATCH($E50,'Objetivos y procesos'!$C$6:$C$35,0))="",""," / "&amp;INDEX('Objetivos y procesos'!$E$6:$E$35,MATCH($E50,'Objetivos y procesos'!$C$6:$C$35,0))))),"ID no encontrado"))</f>
        <v>Notificaciones y trazabilidad</v>
      </c>
      <c r="G50" s="8" t="s">
        <v>133</v>
      </c>
      <c r="H50" s="5" t="str">
        <f>IF($G50="","",IFERROR(IF(VLOOKUP($G50,Requerimientos!$A$6:$M$43,7,FALSE)="","",VLOOKUP($G50,Requerimientos!$A$6:$M$43,7,FALSE)),"ID no encontrado"))</f>
        <v>El sistema debe notificar dentro de la plataforma a los autorizadores del grupo correspondiente cuando un proceso requiera su acción, y generar recordatorios automáticos de las solicitudes que llevan más de una hora pendientes.</v>
      </c>
      <c r="I50" s="7" t="str">
        <f>IF($K50="","",IFERROR(IF(VLOOKUP($K50,'Historias y criterios'!$A$6:$P$83,2,FALSE)="","",VLOOKUP($K50,'Historias y criterios'!$A$6:$P$83,2,FALSE)),"ID no encontrado"))</f>
        <v>HU-012</v>
      </c>
      <c r="J50" s="5" t="str">
        <f>IF($K50="","",IFERROR(IF(VLOOKUP($K50,'Historias y criterios'!$A$6:$P$83,10,FALSE)="","",VLOOKUP($K50,'Historias y criterios'!$A$6:$P$83,10,FALSE)),"ID no encontrado"))</f>
        <v>Como autorizador, quiero recibir avisos de los procesos pendientes y recordatorios cuando superen una hora, para atender oportunamente las decisiones que me corresponden</v>
      </c>
      <c r="K50" s="8" t="s">
        <v>134</v>
      </c>
      <c r="L50" s="5" t="str">
        <f>IF($K50="","",IFERROR(IF(VLOOKUP($K50,'Historias y criterios'!$A$6:$P$83,11,FALSE)="","",VLOOKUP($K50,'Historias y criterios'!$A$6:$P$83,11,FALSE)),"ID no encontrado"))</f>
        <v>Al enviar un proceso, se notifica únicamente a los destinatarios autorizados.</v>
      </c>
      <c r="M50" s="8" t="s">
        <v>135</v>
      </c>
      <c r="N50" s="5" t="str">
        <f>IF($M50="","",IFERROR(IF(VLOOKUP($M50,'Casos y evidencias'!$A$6:$O$83,5,FALSE)="","",VLOOKUP($M50,'Casos y evidencias'!$A$6:$O$83,5,FALSE)),"ID no encontrado"))</f>
        <v>Notificación solo a destinatarios autorizados</v>
      </c>
      <c r="O50" s="5" t="str">
        <f>IF($M50="","",IFERROR(IF(VLOOKUP($M50,'Casos y evidencias'!$A$6:$O$83,10,FALSE)="","",VLOOKUP($M50,'Casos y evidencias'!$A$6:$O$83,10,FALSE)),"ID no encontrado"))</f>
        <v>No ejecutado</v>
      </c>
      <c r="P50" s="7" t="str">
        <f>IF($M50="","",IFERROR(IF(VLOOKUP($M50,'Casos y evidencias'!$A$6:$O$83,11,FALSE)="","",VLOOKUP($M50,'Casos y evidencias'!$A$6:$O$83,11,FALSE)),"ID no encontrado"))</f>
        <v/>
      </c>
      <c r="Q50" s="5" t="str">
        <f>IF($M50="","",IFERROR(IF(VLOOKUP($M50,'Casos y evidencias'!$A$6:$O$83,12,FALSE)="","",VLOOKUP($M50,'Casos y evidencias'!$A$6:$O$83,12,FALSE)),"ID no encontrado"))</f>
        <v/>
      </c>
      <c r="R50" s="4"/>
    </row>
    <row r="51" spans="1:18" ht="89.1" customHeight="1">
      <c r="A51" s="6">
        <v>44</v>
      </c>
      <c r="B51" s="5" t="str">
        <f>IF($G51="","",IF($K51="","Falta criterio",IFERROR(IF(VLOOKUP($K51,'Historias y criterios'!$A$6:$P$83,3,FALSE)&lt;&gt;$G51,"Revisar relación requisito-criterio",IF($M51="","Falta caso de prueba",IF(VLOOKUP($M51,'Casos y evidencias'!$A$6:$O$83,2,FALSE)&lt;&gt;$K51,"Revisar relación criterio-caso",IF($O51="Aprobado",IF($P51="","Falta evidencia","Trazabilidad completa"),IF($O51="Fallido","Prueba fallida",IF($O51="Bloqueado","Prueba bloqueada","Prueba pendiente")))))),"ID no encontrado")))</f>
        <v>Prueba pendiente</v>
      </c>
      <c r="C51" s="7" t="str">
        <f>IF($G51="","",IFERROR(IF(VLOOKUP($G51,Requerimientos!$A$6:$M$43,2,FALSE)="","",VLOOKUP($G51,Requerimientos!$A$6:$M$43,2,FALSE)),"ID no encontrado"))</f>
        <v>OBJ-004</v>
      </c>
      <c r="D51" s="5" t="str">
        <f>IF($C51="","",IFERROR(IF(VLOOKUP($C51,'Objetivos y procesos'!$A$6:$H$35,2,FALSE)="","",VLOOKUP($C51,'Objetivos y procesos'!$A$6:$H$35,2,FALSE)),"ID no encontrado"))</f>
        <v>Entregar avisos oportunos y una trazabilidad común para todos los procesos incorporados.</v>
      </c>
      <c r="E51" s="7" t="str">
        <f>IF($G51="","",IFERROR(IF(VLOOKUP($G51,Requerimientos!$A$6:$M$43,3,FALSE)="","",VLOOKUP($G51,Requerimientos!$A$6:$M$43,3,FALSE)),"ID no encontrado"))</f>
        <v>PR-04</v>
      </c>
      <c r="F51" s="5" t="str">
        <f>IF($E51="","",IFERROR(IF(INDEX('Objetivos y procesos'!$D$6:$D$35,MATCH($E51,'Objetivos y procesos'!$C$6:$C$35,0))="","",IF(INDEX('Objetivos y procesos'!$D$6:$D$35,MATCH($E51,'Objetivos y procesos'!$C$6:$C$35,0))=INDEX('Objetivos y procesos'!$E$6:$E$35,MATCH($E51,'Objetivos y procesos'!$C$6:$C$35,0)),INDEX('Objetivos y procesos'!$D$6:$D$35,MATCH($E51,'Objetivos y procesos'!$C$6:$C$35,0)),INDEX('Objetivos y procesos'!$D$6:$D$35,MATCH($E51,'Objetivos y procesos'!$C$6:$C$35,0))&amp;IF(INDEX('Objetivos y procesos'!$E$6:$E$35,MATCH($E51,'Objetivos y procesos'!$C$6:$C$35,0))="",""," / "&amp;INDEX('Objetivos y procesos'!$E$6:$E$35,MATCH($E51,'Objetivos y procesos'!$C$6:$C$35,0))))),"ID no encontrado"))</f>
        <v>Notificaciones y trazabilidad</v>
      </c>
      <c r="G51" s="8" t="s">
        <v>133</v>
      </c>
      <c r="H51" s="5" t="str">
        <f>IF($G51="","",IFERROR(IF(VLOOKUP($G51,Requerimientos!$A$6:$M$43,7,FALSE)="","",VLOOKUP($G51,Requerimientos!$A$6:$M$43,7,FALSE)),"ID no encontrado"))</f>
        <v>El sistema debe notificar dentro de la plataforma a los autorizadores del grupo correspondiente cuando un proceso requiera su acción, y generar recordatorios automáticos de las solicitudes que llevan más de una hora pendientes.</v>
      </c>
      <c r="I51" s="7" t="str">
        <f>IF($K51="","",IFERROR(IF(VLOOKUP($K51,'Historias y criterios'!$A$6:$P$83,2,FALSE)="","",VLOOKUP($K51,'Historias y criterios'!$A$6:$P$83,2,FALSE)),"ID no encontrado"))</f>
        <v>HU-012</v>
      </c>
      <c r="J51" s="5" t="str">
        <f>IF($K51="","",IFERROR(IF(VLOOKUP($K51,'Historias y criterios'!$A$6:$P$83,10,FALSE)="","",VLOOKUP($K51,'Historias y criterios'!$A$6:$P$83,10,FALSE)),"ID no encontrado"))</f>
        <v>Como autorizador, quiero recibir avisos de los procesos pendientes y recordatorios cuando superen una hora, para atender oportunamente las decisiones que me corresponden</v>
      </c>
      <c r="K51" s="8" t="s">
        <v>136</v>
      </c>
      <c r="L51" s="5" t="str">
        <f>IF($K51="","",IFERROR(IF(VLOOKUP($K51,'Historias y criterios'!$A$6:$P$83,11,FALSE)="","",VLOOKUP($K51,'Historias y criterios'!$A$6:$P$83,11,FALSE)),"ID no encontrado"))</f>
        <v>La notificación identifica categoría, emisor, nivel y enlace al proceso.</v>
      </c>
      <c r="M51" s="8" t="s">
        <v>137</v>
      </c>
      <c r="N51" s="5" t="str">
        <f>IF($M51="","",IFERROR(IF(VLOOKUP($M51,'Casos y evidencias'!$A$6:$O$83,5,FALSE)="","",VLOOKUP($M51,'Casos y evidencias'!$A$6:$O$83,5,FALSE)),"ID no encontrado"))</f>
        <v>Contenido de la notificación</v>
      </c>
      <c r="O51" s="5" t="str">
        <f>IF($M51="","",IFERROR(IF(VLOOKUP($M51,'Casos y evidencias'!$A$6:$O$83,10,FALSE)="","",VLOOKUP($M51,'Casos y evidencias'!$A$6:$O$83,10,FALSE)),"ID no encontrado"))</f>
        <v>No ejecutado</v>
      </c>
      <c r="P51" s="7" t="str">
        <f>IF($M51="","",IFERROR(IF(VLOOKUP($M51,'Casos y evidencias'!$A$6:$O$83,11,FALSE)="","",VLOOKUP($M51,'Casos y evidencias'!$A$6:$O$83,11,FALSE)),"ID no encontrado"))</f>
        <v/>
      </c>
      <c r="Q51" s="5" t="str">
        <f>IF($M51="","",IFERROR(IF(VLOOKUP($M51,'Casos y evidencias'!$A$6:$O$83,12,FALSE)="","",VLOOKUP($M51,'Casos y evidencias'!$A$6:$O$83,12,FALSE)),"ID no encontrado"))</f>
        <v/>
      </c>
      <c r="R51" s="4"/>
    </row>
    <row r="52" spans="1:18" ht="89.1" customHeight="1">
      <c r="A52" s="6">
        <v>45</v>
      </c>
      <c r="B52" s="5" t="str">
        <f>IF($G52="","",IF($K52="","Falta criterio",IFERROR(IF(VLOOKUP($K52,'Historias y criterios'!$A$6:$P$83,3,FALSE)&lt;&gt;$G52,"Revisar relación requisito-criterio",IF($M52="","Falta caso de prueba",IF(VLOOKUP($M52,'Casos y evidencias'!$A$6:$O$83,2,FALSE)&lt;&gt;$K52,"Revisar relación criterio-caso",IF($O52="Aprobado",IF($P52="","Falta evidencia","Trazabilidad completa"),IF($O52="Fallido","Prueba fallida",IF($O52="Bloqueado","Prueba bloqueada","Prueba pendiente")))))),"ID no encontrado")))</f>
        <v>Prueba pendiente</v>
      </c>
      <c r="C52" s="7" t="str">
        <f>IF($G52="","",IFERROR(IF(VLOOKUP($G52,Requerimientos!$A$6:$M$43,2,FALSE)="","",VLOOKUP($G52,Requerimientos!$A$6:$M$43,2,FALSE)),"ID no encontrado"))</f>
        <v>OBJ-004</v>
      </c>
      <c r="D52" s="5" t="str">
        <f>IF($C52="","",IFERROR(IF(VLOOKUP($C52,'Objetivos y procesos'!$A$6:$H$35,2,FALSE)="","",VLOOKUP($C52,'Objetivos y procesos'!$A$6:$H$35,2,FALSE)),"ID no encontrado"))</f>
        <v>Entregar avisos oportunos y una trazabilidad común para todos los procesos incorporados.</v>
      </c>
      <c r="E52" s="7" t="str">
        <f>IF($G52="","",IFERROR(IF(VLOOKUP($G52,Requerimientos!$A$6:$M$43,3,FALSE)="","",VLOOKUP($G52,Requerimientos!$A$6:$M$43,3,FALSE)),"ID no encontrado"))</f>
        <v>PR-04</v>
      </c>
      <c r="F52" s="5" t="str">
        <f>IF($E52="","",IFERROR(IF(INDEX('Objetivos y procesos'!$D$6:$D$35,MATCH($E52,'Objetivos y procesos'!$C$6:$C$35,0))="","",IF(INDEX('Objetivos y procesos'!$D$6:$D$35,MATCH($E52,'Objetivos y procesos'!$C$6:$C$35,0))=INDEX('Objetivos y procesos'!$E$6:$E$35,MATCH($E52,'Objetivos y procesos'!$C$6:$C$35,0)),INDEX('Objetivos y procesos'!$D$6:$D$35,MATCH($E52,'Objetivos y procesos'!$C$6:$C$35,0)),INDEX('Objetivos y procesos'!$D$6:$D$35,MATCH($E52,'Objetivos y procesos'!$C$6:$C$35,0))&amp;IF(INDEX('Objetivos y procesos'!$E$6:$E$35,MATCH($E52,'Objetivos y procesos'!$C$6:$C$35,0))="",""," / "&amp;INDEX('Objetivos y procesos'!$E$6:$E$35,MATCH($E52,'Objetivos y procesos'!$C$6:$C$35,0))))),"ID no encontrado"))</f>
        <v>Notificaciones y trazabilidad</v>
      </c>
      <c r="G52" s="8" t="s">
        <v>133</v>
      </c>
      <c r="H52" s="5" t="str">
        <f>IF($G52="","",IFERROR(IF(VLOOKUP($G52,Requerimientos!$A$6:$M$43,7,FALSE)="","",VLOOKUP($G52,Requerimientos!$A$6:$M$43,7,FALSE)),"ID no encontrado"))</f>
        <v>El sistema debe notificar dentro de la plataforma a los autorizadores del grupo correspondiente cuando un proceso requiera su acción, y generar recordatorios automáticos de las solicitudes que llevan más de una hora pendientes.</v>
      </c>
      <c r="I52" s="7" t="str">
        <f>IF($K52="","",IFERROR(IF(VLOOKUP($K52,'Historias y criterios'!$A$6:$P$83,2,FALSE)="","",VLOOKUP($K52,'Historias y criterios'!$A$6:$P$83,2,FALSE)),"ID no encontrado"))</f>
        <v>HU-012</v>
      </c>
      <c r="J52" s="5" t="str">
        <f>IF($K52="","",IFERROR(IF(VLOOKUP($K52,'Historias y criterios'!$A$6:$P$83,10,FALSE)="","",VLOOKUP($K52,'Historias y criterios'!$A$6:$P$83,10,FALSE)),"ID no encontrado"))</f>
        <v>Como autorizador, quiero recibir avisos de los procesos pendientes y recordatorios cuando superen una hora, para atender oportunamente las decisiones que me corresponden</v>
      </c>
      <c r="K52" s="8" t="s">
        <v>138</v>
      </c>
      <c r="L52" s="5" t="str">
        <f>IF($K52="","",IFERROR(IF(VLOOKUP($K52,'Historias y criterios'!$A$6:$P$83,11,FALSE)="","",VLOOKUP($K52,'Historias y criterios'!$A$6:$P$83,11,FALSE)),"ID no encontrado"))</f>
        <v>Después de una hora pendiente se genera un recordatorio automático.</v>
      </c>
      <c r="M52" s="8" t="s">
        <v>139</v>
      </c>
      <c r="N52" s="5" t="str">
        <f>IF($M52="","",IFERROR(IF(VLOOKUP($M52,'Casos y evidencias'!$A$6:$O$83,5,FALSE)="","",VLOOKUP($M52,'Casos y evidencias'!$A$6:$O$83,5,FALSE)),"ID no encontrado"))</f>
        <v>Recordatorio automático tras una hora</v>
      </c>
      <c r="O52" s="5" t="str">
        <f>IF($M52="","",IFERROR(IF(VLOOKUP($M52,'Casos y evidencias'!$A$6:$O$83,10,FALSE)="","",VLOOKUP($M52,'Casos y evidencias'!$A$6:$O$83,10,FALSE)),"ID no encontrado"))</f>
        <v>No ejecutado</v>
      </c>
      <c r="P52" s="7" t="str">
        <f>IF($M52="","",IFERROR(IF(VLOOKUP($M52,'Casos y evidencias'!$A$6:$O$83,11,FALSE)="","",VLOOKUP($M52,'Casos y evidencias'!$A$6:$O$83,11,FALSE)),"ID no encontrado"))</f>
        <v/>
      </c>
      <c r="Q52" s="5" t="str">
        <f>IF($M52="","",IFERROR(IF(VLOOKUP($M52,'Casos y evidencias'!$A$6:$O$83,12,FALSE)="","",VLOOKUP($M52,'Casos y evidencias'!$A$6:$O$83,12,FALSE)),"ID no encontrado"))</f>
        <v/>
      </c>
      <c r="R52" s="4"/>
    </row>
    <row r="53" spans="1:18" ht="89.1" customHeight="1">
      <c r="A53" s="6">
        <v>46</v>
      </c>
      <c r="B53" s="5" t="str">
        <f>IF($G53="","",IF($K53="","Falta criterio",IFERROR(IF(VLOOKUP($K53,'Historias y criterios'!$A$6:$P$83,3,FALSE)&lt;&gt;$G53,"Revisar relación requisito-criterio",IF($M53="","Falta caso de prueba",IF(VLOOKUP($M53,'Casos y evidencias'!$A$6:$O$83,2,FALSE)&lt;&gt;$K53,"Revisar relación criterio-caso",IF($O53="Aprobado",IF($P53="","Falta evidencia","Trazabilidad completa"),IF($O53="Fallido","Prueba fallida",IF($O53="Bloqueado","Prueba bloqueada","Prueba pendiente")))))),"ID no encontrado")))</f>
        <v>Prueba pendiente</v>
      </c>
      <c r="C53" s="7" t="str">
        <f>IF($G53="","",IFERROR(IF(VLOOKUP($G53,Requerimientos!$A$6:$M$43,2,FALSE)="","",VLOOKUP($G53,Requerimientos!$A$6:$M$43,2,FALSE)),"ID no encontrado"))</f>
        <v>OBJ-004</v>
      </c>
      <c r="D53" s="5" t="str">
        <f>IF($C53="","",IFERROR(IF(VLOOKUP($C53,'Objetivos y procesos'!$A$6:$H$35,2,FALSE)="","",VLOOKUP($C53,'Objetivos y procesos'!$A$6:$H$35,2,FALSE)),"ID no encontrado"))</f>
        <v>Entregar avisos oportunos y una trazabilidad común para todos los procesos incorporados.</v>
      </c>
      <c r="E53" s="7" t="str">
        <f>IF($G53="","",IFERROR(IF(VLOOKUP($G53,Requerimientos!$A$6:$M$43,3,FALSE)="","",VLOOKUP($G53,Requerimientos!$A$6:$M$43,3,FALSE)),"ID no encontrado"))</f>
        <v>PR-04</v>
      </c>
      <c r="F53" s="5" t="str">
        <f>IF($E53="","",IFERROR(IF(INDEX('Objetivos y procesos'!$D$6:$D$35,MATCH($E53,'Objetivos y procesos'!$C$6:$C$35,0))="","",IF(INDEX('Objetivos y procesos'!$D$6:$D$35,MATCH($E53,'Objetivos y procesos'!$C$6:$C$35,0))=INDEX('Objetivos y procesos'!$E$6:$E$35,MATCH($E53,'Objetivos y procesos'!$C$6:$C$35,0)),INDEX('Objetivos y procesos'!$D$6:$D$35,MATCH($E53,'Objetivos y procesos'!$C$6:$C$35,0)),INDEX('Objetivos y procesos'!$D$6:$D$35,MATCH($E53,'Objetivos y procesos'!$C$6:$C$35,0))&amp;IF(INDEX('Objetivos y procesos'!$E$6:$E$35,MATCH($E53,'Objetivos y procesos'!$C$6:$C$35,0))="",""," / "&amp;INDEX('Objetivos y procesos'!$E$6:$E$35,MATCH($E53,'Objetivos y procesos'!$C$6:$C$35,0))))),"ID no encontrado"))</f>
        <v>Notificaciones y trazabilidad</v>
      </c>
      <c r="G53" s="8" t="s">
        <v>133</v>
      </c>
      <c r="H53" s="5" t="str">
        <f>IF($G53="","",IFERROR(IF(VLOOKUP($G53,Requerimientos!$A$6:$M$43,7,FALSE)="","",VLOOKUP($G53,Requerimientos!$A$6:$M$43,7,FALSE)),"ID no encontrado"))</f>
        <v>El sistema debe notificar dentro de la plataforma a los autorizadores del grupo correspondiente cuando un proceso requiera su acción, y generar recordatorios automáticos de las solicitudes que llevan más de una hora pendientes.</v>
      </c>
      <c r="I53" s="7" t="str">
        <f>IF($K53="","",IFERROR(IF(VLOOKUP($K53,'Historias y criterios'!$A$6:$P$83,2,FALSE)="","",VLOOKUP($K53,'Historias y criterios'!$A$6:$P$83,2,FALSE)),"ID no encontrado"))</f>
        <v>HU-012</v>
      </c>
      <c r="J53" s="5" t="str">
        <f>IF($K53="","",IFERROR(IF(VLOOKUP($K53,'Historias y criterios'!$A$6:$P$83,10,FALSE)="","",VLOOKUP($K53,'Historias y criterios'!$A$6:$P$83,10,FALSE)),"ID no encontrado"))</f>
        <v>Como autorizador, quiero recibir avisos de los procesos pendientes y recordatorios cuando superen una hora, para atender oportunamente las decisiones que me corresponden</v>
      </c>
      <c r="K53" s="8" t="s">
        <v>140</v>
      </c>
      <c r="L53" s="5" t="str">
        <f>IF($K53="","",IFERROR(IF(VLOOKUP($K53,'Historias y criterios'!$A$6:$P$83,11,FALSE)="","",VLOOKUP($K53,'Historias y criterios'!$A$6:$P$83,11,FALSE)),"ID no encontrado"))</f>
        <v>El usuario no puede ver notificaciones ajenas.</v>
      </c>
      <c r="M53" s="8" t="s">
        <v>141</v>
      </c>
      <c r="N53" s="5" t="str">
        <f>IF($M53="","",IFERROR(IF(VLOOKUP($M53,'Casos y evidencias'!$A$6:$O$83,5,FALSE)="","",VLOOKUP($M53,'Casos y evidencias'!$A$6:$O$83,5,FALSE)),"ID no encontrado"))</f>
        <v>Privacidad de las notificaciones</v>
      </c>
      <c r="O53" s="5" t="str">
        <f>IF($M53="","",IFERROR(IF(VLOOKUP($M53,'Casos y evidencias'!$A$6:$O$83,10,FALSE)="","",VLOOKUP($M53,'Casos y evidencias'!$A$6:$O$83,10,FALSE)),"ID no encontrado"))</f>
        <v>No ejecutado</v>
      </c>
      <c r="P53" s="7" t="str">
        <f>IF($M53="","",IFERROR(IF(VLOOKUP($M53,'Casos y evidencias'!$A$6:$O$83,11,FALSE)="","",VLOOKUP($M53,'Casos y evidencias'!$A$6:$O$83,11,FALSE)),"ID no encontrado"))</f>
        <v/>
      </c>
      <c r="Q53" s="5" t="str">
        <f>IF($M53="","",IFERROR(IF(VLOOKUP($M53,'Casos y evidencias'!$A$6:$O$83,12,FALSE)="","",VLOOKUP($M53,'Casos y evidencias'!$A$6:$O$83,12,FALSE)),"ID no encontrado"))</f>
        <v/>
      </c>
      <c r="R53" s="4"/>
    </row>
    <row r="54" spans="1:18" ht="75.599999999999994" customHeight="1">
      <c r="A54" s="6">
        <v>47</v>
      </c>
      <c r="B54" s="5" t="str">
        <f>IF($G54="","",IF($K54="","Falta criterio",IFERROR(IF(VLOOKUP($K54,'Historias y criterios'!$A$6:$P$83,3,FALSE)&lt;&gt;$G54,"Revisar relación requisito-criterio",IF($M54="","Falta caso de prueba",IF(VLOOKUP($M54,'Casos y evidencias'!$A$6:$O$83,2,FALSE)&lt;&gt;$K54,"Revisar relación criterio-caso",IF($O54="Aprobado",IF($P54="","Falta evidencia","Trazabilidad completa"),IF($O54="Fallido","Prueba fallida",IF($O54="Bloqueado","Prueba bloqueada","Prueba pendiente")))))),"ID no encontrado")))</f>
        <v>Prueba pendiente</v>
      </c>
      <c r="C54" s="7" t="str">
        <f>IF($G54="","",IFERROR(IF(VLOOKUP($G54,Requerimientos!$A$6:$M$43,2,FALSE)="","",VLOOKUP($G54,Requerimientos!$A$6:$M$43,2,FALSE)),"ID no encontrado"))</f>
        <v>OBJ-004</v>
      </c>
      <c r="D54" s="5" t="str">
        <f>IF($C54="","",IFERROR(IF(VLOOKUP($C54,'Objetivos y procesos'!$A$6:$H$35,2,FALSE)="","",VLOOKUP($C54,'Objetivos y procesos'!$A$6:$H$35,2,FALSE)),"ID no encontrado"))</f>
        <v>Entregar avisos oportunos y una trazabilidad común para todos los procesos incorporados.</v>
      </c>
      <c r="E54" s="7" t="str">
        <f>IF($G54="","",IFERROR(IF(VLOOKUP($G54,Requerimientos!$A$6:$M$43,3,FALSE)="","",VLOOKUP($G54,Requerimientos!$A$6:$M$43,3,FALSE)),"ID no encontrado"))</f>
        <v>PR-04</v>
      </c>
      <c r="F54" s="5" t="str">
        <f>IF($E54="","",IFERROR(IF(INDEX('Objetivos y procesos'!$D$6:$D$35,MATCH($E54,'Objetivos y procesos'!$C$6:$C$35,0))="","",IF(INDEX('Objetivos y procesos'!$D$6:$D$35,MATCH($E54,'Objetivos y procesos'!$C$6:$C$35,0))=INDEX('Objetivos y procesos'!$E$6:$E$35,MATCH($E54,'Objetivos y procesos'!$C$6:$C$35,0)),INDEX('Objetivos y procesos'!$D$6:$D$35,MATCH($E54,'Objetivos y procesos'!$C$6:$C$35,0)),INDEX('Objetivos y procesos'!$D$6:$D$35,MATCH($E54,'Objetivos y procesos'!$C$6:$C$35,0))&amp;IF(INDEX('Objetivos y procesos'!$E$6:$E$35,MATCH($E54,'Objetivos y procesos'!$C$6:$C$35,0))="",""," / "&amp;INDEX('Objetivos y procesos'!$E$6:$E$35,MATCH($E54,'Objetivos y procesos'!$C$6:$C$35,0))))),"ID no encontrado"))</f>
        <v>Notificaciones y trazabilidad</v>
      </c>
      <c r="G54" s="8" t="s">
        <v>142</v>
      </c>
      <c r="H54" s="5" t="str">
        <f>IF($G54="","",IFERROR(IF(VLOOKUP($G54,Requerimientos!$A$6:$M$43,7,FALSE)="","",VLOOKUP($G54,Requerimientos!$A$6:$M$43,7,FALSE)),"ID no encontrado"))</f>
        <v>El sistema debe notificar al solicitante las aprobaciones, rechazos, observaciones y cambios de estado de su proceso.</v>
      </c>
      <c r="I54" s="7" t="str">
        <f>IF($K54="","",IFERROR(IF(VLOOKUP($K54,'Historias y criterios'!$A$6:$P$83,2,FALSE)="","",VLOOKUP($K54,'Historias y criterios'!$A$6:$P$83,2,FALSE)),"ID no encontrado"))</f>
        <v>HU-013</v>
      </c>
      <c r="J54" s="5" t="str">
        <f>IF($K54="","",IFERROR(IF(VLOOKUP($K54,'Historias y criterios'!$A$6:$P$83,10,FALSE)="","",VLOOKUP($K54,'Historias y criterios'!$A$6:$P$83,10,FALSE)),"ID no encontrado"))</f>
        <v>Como participante de un proceso, quiero recibir y administrar notificaciones de aprobaciones, rechazos, observaciones y cambios de estado, para saber cuándo debo actuar y acceder directamente al proceso</v>
      </c>
      <c r="K54" s="8" t="s">
        <v>143</v>
      </c>
      <c r="L54" s="5" t="str">
        <f>IF($K54="","",IFERROR(IF(VLOOKUP($K54,'Historias y criterios'!$A$6:$P$83,11,FALSE)="","",VLOOKUP($K54,'Historias y criterios'!$A$6:$P$83,11,FALSE)),"ID no encontrado"))</f>
        <v>Cada cambio relevante genera una notificación al participante correspondiente.</v>
      </c>
      <c r="M54" s="8" t="s">
        <v>144</v>
      </c>
      <c r="N54" s="5" t="str">
        <f>IF($M54="","",IFERROR(IF(VLOOKUP($M54,'Casos y evidencias'!$A$6:$O$83,5,FALSE)="","",VLOOKUP($M54,'Casos y evidencias'!$A$6:$O$83,5,FALSE)),"ID no encontrado"))</f>
        <v>Aviso al participante ante cambios</v>
      </c>
      <c r="O54" s="5" t="str">
        <f>IF($M54="","",IFERROR(IF(VLOOKUP($M54,'Casos y evidencias'!$A$6:$O$83,10,FALSE)="","",VLOOKUP($M54,'Casos y evidencias'!$A$6:$O$83,10,FALSE)),"ID no encontrado"))</f>
        <v>No ejecutado</v>
      </c>
      <c r="P54" s="7" t="str">
        <f>IF($M54="","",IFERROR(IF(VLOOKUP($M54,'Casos y evidencias'!$A$6:$O$83,11,FALSE)="","",VLOOKUP($M54,'Casos y evidencias'!$A$6:$O$83,11,FALSE)),"ID no encontrado"))</f>
        <v/>
      </c>
      <c r="Q54" s="5" t="str">
        <f>IF($M54="","",IFERROR(IF(VLOOKUP($M54,'Casos y evidencias'!$A$6:$O$83,12,FALSE)="","",VLOOKUP($M54,'Casos y evidencias'!$A$6:$O$83,12,FALSE)),"ID no encontrado"))</f>
        <v/>
      </c>
      <c r="R54" s="4"/>
    </row>
    <row r="55" spans="1:18" ht="75.599999999999994" customHeight="1">
      <c r="A55" s="6">
        <v>48</v>
      </c>
      <c r="B55" s="5" t="str">
        <f>IF($G55="","",IF($K55="","Falta criterio",IFERROR(IF(VLOOKUP($K55,'Historias y criterios'!$A$6:$P$83,3,FALSE)&lt;&gt;$G55,"Revisar relación requisito-criterio",IF($M55="","Falta caso de prueba",IF(VLOOKUP($M55,'Casos y evidencias'!$A$6:$O$83,2,FALSE)&lt;&gt;$K55,"Revisar relación criterio-caso",IF($O55="Aprobado",IF($P55="","Falta evidencia","Trazabilidad completa"),IF($O55="Fallido","Prueba fallida",IF($O55="Bloqueado","Prueba bloqueada","Prueba pendiente")))))),"ID no encontrado")))</f>
        <v>Prueba pendiente</v>
      </c>
      <c r="C55" s="7" t="str">
        <f>IF($G55="","",IFERROR(IF(VLOOKUP($G55,Requerimientos!$A$6:$M$43,2,FALSE)="","",VLOOKUP($G55,Requerimientos!$A$6:$M$43,2,FALSE)),"ID no encontrado"))</f>
        <v>OBJ-004</v>
      </c>
      <c r="D55" s="5" t="str">
        <f>IF($C55="","",IFERROR(IF(VLOOKUP($C55,'Objetivos y procesos'!$A$6:$H$35,2,FALSE)="","",VLOOKUP($C55,'Objetivos y procesos'!$A$6:$H$35,2,FALSE)),"ID no encontrado"))</f>
        <v>Entregar avisos oportunos y una trazabilidad común para todos los procesos incorporados.</v>
      </c>
      <c r="E55" s="7" t="str">
        <f>IF($G55="","",IFERROR(IF(VLOOKUP($G55,Requerimientos!$A$6:$M$43,3,FALSE)="","",VLOOKUP($G55,Requerimientos!$A$6:$M$43,3,FALSE)),"ID no encontrado"))</f>
        <v>PR-04</v>
      </c>
      <c r="F55" s="5" t="str">
        <f>IF($E55="","",IFERROR(IF(INDEX('Objetivos y procesos'!$D$6:$D$35,MATCH($E55,'Objetivos y procesos'!$C$6:$C$35,0))="","",IF(INDEX('Objetivos y procesos'!$D$6:$D$35,MATCH($E55,'Objetivos y procesos'!$C$6:$C$35,0))=INDEX('Objetivos y procesos'!$E$6:$E$35,MATCH($E55,'Objetivos y procesos'!$C$6:$C$35,0)),INDEX('Objetivos y procesos'!$D$6:$D$35,MATCH($E55,'Objetivos y procesos'!$C$6:$C$35,0)),INDEX('Objetivos y procesos'!$D$6:$D$35,MATCH($E55,'Objetivos y procesos'!$C$6:$C$35,0))&amp;IF(INDEX('Objetivos y procesos'!$E$6:$E$35,MATCH($E55,'Objetivos y procesos'!$C$6:$C$35,0))="",""," / "&amp;INDEX('Objetivos y procesos'!$E$6:$E$35,MATCH($E55,'Objetivos y procesos'!$C$6:$C$35,0))))),"ID no encontrado"))</f>
        <v>Notificaciones y trazabilidad</v>
      </c>
      <c r="G55" s="8" t="s">
        <v>142</v>
      </c>
      <c r="H55" s="5" t="str">
        <f>IF($G55="","",IFERROR(IF(VLOOKUP($G55,Requerimientos!$A$6:$M$43,7,FALSE)="","",VLOOKUP($G55,Requerimientos!$A$6:$M$43,7,FALSE)),"ID no encontrado"))</f>
        <v>El sistema debe notificar al solicitante las aprobaciones, rechazos, observaciones y cambios de estado de su proceso.</v>
      </c>
      <c r="I55" s="7" t="str">
        <f>IF($K55="","",IFERROR(IF(VLOOKUP($K55,'Historias y criterios'!$A$6:$P$83,2,FALSE)="","",VLOOKUP($K55,'Historias y criterios'!$A$6:$P$83,2,FALSE)),"ID no encontrado"))</f>
        <v>HU-013</v>
      </c>
      <c r="J55" s="5" t="str">
        <f>IF($K55="","",IFERROR(IF(VLOOKUP($K55,'Historias y criterios'!$A$6:$P$83,10,FALSE)="","",VLOOKUP($K55,'Historias y criterios'!$A$6:$P$83,10,FALSE)),"ID no encontrado"))</f>
        <v>Como participante de un proceso, quiero recibir y administrar notificaciones de aprobaciones, rechazos, observaciones y cambios de estado, para saber cuándo debo actuar y acceder directamente al proceso</v>
      </c>
      <c r="K55" s="8" t="s">
        <v>145</v>
      </c>
      <c r="L55" s="5" t="str">
        <f>IF($K55="","",IFERROR(IF(VLOOKUP($K55,'Historias y criterios'!$A$6:$P$83,11,FALSE)="","",VLOOKUP($K55,'Historias y criterios'!$A$6:$P$83,11,FALSE)),"ID no encontrado"))</f>
        <v>Las campanas diferencian avisos generales y autorizaciones de órdenes de venta.</v>
      </c>
      <c r="M55" s="8" t="s">
        <v>146</v>
      </c>
      <c r="N55" s="5" t="str">
        <f>IF($M55="","",IFERROR(IF(VLOOKUP($M55,'Casos y evidencias'!$A$6:$O$83,5,FALSE)="","",VLOOKUP($M55,'Casos y evidencias'!$A$6:$O$83,5,FALSE)),"ID no encontrado"))</f>
        <v>Diferenciación de campanas</v>
      </c>
      <c r="O55" s="5" t="str">
        <f>IF($M55="","",IFERROR(IF(VLOOKUP($M55,'Casos y evidencias'!$A$6:$O$83,10,FALSE)="","",VLOOKUP($M55,'Casos y evidencias'!$A$6:$O$83,10,FALSE)),"ID no encontrado"))</f>
        <v>No ejecutado</v>
      </c>
      <c r="P55" s="7" t="str">
        <f>IF($M55="","",IFERROR(IF(VLOOKUP($M55,'Casos y evidencias'!$A$6:$O$83,11,FALSE)="","",VLOOKUP($M55,'Casos y evidencias'!$A$6:$O$83,11,FALSE)),"ID no encontrado"))</f>
        <v/>
      </c>
      <c r="Q55" s="5" t="str">
        <f>IF($M55="","",IFERROR(IF(VLOOKUP($M55,'Casos y evidencias'!$A$6:$O$83,12,FALSE)="","",VLOOKUP($M55,'Casos y evidencias'!$A$6:$O$83,12,FALSE)),"ID no encontrado"))</f>
        <v/>
      </c>
      <c r="R55" s="4"/>
    </row>
    <row r="56" spans="1:18" ht="75.599999999999994" customHeight="1">
      <c r="A56" s="6">
        <v>49</v>
      </c>
      <c r="B56" s="5" t="str">
        <f>IF($G56="","",IF($K56="","Falta criterio",IFERROR(IF(VLOOKUP($K56,'Historias y criterios'!$A$6:$P$83,3,FALSE)&lt;&gt;$G56,"Revisar relación requisito-criterio",IF($M56="","Falta caso de prueba",IF(VLOOKUP($M56,'Casos y evidencias'!$A$6:$O$83,2,FALSE)&lt;&gt;$K56,"Revisar relación criterio-caso",IF($O56="Aprobado",IF($P56="","Falta evidencia","Trazabilidad completa"),IF($O56="Fallido","Prueba fallida",IF($O56="Bloqueado","Prueba bloqueada","Prueba pendiente")))))),"ID no encontrado")))</f>
        <v>Prueba pendiente</v>
      </c>
      <c r="C56" s="7" t="str">
        <f>IF($G56="","",IFERROR(IF(VLOOKUP($G56,Requerimientos!$A$6:$M$43,2,FALSE)="","",VLOOKUP($G56,Requerimientos!$A$6:$M$43,2,FALSE)),"ID no encontrado"))</f>
        <v>OBJ-004</v>
      </c>
      <c r="D56" s="5" t="str">
        <f>IF($C56="","",IFERROR(IF(VLOOKUP($C56,'Objetivos y procesos'!$A$6:$H$35,2,FALSE)="","",VLOOKUP($C56,'Objetivos y procesos'!$A$6:$H$35,2,FALSE)),"ID no encontrado"))</f>
        <v>Entregar avisos oportunos y una trazabilidad común para todos los procesos incorporados.</v>
      </c>
      <c r="E56" s="7" t="str">
        <f>IF($G56="","",IFERROR(IF(VLOOKUP($G56,Requerimientos!$A$6:$M$43,3,FALSE)="","",VLOOKUP($G56,Requerimientos!$A$6:$M$43,3,FALSE)),"ID no encontrado"))</f>
        <v>PR-04</v>
      </c>
      <c r="F56" s="5" t="str">
        <f>IF($E56="","",IFERROR(IF(INDEX('Objetivos y procesos'!$D$6:$D$35,MATCH($E56,'Objetivos y procesos'!$C$6:$C$35,0))="","",IF(INDEX('Objetivos y procesos'!$D$6:$D$35,MATCH($E56,'Objetivos y procesos'!$C$6:$C$35,0))=INDEX('Objetivos y procesos'!$E$6:$E$35,MATCH($E56,'Objetivos y procesos'!$C$6:$C$35,0)),INDEX('Objetivos y procesos'!$D$6:$D$35,MATCH($E56,'Objetivos y procesos'!$C$6:$C$35,0)),INDEX('Objetivos y procesos'!$D$6:$D$35,MATCH($E56,'Objetivos y procesos'!$C$6:$C$35,0))&amp;IF(INDEX('Objetivos y procesos'!$E$6:$E$35,MATCH($E56,'Objetivos y procesos'!$C$6:$C$35,0))="",""," / "&amp;INDEX('Objetivos y procesos'!$E$6:$E$35,MATCH($E56,'Objetivos y procesos'!$C$6:$C$35,0))))),"ID no encontrado"))</f>
        <v>Notificaciones y trazabilidad</v>
      </c>
      <c r="G56" s="8" t="s">
        <v>142</v>
      </c>
      <c r="H56" s="5" t="str">
        <f>IF($G56="","",IFERROR(IF(VLOOKUP($G56,Requerimientos!$A$6:$M$43,7,FALSE)="","",VLOOKUP($G56,Requerimientos!$A$6:$M$43,7,FALSE)),"ID no encontrado"))</f>
        <v>El sistema debe notificar al solicitante las aprobaciones, rechazos, observaciones y cambios de estado de su proceso.</v>
      </c>
      <c r="I56" s="7" t="str">
        <f>IF($K56="","",IFERROR(IF(VLOOKUP($K56,'Historias y criterios'!$A$6:$P$83,2,FALSE)="","",VLOOKUP($K56,'Historias y criterios'!$A$6:$P$83,2,FALSE)),"ID no encontrado"))</f>
        <v>HU-013</v>
      </c>
      <c r="J56" s="5" t="str">
        <f>IF($K56="","",IFERROR(IF(VLOOKUP($K56,'Historias y criterios'!$A$6:$P$83,10,FALSE)="","",VLOOKUP($K56,'Historias y criterios'!$A$6:$P$83,10,FALSE)),"ID no encontrado"))</f>
        <v>Como participante de un proceso, quiero recibir y administrar notificaciones de aprobaciones, rechazos, observaciones y cambios de estado, para saber cuándo debo actuar y acceder directamente al proceso</v>
      </c>
      <c r="K56" s="8" t="s">
        <v>147</v>
      </c>
      <c r="L56" s="5" t="str">
        <f>IF($K56="","",IFERROR(IF(VLOOKUP($K56,'Historias y criterios'!$A$6:$P$83,11,FALSE)="","",VLOOKUP($K56,'Historias y criterios'!$A$6:$P$83,11,FALSE)),"ID no encontrado"))</f>
        <v>La página de notificaciones permite abrir, marcar como leída, marcar todas y eliminar una o todas.</v>
      </c>
      <c r="M56" s="8" t="s">
        <v>148</v>
      </c>
      <c r="N56" s="5" t="str">
        <f>IF($M56="","",IFERROR(IF(VLOOKUP($M56,'Casos y evidencias'!$A$6:$O$83,5,FALSE)="","",VLOOKUP($M56,'Casos y evidencias'!$A$6:$O$83,5,FALSE)),"ID no encontrado"))</f>
        <v>Administración de notificaciones</v>
      </c>
      <c r="O56" s="5" t="str">
        <f>IF($M56="","",IFERROR(IF(VLOOKUP($M56,'Casos y evidencias'!$A$6:$O$83,10,FALSE)="","",VLOOKUP($M56,'Casos y evidencias'!$A$6:$O$83,10,FALSE)),"ID no encontrado"))</f>
        <v>No ejecutado</v>
      </c>
      <c r="P56" s="7" t="str">
        <f>IF($M56="","",IFERROR(IF(VLOOKUP($M56,'Casos y evidencias'!$A$6:$O$83,11,FALSE)="","",VLOOKUP($M56,'Casos y evidencias'!$A$6:$O$83,11,FALSE)),"ID no encontrado"))</f>
        <v/>
      </c>
      <c r="Q56" s="5" t="str">
        <f>IF($M56="","",IFERROR(IF(VLOOKUP($M56,'Casos y evidencias'!$A$6:$O$83,12,FALSE)="","",VLOOKUP($M56,'Casos y evidencias'!$A$6:$O$83,12,FALSE)),"ID no encontrado"))</f>
        <v/>
      </c>
      <c r="R56" s="4"/>
    </row>
    <row r="57" spans="1:18" ht="75.599999999999994" customHeight="1">
      <c r="A57" s="6">
        <v>50</v>
      </c>
      <c r="B57" s="5" t="str">
        <f>IF($G57="","",IF($K57="","Falta criterio",IFERROR(IF(VLOOKUP($K57,'Historias y criterios'!$A$6:$P$83,3,FALSE)&lt;&gt;$G57,"Revisar relación requisito-criterio",IF($M57="","Falta caso de prueba",IF(VLOOKUP($M57,'Casos y evidencias'!$A$6:$O$83,2,FALSE)&lt;&gt;$K57,"Revisar relación criterio-caso",IF($O57="Aprobado",IF($P57="","Falta evidencia","Trazabilidad completa"),IF($O57="Fallido","Prueba fallida",IF($O57="Bloqueado","Prueba bloqueada","Prueba pendiente")))))),"ID no encontrado")))</f>
        <v>Prueba pendiente</v>
      </c>
      <c r="C57" s="7" t="str">
        <f>IF($G57="","",IFERROR(IF(VLOOKUP($G57,Requerimientos!$A$6:$M$43,2,FALSE)="","",VLOOKUP($G57,Requerimientos!$A$6:$M$43,2,FALSE)),"ID no encontrado"))</f>
        <v>OBJ-004</v>
      </c>
      <c r="D57" s="5" t="str">
        <f>IF($C57="","",IFERROR(IF(VLOOKUP($C57,'Objetivos y procesos'!$A$6:$H$35,2,FALSE)="","",VLOOKUP($C57,'Objetivos y procesos'!$A$6:$H$35,2,FALSE)),"ID no encontrado"))</f>
        <v>Entregar avisos oportunos y una trazabilidad común para todos los procesos incorporados.</v>
      </c>
      <c r="E57" s="7" t="str">
        <f>IF($G57="","",IFERROR(IF(VLOOKUP($G57,Requerimientos!$A$6:$M$43,3,FALSE)="","",VLOOKUP($G57,Requerimientos!$A$6:$M$43,3,FALSE)),"ID no encontrado"))</f>
        <v>PR-04</v>
      </c>
      <c r="F57" s="5" t="str">
        <f>IF($E57="","",IFERROR(IF(INDEX('Objetivos y procesos'!$D$6:$D$35,MATCH($E57,'Objetivos y procesos'!$C$6:$C$35,0))="","",IF(INDEX('Objetivos y procesos'!$D$6:$D$35,MATCH($E57,'Objetivos y procesos'!$C$6:$C$35,0))=INDEX('Objetivos y procesos'!$E$6:$E$35,MATCH($E57,'Objetivos y procesos'!$C$6:$C$35,0)),INDEX('Objetivos y procesos'!$D$6:$D$35,MATCH($E57,'Objetivos y procesos'!$C$6:$C$35,0)),INDEX('Objetivos y procesos'!$D$6:$D$35,MATCH($E57,'Objetivos y procesos'!$C$6:$C$35,0))&amp;IF(INDEX('Objetivos y procesos'!$E$6:$E$35,MATCH($E57,'Objetivos y procesos'!$C$6:$C$35,0))="",""," / "&amp;INDEX('Objetivos y procesos'!$E$6:$E$35,MATCH($E57,'Objetivos y procesos'!$C$6:$C$35,0))))),"ID no encontrado"))</f>
        <v>Notificaciones y trazabilidad</v>
      </c>
      <c r="G57" s="8" t="s">
        <v>142</v>
      </c>
      <c r="H57" s="5" t="str">
        <f>IF($G57="","",IFERROR(IF(VLOOKUP($G57,Requerimientos!$A$6:$M$43,7,FALSE)="","",VLOOKUP($G57,Requerimientos!$A$6:$M$43,7,FALSE)),"ID no encontrado"))</f>
        <v>El sistema debe notificar al solicitante las aprobaciones, rechazos, observaciones y cambios de estado de su proceso.</v>
      </c>
      <c r="I57" s="7" t="str">
        <f>IF($K57="","",IFERROR(IF(VLOOKUP($K57,'Historias y criterios'!$A$6:$P$83,2,FALSE)="","",VLOOKUP($K57,'Historias y criterios'!$A$6:$P$83,2,FALSE)),"ID no encontrado"))</f>
        <v>HU-013</v>
      </c>
      <c r="J57" s="5" t="str">
        <f>IF($K57="","",IFERROR(IF(VLOOKUP($K57,'Historias y criterios'!$A$6:$P$83,10,FALSE)="","",VLOOKUP($K57,'Historias y criterios'!$A$6:$P$83,10,FALSE)),"ID no encontrado"))</f>
        <v>Como participante de un proceso, quiero recibir y administrar notificaciones de aprobaciones, rechazos, observaciones y cambios de estado, para saber cuándo debo actuar y acceder directamente al proceso</v>
      </c>
      <c r="K57" s="8" t="s">
        <v>149</v>
      </c>
      <c r="L57" s="5" t="str">
        <f>IF($K57="","",IFERROR(IF(VLOOKUP($K57,'Historias y criterios'!$A$6:$P$83,11,FALSE)="","",VLOOKUP($K57,'Historias y criterios'!$A$6:$P$83,11,FALSE)),"ID no encontrado"))</f>
        <v>Se registra la fecha de lectura y cada enlace abre el proceso de origen.</v>
      </c>
      <c r="M57" s="8" t="s">
        <v>150</v>
      </c>
      <c r="N57" s="5" t="str">
        <f>IF($M57="","",IFERROR(IF(VLOOKUP($M57,'Casos y evidencias'!$A$6:$O$83,5,FALSE)="","",VLOOKUP($M57,'Casos y evidencias'!$A$6:$O$83,5,FALSE)),"ID no encontrado"))</f>
        <v>Fecha de lectura y enlace al origen</v>
      </c>
      <c r="O57" s="5" t="str">
        <f>IF($M57="","",IFERROR(IF(VLOOKUP($M57,'Casos y evidencias'!$A$6:$O$83,10,FALSE)="","",VLOOKUP($M57,'Casos y evidencias'!$A$6:$O$83,10,FALSE)),"ID no encontrado"))</f>
        <v>No ejecutado</v>
      </c>
      <c r="P57" s="7" t="str">
        <f>IF($M57="","",IFERROR(IF(VLOOKUP($M57,'Casos y evidencias'!$A$6:$O$83,11,FALSE)="","",VLOOKUP($M57,'Casos y evidencias'!$A$6:$O$83,11,FALSE)),"ID no encontrado"))</f>
        <v/>
      </c>
      <c r="Q57" s="5" t="str">
        <f>IF($M57="","",IFERROR(IF(VLOOKUP($M57,'Casos y evidencias'!$A$6:$O$83,12,FALSE)="","",VLOOKUP($M57,'Casos y evidencias'!$A$6:$O$83,12,FALSE)),"ID no encontrado"))</f>
        <v/>
      </c>
      <c r="R57" s="4"/>
    </row>
    <row r="58" spans="1:18" ht="75.599999999999994" customHeight="1">
      <c r="A58" s="6">
        <v>51</v>
      </c>
      <c r="B58" s="5" t="str">
        <f>IF($G58="","",IF($K58="","Falta criterio",IFERROR(IF(VLOOKUP($K58,'Historias y criterios'!$A$6:$P$83,3,FALSE)&lt;&gt;$G58,"Revisar relación requisito-criterio",IF($M58="","Falta caso de prueba",IF(VLOOKUP($M58,'Casos y evidencias'!$A$6:$O$83,2,FALSE)&lt;&gt;$K58,"Revisar relación criterio-caso",IF($O58="Aprobado",IF($P58="","Falta evidencia","Trazabilidad completa"),IF($O58="Fallido","Prueba fallida",IF($O58="Bloqueado","Prueba bloqueada","Prueba pendiente")))))),"ID no encontrado")))</f>
        <v>Prueba pendiente</v>
      </c>
      <c r="C58" s="7" t="str">
        <f>IF($G58="","",IFERROR(IF(VLOOKUP($G58,Requerimientos!$A$6:$M$43,2,FALSE)="","",VLOOKUP($G58,Requerimientos!$A$6:$M$43,2,FALSE)),"ID no encontrado"))</f>
        <v>OBJ-004</v>
      </c>
      <c r="D58" s="5" t="str">
        <f>IF($C58="","",IFERROR(IF(VLOOKUP($C58,'Objetivos y procesos'!$A$6:$H$35,2,FALSE)="","",VLOOKUP($C58,'Objetivos y procesos'!$A$6:$H$35,2,FALSE)),"ID no encontrado"))</f>
        <v>Entregar avisos oportunos y una trazabilidad común para todos los procesos incorporados.</v>
      </c>
      <c r="E58" s="7" t="str">
        <f>IF($G58="","",IFERROR(IF(VLOOKUP($G58,Requerimientos!$A$6:$M$43,3,FALSE)="","",VLOOKUP($G58,Requerimientos!$A$6:$M$43,3,FALSE)),"ID no encontrado"))</f>
        <v>PR-04</v>
      </c>
      <c r="F58" s="5" t="str">
        <f>IF($E58="","",IFERROR(IF(INDEX('Objetivos y procesos'!$D$6:$D$35,MATCH($E58,'Objetivos y procesos'!$C$6:$C$35,0))="","",IF(INDEX('Objetivos y procesos'!$D$6:$D$35,MATCH($E58,'Objetivos y procesos'!$C$6:$C$35,0))=INDEX('Objetivos y procesos'!$E$6:$E$35,MATCH($E58,'Objetivos y procesos'!$C$6:$C$35,0)),INDEX('Objetivos y procesos'!$D$6:$D$35,MATCH($E58,'Objetivos y procesos'!$C$6:$C$35,0)),INDEX('Objetivos y procesos'!$D$6:$D$35,MATCH($E58,'Objetivos y procesos'!$C$6:$C$35,0))&amp;IF(INDEX('Objetivos y procesos'!$E$6:$E$35,MATCH($E58,'Objetivos y procesos'!$C$6:$C$35,0))="",""," / "&amp;INDEX('Objetivos y procesos'!$E$6:$E$35,MATCH($E58,'Objetivos y procesos'!$C$6:$C$35,0))))),"ID no encontrado"))</f>
        <v>Notificaciones y trazabilidad</v>
      </c>
      <c r="G58" s="8" t="s">
        <v>151</v>
      </c>
      <c r="H58" s="5" t="str">
        <f>IF($G58="","",IFERROR(IF(VLOOKUP($G58,Requerimientos!$A$6:$M$43,7,FALSE)="","",VLOOKUP($G58,Requerimientos!$A$6:$M$43,7,FALSE)),"ID no encontrado"))</f>
        <v>El sistema debe registrar en cada proceso su estado actual, el usuario que lo resolvió, la fecha y hora de la respuesta y el comentario asociado.</v>
      </c>
      <c r="I58" s="7" t="str">
        <f>IF($K58="","",IFERROR(IF(VLOOKUP($K58,'Historias y criterios'!$A$6:$P$83,2,FALSE)="","",VLOOKUP($K58,'Historias y criterios'!$A$6:$P$83,2,FALSE)),"ID no encontrado"))</f>
        <v>HU-014</v>
      </c>
      <c r="J58" s="5" t="str">
        <f>IF($K58="","",IFERROR(IF(VLOOKUP($K58,'Historias y criterios'!$A$6:$P$83,10,FALSE)="","",VLOOKUP($K58,'Historias y criterios'!$A$6:$P$83,10,FALSE)),"ID no encontrado"))</f>
        <v>Como usuario participante o jefatura autorizada, quiero consultar el estado y el historial de cada proceso, para conocer quién realizó cada acción, cuándo y con qué resultado</v>
      </c>
      <c r="K58" s="8" t="s">
        <v>152</v>
      </c>
      <c r="L58" s="5" t="str">
        <f>IF($K58="","",IFERROR(IF(VLOOKUP($K58,'Historias y criterios'!$A$6:$P$83,11,FALSE)="","",VLOOKUP($K58,'Historias y criterios'!$A$6:$P$83,11,FALSE)),"ID no encontrado"))</f>
        <v>Cada cambio registra estado, usuario, fecha, hora y comentario.</v>
      </c>
      <c r="M58" s="8" t="s">
        <v>153</v>
      </c>
      <c r="N58" s="5" t="str">
        <f>IF($M58="","",IFERROR(IF(VLOOKUP($M58,'Casos y evidencias'!$A$6:$O$83,5,FALSE)="","",VLOOKUP($M58,'Casos y evidencias'!$A$6:$O$83,5,FALSE)),"ID no encontrado"))</f>
        <v>Registro de cada cambio de estado</v>
      </c>
      <c r="O58" s="5" t="str">
        <f>IF($M58="","",IFERROR(IF(VLOOKUP($M58,'Casos y evidencias'!$A$6:$O$83,10,FALSE)="","",VLOOKUP($M58,'Casos y evidencias'!$A$6:$O$83,10,FALSE)),"ID no encontrado"))</f>
        <v>No ejecutado</v>
      </c>
      <c r="P58" s="7" t="str">
        <f>IF($M58="","",IFERROR(IF(VLOOKUP($M58,'Casos y evidencias'!$A$6:$O$83,11,FALSE)="","",VLOOKUP($M58,'Casos y evidencias'!$A$6:$O$83,11,FALSE)),"ID no encontrado"))</f>
        <v/>
      </c>
      <c r="Q58" s="5" t="str">
        <f>IF($M58="","",IFERROR(IF(VLOOKUP($M58,'Casos y evidencias'!$A$6:$O$83,12,FALSE)="","",VLOOKUP($M58,'Casos y evidencias'!$A$6:$O$83,12,FALSE)),"ID no encontrado"))</f>
        <v/>
      </c>
      <c r="R58" s="4"/>
    </row>
    <row r="59" spans="1:18" ht="75.599999999999994" customHeight="1">
      <c r="A59" s="6">
        <v>52</v>
      </c>
      <c r="B59" s="5" t="str">
        <f>IF($G59="","",IF($K59="","Falta criterio",IFERROR(IF(VLOOKUP($K59,'Historias y criterios'!$A$6:$P$83,3,FALSE)&lt;&gt;$G59,"Revisar relación requisito-criterio",IF($M59="","Falta caso de prueba",IF(VLOOKUP($M59,'Casos y evidencias'!$A$6:$O$83,2,FALSE)&lt;&gt;$K59,"Revisar relación criterio-caso",IF($O59="Aprobado",IF($P59="","Falta evidencia","Trazabilidad completa"),IF($O59="Fallido","Prueba fallida",IF($O59="Bloqueado","Prueba bloqueada","Prueba pendiente")))))),"ID no encontrado")))</f>
        <v>Prueba pendiente</v>
      </c>
      <c r="C59" s="7" t="str">
        <f>IF($G59="","",IFERROR(IF(VLOOKUP($G59,Requerimientos!$A$6:$M$43,2,FALSE)="","",VLOOKUP($G59,Requerimientos!$A$6:$M$43,2,FALSE)),"ID no encontrado"))</f>
        <v>OBJ-004</v>
      </c>
      <c r="D59" s="5" t="str">
        <f>IF($C59="","",IFERROR(IF(VLOOKUP($C59,'Objetivos y procesos'!$A$6:$H$35,2,FALSE)="","",VLOOKUP($C59,'Objetivos y procesos'!$A$6:$H$35,2,FALSE)),"ID no encontrado"))</f>
        <v>Entregar avisos oportunos y una trazabilidad común para todos los procesos incorporados.</v>
      </c>
      <c r="E59" s="7" t="str">
        <f>IF($G59="","",IFERROR(IF(VLOOKUP($G59,Requerimientos!$A$6:$M$43,3,FALSE)="","",VLOOKUP($G59,Requerimientos!$A$6:$M$43,3,FALSE)),"ID no encontrado"))</f>
        <v>PR-04</v>
      </c>
      <c r="F59" s="5" t="str">
        <f>IF($E59="","",IFERROR(IF(INDEX('Objetivos y procesos'!$D$6:$D$35,MATCH($E59,'Objetivos y procesos'!$C$6:$C$35,0))="","",IF(INDEX('Objetivos y procesos'!$D$6:$D$35,MATCH($E59,'Objetivos y procesos'!$C$6:$C$35,0))=INDEX('Objetivos y procesos'!$E$6:$E$35,MATCH($E59,'Objetivos y procesos'!$C$6:$C$35,0)),INDEX('Objetivos y procesos'!$D$6:$D$35,MATCH($E59,'Objetivos y procesos'!$C$6:$C$35,0)),INDEX('Objetivos y procesos'!$D$6:$D$35,MATCH($E59,'Objetivos y procesos'!$C$6:$C$35,0))&amp;IF(INDEX('Objetivos y procesos'!$E$6:$E$35,MATCH($E59,'Objetivos y procesos'!$C$6:$C$35,0))="",""," / "&amp;INDEX('Objetivos y procesos'!$E$6:$E$35,MATCH($E59,'Objetivos y procesos'!$C$6:$C$35,0))))),"ID no encontrado"))</f>
        <v>Notificaciones y trazabilidad</v>
      </c>
      <c r="G59" s="8" t="s">
        <v>154</v>
      </c>
      <c r="H59" s="5" t="str">
        <f>IF($G59="","",IFERROR(IF(VLOOKUP($G59,Requerimientos!$A$6:$M$43,7,FALSE)="","",VLOOKUP($G59,Requerimientos!$A$6:$M$43,7,FALSE)),"ID no encontrado"))</f>
        <v>El sistema debe permitir consultar el estado, el responsable, la fecha de respuesta y el comentario de cada proceso.</v>
      </c>
      <c r="I59" s="7" t="str">
        <f>IF($K59="","",IFERROR(IF(VLOOKUP($K59,'Historias y criterios'!$A$6:$P$83,2,FALSE)="","",VLOOKUP($K59,'Historias y criterios'!$A$6:$P$83,2,FALSE)),"ID no encontrado"))</f>
        <v>HU-014</v>
      </c>
      <c r="J59" s="5" t="str">
        <f>IF($K59="","",IFERROR(IF(VLOOKUP($K59,'Historias y criterios'!$A$6:$P$83,10,FALSE)="","",VLOOKUP($K59,'Historias y criterios'!$A$6:$P$83,10,FALSE)),"ID no encontrado"))</f>
        <v>Como usuario participante o jefatura autorizada, quiero consultar el estado y el historial de cada proceso, para conocer quién realizó cada acción, cuándo y con qué resultado</v>
      </c>
      <c r="K59" s="8" t="s">
        <v>155</v>
      </c>
      <c r="L59" s="5" t="str">
        <f>IF($K59="","",IFERROR(IF(VLOOKUP($K59,'Historias y criterios'!$A$6:$P$83,11,FALSE)="","",VLOOKUP($K59,'Historias y criterios'!$A$6:$P$83,11,FALSE)),"ID no encontrado"))</f>
        <v>La consulta muestra el estado actual, responsable y secuencia histórica.</v>
      </c>
      <c r="M59" s="8" t="s">
        <v>156</v>
      </c>
      <c r="N59" s="5" t="str">
        <f>IF($M59="","",IFERROR(IF(VLOOKUP($M59,'Casos y evidencias'!$A$6:$O$83,5,FALSE)="","",VLOOKUP($M59,'Casos y evidencias'!$A$6:$O$83,5,FALSE)),"ID no encontrado"))</f>
        <v>Consulta del estado y la secuencia histórica</v>
      </c>
      <c r="O59" s="5" t="str">
        <f>IF($M59="","",IFERROR(IF(VLOOKUP($M59,'Casos y evidencias'!$A$6:$O$83,10,FALSE)="","",VLOOKUP($M59,'Casos y evidencias'!$A$6:$O$83,10,FALSE)),"ID no encontrado"))</f>
        <v>No ejecutado</v>
      </c>
      <c r="P59" s="7" t="str">
        <f>IF($M59="","",IFERROR(IF(VLOOKUP($M59,'Casos y evidencias'!$A$6:$O$83,11,FALSE)="","",VLOOKUP($M59,'Casos y evidencias'!$A$6:$O$83,11,FALSE)),"ID no encontrado"))</f>
        <v/>
      </c>
      <c r="Q59" s="5" t="str">
        <f>IF($M59="","",IFERROR(IF(VLOOKUP($M59,'Casos y evidencias'!$A$6:$O$83,12,FALSE)="","",VLOOKUP($M59,'Casos y evidencias'!$A$6:$O$83,12,FALSE)),"ID no encontrado"))</f>
        <v/>
      </c>
      <c r="R59" s="4"/>
    </row>
    <row r="60" spans="1:18" ht="75.599999999999994" customHeight="1">
      <c r="A60" s="6">
        <v>53</v>
      </c>
      <c r="B60" s="5" t="str">
        <f>IF($G60="","",IF($K60="","Falta criterio",IFERROR(IF(VLOOKUP($K60,'Historias y criterios'!$A$6:$P$83,3,FALSE)&lt;&gt;$G60,"Revisar relación requisito-criterio",IF($M60="","Falta caso de prueba",IF(VLOOKUP($M60,'Casos y evidencias'!$A$6:$O$83,2,FALSE)&lt;&gt;$K60,"Revisar relación criterio-caso",IF($O60="Aprobado",IF($P60="","Falta evidencia","Trazabilidad completa"),IF($O60="Fallido","Prueba fallida",IF($O60="Bloqueado","Prueba bloqueada","Prueba pendiente")))))),"ID no encontrado")))</f>
        <v>Prueba pendiente</v>
      </c>
      <c r="C60" s="7" t="str">
        <f>IF($G60="","",IFERROR(IF(VLOOKUP($G60,Requerimientos!$A$6:$M$43,2,FALSE)="","",VLOOKUP($G60,Requerimientos!$A$6:$M$43,2,FALSE)),"ID no encontrado"))</f>
        <v>OBJ-004</v>
      </c>
      <c r="D60" s="5" t="str">
        <f>IF($C60="","",IFERROR(IF(VLOOKUP($C60,'Objetivos y procesos'!$A$6:$H$35,2,FALSE)="","",VLOOKUP($C60,'Objetivos y procesos'!$A$6:$H$35,2,FALSE)),"ID no encontrado"))</f>
        <v>Entregar avisos oportunos y una trazabilidad común para todos los procesos incorporados.</v>
      </c>
      <c r="E60" s="7" t="str">
        <f>IF($G60="","",IFERROR(IF(VLOOKUP($G60,Requerimientos!$A$6:$M$43,3,FALSE)="","",VLOOKUP($G60,Requerimientos!$A$6:$M$43,3,FALSE)),"ID no encontrado"))</f>
        <v>PR-04</v>
      </c>
      <c r="F60" s="5" t="str">
        <f>IF($E60="","",IFERROR(IF(INDEX('Objetivos y procesos'!$D$6:$D$35,MATCH($E60,'Objetivos y procesos'!$C$6:$C$35,0))="","",IF(INDEX('Objetivos y procesos'!$D$6:$D$35,MATCH($E60,'Objetivos y procesos'!$C$6:$C$35,0))=INDEX('Objetivos y procesos'!$E$6:$E$35,MATCH($E60,'Objetivos y procesos'!$C$6:$C$35,0)),INDEX('Objetivos y procesos'!$D$6:$D$35,MATCH($E60,'Objetivos y procesos'!$C$6:$C$35,0)),INDEX('Objetivos y procesos'!$D$6:$D$35,MATCH($E60,'Objetivos y procesos'!$C$6:$C$35,0))&amp;IF(INDEX('Objetivos y procesos'!$E$6:$E$35,MATCH($E60,'Objetivos y procesos'!$C$6:$C$35,0))="",""," / "&amp;INDEX('Objetivos y procesos'!$E$6:$E$35,MATCH($E60,'Objetivos y procesos'!$C$6:$C$35,0))))),"ID no encontrado"))</f>
        <v>Notificaciones y trazabilidad</v>
      </c>
      <c r="G60" s="8" t="s">
        <v>151</v>
      </c>
      <c r="H60" s="5" t="str">
        <f>IF($G60="","",IFERROR(IF(VLOOKUP($G60,Requerimientos!$A$6:$M$43,7,FALSE)="","",VLOOKUP($G60,Requerimientos!$A$6:$M$43,7,FALSE)),"ID no encontrado"))</f>
        <v>El sistema debe registrar en cada proceso su estado actual, el usuario que lo resolvió, la fecha y hora de la respuesta y el comentario asociado.</v>
      </c>
      <c r="I60" s="7" t="str">
        <f>IF($K60="","",IFERROR(IF(VLOOKUP($K60,'Historias y criterios'!$A$6:$P$83,2,FALSE)="","",VLOOKUP($K60,'Historias y criterios'!$A$6:$P$83,2,FALSE)),"ID no encontrado"))</f>
        <v>HU-014</v>
      </c>
      <c r="J60" s="5" t="str">
        <f>IF($K60="","",IFERROR(IF(VLOOKUP($K60,'Historias y criterios'!$A$6:$P$83,10,FALSE)="","",VLOOKUP($K60,'Historias y criterios'!$A$6:$P$83,10,FALSE)),"ID no encontrado"))</f>
        <v>Como usuario participante o jefatura autorizada, quiero consultar el estado y el historial de cada proceso, para conocer quién realizó cada acción, cuándo y con qué resultado</v>
      </c>
      <c r="K60" s="8" t="s">
        <v>157</v>
      </c>
      <c r="L60" s="5" t="str">
        <f>IF($K60="","",IFERROR(IF(VLOOKUP($K60,'Historias y criterios'!$A$6:$P$83,11,FALSE)="","",VLOOKUP($K60,'Historias y criterios'!$A$6:$P$83,11,FALSE)),"ID no encontrado"))</f>
        <v>Las respuestas resueltas no pueden editarse.</v>
      </c>
      <c r="M60" s="8" t="s">
        <v>158</v>
      </c>
      <c r="N60" s="5" t="str">
        <f>IF($M60="","",IFERROR(IF(VLOOKUP($M60,'Casos y evidencias'!$A$6:$O$83,5,FALSE)="","",VLOOKUP($M60,'Casos y evidencias'!$A$6:$O$83,5,FALSE)),"ID no encontrado"))</f>
        <v>Inmutabilidad de respuestas resueltas</v>
      </c>
      <c r="O60" s="5" t="str">
        <f>IF($M60="","",IFERROR(IF(VLOOKUP($M60,'Casos y evidencias'!$A$6:$O$83,10,FALSE)="","",VLOOKUP($M60,'Casos y evidencias'!$A$6:$O$83,10,FALSE)),"ID no encontrado"))</f>
        <v>No ejecutado</v>
      </c>
      <c r="P60" s="7" t="str">
        <f>IF($M60="","",IFERROR(IF(VLOOKUP($M60,'Casos y evidencias'!$A$6:$O$83,11,FALSE)="","",VLOOKUP($M60,'Casos y evidencias'!$A$6:$O$83,11,FALSE)),"ID no encontrado"))</f>
        <v/>
      </c>
      <c r="Q60" s="5" t="str">
        <f>IF($M60="","",IFERROR(IF(VLOOKUP($M60,'Casos y evidencias'!$A$6:$O$83,12,FALSE)="","",VLOOKUP($M60,'Casos y evidencias'!$A$6:$O$83,12,FALSE)),"ID no encontrado"))</f>
        <v/>
      </c>
      <c r="R60" s="4"/>
    </row>
    <row r="61" spans="1:18" ht="75.599999999999994" customHeight="1">
      <c r="A61" s="6">
        <v>54</v>
      </c>
      <c r="B61" s="5" t="str">
        <f>IF($G61="","",IF($K61="","Falta criterio",IFERROR(IF(VLOOKUP($K61,'Historias y criterios'!$A$6:$P$83,3,FALSE)&lt;&gt;$G61,"Revisar relación requisito-criterio",IF($M61="","Falta caso de prueba",IF(VLOOKUP($M61,'Casos y evidencias'!$A$6:$O$83,2,FALSE)&lt;&gt;$K61,"Revisar relación criterio-caso",IF($O61="Aprobado",IF($P61="","Falta evidencia","Trazabilidad completa"),IF($O61="Fallido","Prueba fallida",IF($O61="Bloqueado","Prueba bloqueada","Prueba pendiente")))))),"ID no encontrado")))</f>
        <v>Prueba pendiente</v>
      </c>
      <c r="C61" s="7" t="str">
        <f>IF($G61="","",IFERROR(IF(VLOOKUP($G61,Requerimientos!$A$6:$M$43,2,FALSE)="","",VLOOKUP($G61,Requerimientos!$A$6:$M$43,2,FALSE)),"ID no encontrado"))</f>
        <v>OBJ-004</v>
      </c>
      <c r="D61" s="5" t="str">
        <f>IF($C61="","",IFERROR(IF(VLOOKUP($C61,'Objetivos y procesos'!$A$6:$H$35,2,FALSE)="","",VLOOKUP($C61,'Objetivos y procesos'!$A$6:$H$35,2,FALSE)),"ID no encontrado"))</f>
        <v>Entregar avisos oportunos y una trazabilidad común para todos los procesos incorporados.</v>
      </c>
      <c r="E61" s="7" t="str">
        <f>IF($G61="","",IFERROR(IF(VLOOKUP($G61,Requerimientos!$A$6:$M$43,3,FALSE)="","",VLOOKUP($G61,Requerimientos!$A$6:$M$43,3,FALSE)),"ID no encontrado"))</f>
        <v>PR-04</v>
      </c>
      <c r="F61" s="5" t="str">
        <f>IF($E61="","",IFERROR(IF(INDEX('Objetivos y procesos'!$D$6:$D$35,MATCH($E61,'Objetivos y procesos'!$C$6:$C$35,0))="","",IF(INDEX('Objetivos y procesos'!$D$6:$D$35,MATCH($E61,'Objetivos y procesos'!$C$6:$C$35,0))=INDEX('Objetivos y procesos'!$E$6:$E$35,MATCH($E61,'Objetivos y procesos'!$C$6:$C$35,0)),INDEX('Objetivos y procesos'!$D$6:$D$35,MATCH($E61,'Objetivos y procesos'!$C$6:$C$35,0)),INDEX('Objetivos y procesos'!$D$6:$D$35,MATCH($E61,'Objetivos y procesos'!$C$6:$C$35,0))&amp;IF(INDEX('Objetivos y procesos'!$E$6:$E$35,MATCH($E61,'Objetivos y procesos'!$C$6:$C$35,0))="",""," / "&amp;INDEX('Objetivos y procesos'!$E$6:$E$35,MATCH($E61,'Objetivos y procesos'!$C$6:$C$35,0))))),"ID no encontrado"))</f>
        <v>Notificaciones y trazabilidad</v>
      </c>
      <c r="G61" s="8" t="s">
        <v>154</v>
      </c>
      <c r="H61" s="5" t="str">
        <f>IF($G61="","",IFERROR(IF(VLOOKUP($G61,Requerimientos!$A$6:$M$43,7,FALSE)="","",VLOOKUP($G61,Requerimientos!$A$6:$M$43,7,FALSE)),"ID no encontrado"))</f>
        <v>El sistema debe permitir consultar el estado, el responsable, la fecha de respuesta y el comentario de cada proceso.</v>
      </c>
      <c r="I61" s="7" t="str">
        <f>IF($K61="","",IFERROR(IF(VLOOKUP($K61,'Historias y criterios'!$A$6:$P$83,2,FALSE)="","",VLOOKUP($K61,'Historias y criterios'!$A$6:$P$83,2,FALSE)),"ID no encontrado"))</f>
        <v>HU-014</v>
      </c>
      <c r="J61" s="5" t="str">
        <f>IF($K61="","",IFERROR(IF(VLOOKUP($K61,'Historias y criterios'!$A$6:$P$83,10,FALSE)="","",VLOOKUP($K61,'Historias y criterios'!$A$6:$P$83,10,FALSE)),"ID no encontrado"))</f>
        <v>Como usuario participante o jefatura autorizada, quiero consultar el estado y el historial de cada proceso, para conocer quién realizó cada acción, cuándo y con qué resultado</v>
      </c>
      <c r="K61" s="8" t="s">
        <v>159</v>
      </c>
      <c r="L61" s="5" t="str">
        <f>IF($K61="","",IFERROR(IF(VLOOKUP($K61,'Historias y criterios'!$A$6:$P$83,11,FALSE)="","",VLOOKUP($K61,'Historias y criterios'!$A$6:$P$83,11,FALSE)),"ID no encontrado"))</f>
        <v>El usuario ve solo procesos propios, asignados o permitidos por su rol.</v>
      </c>
      <c r="M61" s="8" t="s">
        <v>160</v>
      </c>
      <c r="N61" s="5" t="str">
        <f>IF($M61="","",IFERROR(IF(VLOOKUP($M61,'Casos y evidencias'!$A$6:$O$83,5,FALSE)="","",VLOOKUP($M61,'Casos y evidencias'!$A$6:$O$83,5,FALSE)),"ID no encontrado"))</f>
        <v>Visibilidad según participación y rol</v>
      </c>
      <c r="O61" s="5" t="str">
        <f>IF($M61="","",IFERROR(IF(VLOOKUP($M61,'Casos y evidencias'!$A$6:$O$83,10,FALSE)="","",VLOOKUP($M61,'Casos y evidencias'!$A$6:$O$83,10,FALSE)),"ID no encontrado"))</f>
        <v>No ejecutado</v>
      </c>
      <c r="P61" s="7" t="str">
        <f>IF($M61="","",IFERROR(IF(VLOOKUP($M61,'Casos y evidencias'!$A$6:$O$83,11,FALSE)="","",VLOOKUP($M61,'Casos y evidencias'!$A$6:$O$83,11,FALSE)),"ID no encontrado"))</f>
        <v/>
      </c>
      <c r="Q61" s="5" t="str">
        <f>IF($M61="","",IFERROR(IF(VLOOKUP($M61,'Casos y evidencias'!$A$6:$O$83,12,FALSE)="","",VLOOKUP($M61,'Casos y evidencias'!$A$6:$O$83,12,FALSE)),"ID no encontrado"))</f>
        <v/>
      </c>
      <c r="R61" s="4"/>
    </row>
    <row r="62" spans="1:18" ht="75.599999999999994" customHeight="1">
      <c r="A62" s="6">
        <v>55</v>
      </c>
      <c r="B62" s="5" t="str">
        <f>IF($G62="","",IF($K62="","Falta criterio",IFERROR(IF(VLOOKUP($K62,'Historias y criterios'!$A$6:$P$83,3,FALSE)&lt;&gt;$G62,"Revisar relación requisito-criterio",IF($M62="","Falta caso de prueba",IF(VLOOKUP($M62,'Casos y evidencias'!$A$6:$O$83,2,FALSE)&lt;&gt;$K62,"Revisar relación criterio-caso",IF($O62="Aprobado",IF($P62="","Falta evidencia","Trazabilidad completa"),IF($O62="Fallido","Prueba fallida",IF($O62="Bloqueado","Prueba bloqueada","Prueba pendiente")))))),"ID no encontrado")))</f>
        <v>Prueba pendiente</v>
      </c>
      <c r="C62" s="7" t="str">
        <f>IF($G62="","",IFERROR(IF(VLOOKUP($G62,Requerimientos!$A$6:$M$43,2,FALSE)="","",VLOOKUP($G62,Requerimientos!$A$6:$M$43,2,FALSE)),"ID no encontrado"))</f>
        <v>OBJ-005</v>
      </c>
      <c r="D62" s="5" t="str">
        <f>IF($C62="","",IFERROR(IF(VLOOKUP($C62,'Objetivos y procesos'!$A$6:$H$35,2,FALSE)="","",VLOOKUP($C62,'Objetivos y procesos'!$A$6:$H$35,2,FALSE)),"ID no encontrado"))</f>
        <v>Canalizar lecturas por API sobre HANA y escrituras autorizadas por Service Layer sin duplicidad ni operaciones parciales.</v>
      </c>
      <c r="E62" s="7" t="str">
        <f>IF($G62="","",IFERROR(IF(VLOOKUP($G62,Requerimientos!$A$6:$M$43,3,FALSE)="","",VLOOKUP($G62,Requerimientos!$A$6:$M$43,3,FALSE)),"ID no encontrado"))</f>
        <v>PR-05</v>
      </c>
      <c r="F62" s="5" t="str">
        <f>IF($E62="","",IFERROR(IF(INDEX('Objetivos y procesos'!$D$6:$D$35,MATCH($E62,'Objetivos y procesos'!$C$6:$C$35,0))="","",IF(INDEX('Objetivos y procesos'!$D$6:$D$35,MATCH($E62,'Objetivos y procesos'!$C$6:$C$35,0))=INDEX('Objetivos y procesos'!$E$6:$E$35,MATCH($E62,'Objetivos y procesos'!$C$6:$C$35,0)),INDEX('Objetivos y procesos'!$D$6:$D$35,MATCH($E62,'Objetivos y procesos'!$C$6:$C$35,0)),INDEX('Objetivos y procesos'!$D$6:$D$35,MATCH($E62,'Objetivos y procesos'!$C$6:$C$35,0))&amp;IF(INDEX('Objetivos y procesos'!$E$6:$E$35,MATCH($E62,'Objetivos y procesos'!$C$6:$C$35,0))="",""," / "&amp;INDEX('Objetivos y procesos'!$E$6:$E$35,MATCH($E62,'Objetivos y procesos'!$C$6:$C$35,0))))),"ID no encontrado"))</f>
        <v>Integración con SAP Business One</v>
      </c>
      <c r="G62" s="8" t="s">
        <v>161</v>
      </c>
      <c r="H62" s="5" t="str">
        <f>IF($G62="","",IFERROR(IF(VLOOKUP($G62,Requerimientos!$A$6:$M$43,7,FALSE)="","",VLOOKUP($G62,Requerimientos!$A$6:$M$43,7,FALSE)),"ID no encontrado"))</f>
        <v>El sistema debe consultar productos, clientes, stock y otros datos autorizados del ERP mediante una API conectada con SAP HANA, en operaciones de solo lectura.</v>
      </c>
      <c r="I62" s="7" t="str">
        <f>IF($K62="","",IFERROR(IF(VLOOKUP($K62,'Historias y criterios'!$A$6:$P$83,2,FALSE)="","",VLOOKUP($K62,'Historias y criterios'!$A$6:$P$83,2,FALSE)),"ID no encontrado"))</f>
        <v>HU-015</v>
      </c>
      <c r="J62" s="5" t="str">
        <f>IF($K62="","",IFERROR(IF(VLOOKUP($K62,'Historias y criterios'!$A$6:$P$83,10,FALSE)="","",VLOOKUP($K62,'Historias y criterios'!$A$6:$P$83,10,FALSE)),"ID no encontrado"))</f>
        <v>Como usuario autorizado de la plataforma, quiero obtener productos, clientes, stock y datos permitidos mediante la API de lectura, para trabajar desde la web sin modificar directamente la información oficial del ERP</v>
      </c>
      <c r="K62" s="8" t="s">
        <v>162</v>
      </c>
      <c r="L62" s="5" t="str">
        <f>IF($K62="","",IFERROR(IF(VLOOKUP($K62,'Historias y criterios'!$A$6:$P$83,11,FALSE)="","",VLOOKUP($K62,'Historias y criterios'!$A$6:$P$83,11,FALSE)),"ID no encontrado"))</f>
        <v>La API consulta SAP HANA exclusivamente con un usuario de solo lectura y responde JSON.</v>
      </c>
      <c r="M62" s="8" t="s">
        <v>163</v>
      </c>
      <c r="N62" s="5" t="str">
        <f>IF($M62="","",IFERROR(IF(VLOOKUP($M62,'Casos y evidencias'!$A$6:$O$83,5,FALSE)="","",VLOOKUP($M62,'Casos y evidencias'!$A$6:$O$83,5,FALSE)),"ID no encontrado"))</f>
        <v>Consulta de solo lectura con respuesta JSON</v>
      </c>
      <c r="O62" s="5" t="str">
        <f>IF($M62="","",IFERROR(IF(VLOOKUP($M62,'Casos y evidencias'!$A$6:$O$83,10,FALSE)="","",VLOOKUP($M62,'Casos y evidencias'!$A$6:$O$83,10,FALSE)),"ID no encontrado"))</f>
        <v>No ejecutado</v>
      </c>
      <c r="P62" s="7" t="str">
        <f>IF($M62="","",IFERROR(IF(VLOOKUP($M62,'Casos y evidencias'!$A$6:$O$83,11,FALSE)="","",VLOOKUP($M62,'Casos y evidencias'!$A$6:$O$83,11,FALSE)),"ID no encontrado"))</f>
        <v/>
      </c>
      <c r="Q62" s="5" t="str">
        <f>IF($M62="","",IFERROR(IF(VLOOKUP($M62,'Casos y evidencias'!$A$6:$O$83,12,FALSE)="","",VLOOKUP($M62,'Casos y evidencias'!$A$6:$O$83,12,FALSE)),"ID no encontrado"))</f>
        <v/>
      </c>
      <c r="R62" s="4"/>
    </row>
    <row r="63" spans="1:18" ht="75.599999999999994" customHeight="1">
      <c r="A63" s="6">
        <v>56</v>
      </c>
      <c r="B63" s="5" t="str">
        <f>IF($G63="","",IF($K63="","Falta criterio",IFERROR(IF(VLOOKUP($K63,'Historias y criterios'!$A$6:$P$83,3,FALSE)&lt;&gt;$G63,"Revisar relación requisito-criterio",IF($M63="","Falta caso de prueba",IF(VLOOKUP($M63,'Casos y evidencias'!$A$6:$O$83,2,FALSE)&lt;&gt;$K63,"Revisar relación criterio-caso",IF($O63="Aprobado",IF($P63="","Falta evidencia","Trazabilidad completa"),IF($O63="Fallido","Prueba fallida",IF($O63="Bloqueado","Prueba bloqueada","Prueba pendiente")))))),"ID no encontrado")))</f>
        <v>Prueba pendiente</v>
      </c>
      <c r="C63" s="7" t="str">
        <f>IF($G63="","",IFERROR(IF(VLOOKUP($G63,Requerimientos!$A$6:$M$43,2,FALSE)="","",VLOOKUP($G63,Requerimientos!$A$6:$M$43,2,FALSE)),"ID no encontrado"))</f>
        <v>OBJ-005</v>
      </c>
      <c r="D63" s="5" t="str">
        <f>IF($C63="","",IFERROR(IF(VLOOKUP($C63,'Objetivos y procesos'!$A$6:$H$35,2,FALSE)="","",VLOOKUP($C63,'Objetivos y procesos'!$A$6:$H$35,2,FALSE)),"ID no encontrado"))</f>
        <v>Canalizar lecturas por API sobre HANA y escrituras autorizadas por Service Layer sin duplicidad ni operaciones parciales.</v>
      </c>
      <c r="E63" s="7" t="str">
        <f>IF($G63="","",IFERROR(IF(VLOOKUP($G63,Requerimientos!$A$6:$M$43,3,FALSE)="","",VLOOKUP($G63,Requerimientos!$A$6:$M$43,3,FALSE)),"ID no encontrado"))</f>
        <v>PR-05</v>
      </c>
      <c r="F63" s="5" t="str">
        <f>IF($E63="","",IFERROR(IF(INDEX('Objetivos y procesos'!$D$6:$D$35,MATCH($E63,'Objetivos y procesos'!$C$6:$C$35,0))="","",IF(INDEX('Objetivos y procesos'!$D$6:$D$35,MATCH($E63,'Objetivos y procesos'!$C$6:$C$35,0))=INDEX('Objetivos y procesos'!$E$6:$E$35,MATCH($E63,'Objetivos y procesos'!$C$6:$C$35,0)),INDEX('Objetivos y procesos'!$D$6:$D$35,MATCH($E63,'Objetivos y procesos'!$C$6:$C$35,0)),INDEX('Objetivos y procesos'!$D$6:$D$35,MATCH($E63,'Objetivos y procesos'!$C$6:$C$35,0))&amp;IF(INDEX('Objetivos y procesos'!$E$6:$E$35,MATCH($E63,'Objetivos y procesos'!$C$6:$C$35,0))="",""," / "&amp;INDEX('Objetivos y procesos'!$E$6:$E$35,MATCH($E63,'Objetivos y procesos'!$C$6:$C$35,0))))),"ID no encontrado"))</f>
        <v>Integración con SAP Business One</v>
      </c>
      <c r="G63" s="8" t="s">
        <v>161</v>
      </c>
      <c r="H63" s="5" t="str">
        <f>IF($G63="","",IFERROR(IF(VLOOKUP($G63,Requerimientos!$A$6:$M$43,7,FALSE)="","",VLOOKUP($G63,Requerimientos!$A$6:$M$43,7,FALSE)),"ID no encontrado"))</f>
        <v>El sistema debe consultar productos, clientes, stock y otros datos autorizados del ERP mediante una API conectada con SAP HANA, en operaciones de solo lectura.</v>
      </c>
      <c r="I63" s="7" t="str">
        <f>IF($K63="","",IFERROR(IF(VLOOKUP($K63,'Historias y criterios'!$A$6:$P$83,2,FALSE)="","",VLOOKUP($K63,'Historias y criterios'!$A$6:$P$83,2,FALSE)),"ID no encontrado"))</f>
        <v>HU-015</v>
      </c>
      <c r="J63" s="5" t="str">
        <f>IF($K63="","",IFERROR(IF(VLOOKUP($K63,'Historias y criterios'!$A$6:$P$83,10,FALSE)="","",VLOOKUP($K63,'Historias y criterios'!$A$6:$P$83,10,FALSE)),"ID no encontrado"))</f>
        <v>Como usuario autorizado de la plataforma, quiero obtener productos, clientes, stock y datos permitidos mediante la API de lectura, para trabajar desde la web sin modificar directamente la información oficial del ERP</v>
      </c>
      <c r="K63" s="8" t="s">
        <v>164</v>
      </c>
      <c r="L63" s="5" t="str">
        <f>IF($K63="","",IFERROR(IF(VLOOKUP($K63,'Historias y criterios'!$A$6:$P$83,11,FALSE)="","",VLOOKUP($K63,'Historias y criterios'!$A$6:$P$83,11,FALSE)),"ID no encontrado"))</f>
        <v>Cada petición exige una firma válida; una firma inválida se rechaza.</v>
      </c>
      <c r="M63" s="8" t="s">
        <v>165</v>
      </c>
      <c r="N63" s="5" t="str">
        <f>IF($M63="","",IFERROR(IF(VLOOKUP($M63,'Casos y evidencias'!$A$6:$O$83,5,FALSE)="","",VLOOKUP($M63,'Casos y evidencias'!$A$6:$O$83,5,FALSE)),"ID no encontrado"))</f>
        <v>Validación de firma de las peticiones</v>
      </c>
      <c r="O63" s="5" t="str">
        <f>IF($M63="","",IFERROR(IF(VLOOKUP($M63,'Casos y evidencias'!$A$6:$O$83,10,FALSE)="","",VLOOKUP($M63,'Casos y evidencias'!$A$6:$O$83,10,FALSE)),"ID no encontrado"))</f>
        <v>No ejecutado</v>
      </c>
      <c r="P63" s="7" t="str">
        <f>IF($M63="","",IFERROR(IF(VLOOKUP($M63,'Casos y evidencias'!$A$6:$O$83,11,FALSE)="","",VLOOKUP($M63,'Casos y evidencias'!$A$6:$O$83,11,FALSE)),"ID no encontrado"))</f>
        <v/>
      </c>
      <c r="Q63" s="5" t="str">
        <f>IF($M63="","",IFERROR(IF(VLOOKUP($M63,'Casos y evidencias'!$A$6:$O$83,12,FALSE)="","",VLOOKUP($M63,'Casos y evidencias'!$A$6:$O$83,12,FALSE)),"ID no encontrado"))</f>
        <v/>
      </c>
      <c r="R63" s="4"/>
    </row>
    <row r="64" spans="1:18" ht="75.599999999999994" customHeight="1">
      <c r="A64" s="6">
        <v>57</v>
      </c>
      <c r="B64" s="5" t="str">
        <f>IF($G64="","",IF($K64="","Falta criterio",IFERROR(IF(VLOOKUP($K64,'Historias y criterios'!$A$6:$P$83,3,FALSE)&lt;&gt;$G64,"Revisar relación requisito-criterio",IF($M64="","Falta caso de prueba",IF(VLOOKUP($M64,'Casos y evidencias'!$A$6:$O$83,2,FALSE)&lt;&gt;$K64,"Revisar relación criterio-caso",IF($O64="Aprobado",IF($P64="","Falta evidencia","Trazabilidad completa"),IF($O64="Fallido","Prueba fallida",IF($O64="Bloqueado","Prueba bloqueada","Prueba pendiente")))))),"ID no encontrado")))</f>
        <v>Prueba pendiente</v>
      </c>
      <c r="C64" s="7" t="str">
        <f>IF($G64="","",IFERROR(IF(VLOOKUP($G64,Requerimientos!$A$6:$M$43,2,FALSE)="","",VLOOKUP($G64,Requerimientos!$A$6:$M$43,2,FALSE)),"ID no encontrado"))</f>
        <v>OBJ-005</v>
      </c>
      <c r="D64" s="5" t="str">
        <f>IF($C64="","",IFERROR(IF(VLOOKUP($C64,'Objetivos y procesos'!$A$6:$H$35,2,FALSE)="","",VLOOKUP($C64,'Objetivos y procesos'!$A$6:$H$35,2,FALSE)),"ID no encontrado"))</f>
        <v>Canalizar lecturas por API sobre HANA y escrituras autorizadas por Service Layer sin duplicidad ni operaciones parciales.</v>
      </c>
      <c r="E64" s="7" t="str">
        <f>IF($G64="","",IFERROR(IF(VLOOKUP($G64,Requerimientos!$A$6:$M$43,3,FALSE)="","",VLOOKUP($G64,Requerimientos!$A$6:$M$43,3,FALSE)),"ID no encontrado"))</f>
        <v>PR-05</v>
      </c>
      <c r="F64" s="5" t="str">
        <f>IF($E64="","",IFERROR(IF(INDEX('Objetivos y procesos'!$D$6:$D$35,MATCH($E64,'Objetivos y procesos'!$C$6:$C$35,0))="","",IF(INDEX('Objetivos y procesos'!$D$6:$D$35,MATCH($E64,'Objetivos y procesos'!$C$6:$C$35,0))=INDEX('Objetivos y procesos'!$E$6:$E$35,MATCH($E64,'Objetivos y procesos'!$C$6:$C$35,0)),INDEX('Objetivos y procesos'!$D$6:$D$35,MATCH($E64,'Objetivos y procesos'!$C$6:$C$35,0)),INDEX('Objetivos y procesos'!$D$6:$D$35,MATCH($E64,'Objetivos y procesos'!$C$6:$C$35,0))&amp;IF(INDEX('Objetivos y procesos'!$E$6:$E$35,MATCH($E64,'Objetivos y procesos'!$C$6:$C$35,0))="",""," / "&amp;INDEX('Objetivos y procesos'!$E$6:$E$35,MATCH($E64,'Objetivos y procesos'!$C$6:$C$35,0))))),"ID no encontrado"))</f>
        <v>Integración con SAP Business One</v>
      </c>
      <c r="G64" s="8" t="s">
        <v>161</v>
      </c>
      <c r="H64" s="5" t="str">
        <f>IF($G64="","",IFERROR(IF(VLOOKUP($G64,Requerimientos!$A$6:$M$43,7,FALSE)="","",VLOOKUP($G64,Requerimientos!$A$6:$M$43,7,FALSE)),"ID no encontrado"))</f>
        <v>El sistema debe consultar productos, clientes, stock y otros datos autorizados del ERP mediante una API conectada con SAP HANA, en operaciones de solo lectura.</v>
      </c>
      <c r="I64" s="7" t="str">
        <f>IF($K64="","",IFERROR(IF(VLOOKUP($K64,'Historias y criterios'!$A$6:$P$83,2,FALSE)="","",VLOOKUP($K64,'Historias y criterios'!$A$6:$P$83,2,FALSE)),"ID no encontrado"))</f>
        <v>HU-015</v>
      </c>
      <c r="J64" s="5" t="str">
        <f>IF($K64="","",IFERROR(IF(VLOOKUP($K64,'Historias y criterios'!$A$6:$P$83,10,FALSE)="","",VLOOKUP($K64,'Historias y criterios'!$A$6:$P$83,10,FALSE)),"ID no encontrado"))</f>
        <v>Como usuario autorizado de la plataforma, quiero obtener productos, clientes, stock y datos permitidos mediante la API de lectura, para trabajar desde la web sin modificar directamente la información oficial del ERP</v>
      </c>
      <c r="K64" s="8" t="s">
        <v>166</v>
      </c>
      <c r="L64" s="5" t="str">
        <f>IF($K64="","",IFERROR(IF(VLOOKUP($K64,'Historias y criterios'!$A$6:$P$83,11,FALSE)="","",VLOOKUP($K64,'Historias y criterios'!$A$6:$P$83,11,FALSE)),"ID no encontrado"))</f>
        <v>Las credenciales se mantienen fuera del código.</v>
      </c>
      <c r="M64" s="8" t="s">
        <v>167</v>
      </c>
      <c r="N64" s="5" t="str">
        <f>IF($M64="","",IFERROR(IF(VLOOKUP($M64,'Casos y evidencias'!$A$6:$O$83,5,FALSE)="","",VLOOKUP($M64,'Casos y evidencias'!$A$6:$O$83,5,FALSE)),"ID no encontrado"))</f>
        <v>Credenciales fuera del código</v>
      </c>
      <c r="O64" s="5" t="str">
        <f>IF($M64="","",IFERROR(IF(VLOOKUP($M64,'Casos y evidencias'!$A$6:$O$83,10,FALSE)="","",VLOOKUP($M64,'Casos y evidencias'!$A$6:$O$83,10,FALSE)),"ID no encontrado"))</f>
        <v>No ejecutado</v>
      </c>
      <c r="P64" s="7" t="str">
        <f>IF($M64="","",IFERROR(IF(VLOOKUP($M64,'Casos y evidencias'!$A$6:$O$83,11,FALSE)="","",VLOOKUP($M64,'Casos y evidencias'!$A$6:$O$83,11,FALSE)),"ID no encontrado"))</f>
        <v/>
      </c>
      <c r="Q64" s="5" t="str">
        <f>IF($M64="","",IFERROR(IF(VLOOKUP($M64,'Casos y evidencias'!$A$6:$O$83,12,FALSE)="","",VLOOKUP($M64,'Casos y evidencias'!$A$6:$O$83,12,FALSE)),"ID no encontrado"))</f>
        <v/>
      </c>
      <c r="R64" s="4"/>
    </row>
    <row r="65" spans="1:18" ht="75.599999999999994" customHeight="1">
      <c r="A65" s="6">
        <v>58</v>
      </c>
      <c r="B65" s="5" t="str">
        <f>IF($G65="","",IF($K65="","Falta criterio",IFERROR(IF(VLOOKUP($K65,'Historias y criterios'!$A$6:$P$83,3,FALSE)&lt;&gt;$G65,"Revisar relación requisito-criterio",IF($M65="","Falta caso de prueba",IF(VLOOKUP($M65,'Casos y evidencias'!$A$6:$O$83,2,FALSE)&lt;&gt;$K65,"Revisar relación criterio-caso",IF($O65="Aprobado",IF($P65="","Falta evidencia","Trazabilidad completa"),IF($O65="Fallido","Prueba fallida",IF($O65="Bloqueado","Prueba bloqueada","Prueba pendiente")))))),"ID no encontrado")))</f>
        <v>Prueba pendiente</v>
      </c>
      <c r="C65" s="7" t="str">
        <f>IF($G65="","",IFERROR(IF(VLOOKUP($G65,Requerimientos!$A$6:$M$43,2,FALSE)="","",VLOOKUP($G65,Requerimientos!$A$6:$M$43,2,FALSE)),"ID no encontrado"))</f>
        <v>OBJ-005</v>
      </c>
      <c r="D65" s="5" t="str">
        <f>IF($C65="","",IFERROR(IF(VLOOKUP($C65,'Objetivos y procesos'!$A$6:$H$35,2,FALSE)="","",VLOOKUP($C65,'Objetivos y procesos'!$A$6:$H$35,2,FALSE)),"ID no encontrado"))</f>
        <v>Canalizar lecturas por API sobre HANA y escrituras autorizadas por Service Layer sin duplicidad ni operaciones parciales.</v>
      </c>
      <c r="E65" s="7" t="str">
        <f>IF($G65="","",IFERROR(IF(VLOOKUP($G65,Requerimientos!$A$6:$M$43,3,FALSE)="","",VLOOKUP($G65,Requerimientos!$A$6:$M$43,3,FALSE)),"ID no encontrado"))</f>
        <v>PR-05</v>
      </c>
      <c r="F65" s="5" t="str">
        <f>IF($E65="","",IFERROR(IF(INDEX('Objetivos y procesos'!$D$6:$D$35,MATCH($E65,'Objetivos y procesos'!$C$6:$C$35,0))="","",IF(INDEX('Objetivos y procesos'!$D$6:$D$35,MATCH($E65,'Objetivos y procesos'!$C$6:$C$35,0))=INDEX('Objetivos y procesos'!$E$6:$E$35,MATCH($E65,'Objetivos y procesos'!$C$6:$C$35,0)),INDEX('Objetivos y procesos'!$D$6:$D$35,MATCH($E65,'Objetivos y procesos'!$C$6:$C$35,0)),INDEX('Objetivos y procesos'!$D$6:$D$35,MATCH($E65,'Objetivos y procesos'!$C$6:$C$35,0))&amp;IF(INDEX('Objetivos y procesos'!$E$6:$E$35,MATCH($E65,'Objetivos y procesos'!$C$6:$C$35,0))="",""," / "&amp;INDEX('Objetivos y procesos'!$E$6:$E$35,MATCH($E65,'Objetivos y procesos'!$C$6:$C$35,0))))),"ID no encontrado"))</f>
        <v>Integración con SAP Business One</v>
      </c>
      <c r="G65" s="8" t="s">
        <v>161</v>
      </c>
      <c r="H65" s="5" t="str">
        <f>IF($G65="","",IFERROR(IF(VLOOKUP($G65,Requerimientos!$A$6:$M$43,7,FALSE)="","",VLOOKUP($G65,Requerimientos!$A$6:$M$43,7,FALSE)),"ID no encontrado"))</f>
        <v>El sistema debe consultar productos, clientes, stock y otros datos autorizados del ERP mediante una API conectada con SAP HANA, en operaciones de solo lectura.</v>
      </c>
      <c r="I65" s="7" t="str">
        <f>IF($K65="","",IFERROR(IF(VLOOKUP($K65,'Historias y criterios'!$A$6:$P$83,2,FALSE)="","",VLOOKUP($K65,'Historias y criterios'!$A$6:$P$83,2,FALSE)),"ID no encontrado"))</f>
        <v>HU-015</v>
      </c>
      <c r="J65" s="5" t="str">
        <f>IF($K65="","",IFERROR(IF(VLOOKUP($K65,'Historias y criterios'!$A$6:$P$83,10,FALSE)="","",VLOOKUP($K65,'Historias y criterios'!$A$6:$P$83,10,FALSE)),"ID no encontrado"))</f>
        <v>Como usuario autorizado de la plataforma, quiero obtener productos, clientes, stock y datos permitidos mediante la API de lectura, para trabajar desde la web sin modificar directamente la información oficial del ERP</v>
      </c>
      <c r="K65" s="8" t="s">
        <v>168</v>
      </c>
      <c r="L65" s="5" t="str">
        <f>IF($K65="","",IFERROR(IF(VLOOKUP($K65,'Historias y criterios'!$A$6:$P$83,11,FALSE)="","",VLOOKUP($K65,'Historias y criterios'!$A$6:$P$83,11,FALSE)),"ID no encontrado"))</f>
        <v>Los listados se paginan, aplican tiempo límite y reintentos acotados, y las consultas normales responden en menos de 3 segundos.</v>
      </c>
      <c r="M65" s="8" t="s">
        <v>169</v>
      </c>
      <c r="N65" s="5" t="str">
        <f>IF($M65="","",IFERROR(IF(VLOOKUP($M65,'Casos y evidencias'!$A$6:$O$83,5,FALSE)="","",VLOOKUP($M65,'Casos y evidencias'!$A$6:$O$83,5,FALSE)),"ID no encontrado"))</f>
        <v>Paginación, tiempo límite y rendimiento</v>
      </c>
      <c r="O65" s="5" t="str">
        <f>IF($M65="","",IFERROR(IF(VLOOKUP($M65,'Casos y evidencias'!$A$6:$O$83,10,FALSE)="","",VLOOKUP($M65,'Casos y evidencias'!$A$6:$O$83,10,FALSE)),"ID no encontrado"))</f>
        <v>No ejecutado</v>
      </c>
      <c r="P65" s="7" t="str">
        <f>IF($M65="","",IFERROR(IF(VLOOKUP($M65,'Casos y evidencias'!$A$6:$O$83,11,FALSE)="","",VLOOKUP($M65,'Casos y evidencias'!$A$6:$O$83,11,FALSE)),"ID no encontrado"))</f>
        <v/>
      </c>
      <c r="Q65" s="5" t="str">
        <f>IF($M65="","",IFERROR(IF(VLOOKUP($M65,'Casos y evidencias'!$A$6:$O$83,12,FALSE)="","",VLOOKUP($M65,'Casos y evidencias'!$A$6:$O$83,12,FALSE)),"ID no encontrado"))</f>
        <v/>
      </c>
      <c r="R65" s="4"/>
    </row>
    <row r="66" spans="1:18" ht="75.599999999999994" customHeight="1">
      <c r="A66" s="6">
        <v>59</v>
      </c>
      <c r="B66" s="5" t="str">
        <f>IF($G66="","",IF($K66="","Falta criterio",IFERROR(IF(VLOOKUP($K66,'Historias y criterios'!$A$6:$P$83,3,FALSE)&lt;&gt;$G66,"Revisar relación requisito-criterio",IF($M66="","Falta caso de prueba",IF(VLOOKUP($M66,'Casos y evidencias'!$A$6:$O$83,2,FALSE)&lt;&gt;$K66,"Revisar relación criterio-caso",IF($O66="Aprobado",IF($P66="","Falta evidencia","Trazabilidad completa"),IF($O66="Fallido","Prueba fallida",IF($O66="Bloqueado","Prueba bloqueada","Prueba pendiente")))))),"ID no encontrado")))</f>
        <v>Prueba pendiente</v>
      </c>
      <c r="C66" s="7" t="str">
        <f>IF($G66="","",IFERROR(IF(VLOOKUP($G66,Requerimientos!$A$6:$M$43,2,FALSE)="","",VLOOKUP($G66,Requerimientos!$A$6:$M$43,2,FALSE)),"ID no encontrado"))</f>
        <v>OBJ-005</v>
      </c>
      <c r="D66" s="5" t="str">
        <f>IF($C66="","",IFERROR(IF(VLOOKUP($C66,'Objetivos y procesos'!$A$6:$H$35,2,FALSE)="","",VLOOKUP($C66,'Objetivos y procesos'!$A$6:$H$35,2,FALSE)),"ID no encontrado"))</f>
        <v>Canalizar lecturas por API sobre HANA y escrituras autorizadas por Service Layer sin duplicidad ni operaciones parciales.</v>
      </c>
      <c r="E66" s="7" t="str">
        <f>IF($G66="","",IFERROR(IF(VLOOKUP($G66,Requerimientos!$A$6:$M$43,3,FALSE)="","",VLOOKUP($G66,Requerimientos!$A$6:$M$43,3,FALSE)),"ID no encontrado"))</f>
        <v>PR-05</v>
      </c>
      <c r="F66" s="5" t="str">
        <f>IF($E66="","",IFERROR(IF(INDEX('Objetivos y procesos'!$D$6:$D$35,MATCH($E66,'Objetivos y procesos'!$C$6:$C$35,0))="","",IF(INDEX('Objetivos y procesos'!$D$6:$D$35,MATCH($E66,'Objetivos y procesos'!$C$6:$C$35,0))=INDEX('Objetivos y procesos'!$E$6:$E$35,MATCH($E66,'Objetivos y procesos'!$C$6:$C$35,0)),INDEX('Objetivos y procesos'!$D$6:$D$35,MATCH($E66,'Objetivos y procesos'!$C$6:$C$35,0)),INDEX('Objetivos y procesos'!$D$6:$D$35,MATCH($E66,'Objetivos y procesos'!$C$6:$C$35,0))&amp;IF(INDEX('Objetivos y procesos'!$E$6:$E$35,MATCH($E66,'Objetivos y procesos'!$C$6:$C$35,0))="",""," / "&amp;INDEX('Objetivos y procesos'!$E$6:$E$35,MATCH($E66,'Objetivos y procesos'!$C$6:$C$35,0))))),"ID no encontrado"))</f>
        <v>Integración con SAP Business One</v>
      </c>
      <c r="G66" s="8" t="s">
        <v>170</v>
      </c>
      <c r="H66" s="5" t="str">
        <f>IF($G66="","",IFERROR(IF(VLOOKUP($G66,Requerimientos!$A$6:$M$43,7,FALSE)="","",VLOOKUP($G66,Requerimientos!$A$6:$M$43,7,FALSE)),"ID no encontrado"))</f>
        <v>El sistema debe crear documentos en el ERP exclusivamente a través de SAP Business One Service Layer.</v>
      </c>
      <c r="I66" s="7" t="str">
        <f>IF($K66="","",IFERROR(IF(VLOOKUP($K66,'Historias y criterios'!$A$6:$P$83,2,FALSE)="","",VLOOKUP($K66,'Historias y criterios'!$A$6:$P$83,2,FALSE)),"ID no encontrado"))</f>
        <v>HU-016</v>
      </c>
      <c r="J66" s="5" t="str">
        <f>IF($K66="","",IFERROR(IF(VLOOKUP($K66,'Historias y criterios'!$A$6:$P$83,10,FALSE)="","",VLOOKUP($K66,'Historias y criterios'!$A$6:$P$83,10,FALSE)),"ID no encontrado"))</f>
        <v>Como usuario autorizado, quiero enviar al ERP solo operaciones previamente validadas mediante Service Layer, para mantener la integridad y las reglas oficiales de SAP Business One</v>
      </c>
      <c r="K66" s="8" t="s">
        <v>171</v>
      </c>
      <c r="L66" s="5" t="str">
        <f>IF($K66="","",IFERROR(IF(VLOOKUP($K66,'Historias y criterios'!$A$6:$P$83,11,FALSE)="","",VLOOKUP($K66,'Historias y criterios'!$A$6:$P$83,11,FALSE)),"ID no encontrado"))</f>
        <v>Ninguna escritura se ejecuta directamente sobre SAP HANA.</v>
      </c>
      <c r="M66" s="8" t="s">
        <v>172</v>
      </c>
      <c r="N66" s="5" t="str">
        <f>IF($M66="","",IFERROR(IF(VLOOKUP($M66,'Casos y evidencias'!$A$6:$O$83,5,FALSE)="","",VLOOKUP($M66,'Casos y evidencias'!$A$6:$O$83,5,FALSE)),"ID no encontrado"))</f>
        <v>Sin escrituras directas sobre SAP HANA</v>
      </c>
      <c r="O66" s="5" t="str">
        <f>IF($M66="","",IFERROR(IF(VLOOKUP($M66,'Casos y evidencias'!$A$6:$O$83,10,FALSE)="","",VLOOKUP($M66,'Casos y evidencias'!$A$6:$O$83,10,FALSE)),"ID no encontrado"))</f>
        <v>No ejecutado</v>
      </c>
      <c r="P66" s="7" t="str">
        <f>IF($M66="","",IFERROR(IF(VLOOKUP($M66,'Casos y evidencias'!$A$6:$O$83,11,FALSE)="","",VLOOKUP($M66,'Casos y evidencias'!$A$6:$O$83,11,FALSE)),"ID no encontrado"))</f>
        <v/>
      </c>
      <c r="Q66" s="5" t="str">
        <f>IF($M66="","",IFERROR(IF(VLOOKUP($M66,'Casos y evidencias'!$A$6:$O$83,12,FALSE)="","",VLOOKUP($M66,'Casos y evidencias'!$A$6:$O$83,12,FALSE)),"ID no encontrado"))</f>
        <v/>
      </c>
      <c r="R66" s="4"/>
    </row>
    <row r="67" spans="1:18" ht="75.599999999999994" customHeight="1">
      <c r="A67" s="6">
        <v>60</v>
      </c>
      <c r="B67" s="5" t="str">
        <f>IF($G67="","",IF($K67="","Falta criterio",IFERROR(IF(VLOOKUP($K67,'Historias y criterios'!$A$6:$P$83,3,FALSE)&lt;&gt;$G67,"Revisar relación requisito-criterio",IF($M67="","Falta caso de prueba",IF(VLOOKUP($M67,'Casos y evidencias'!$A$6:$O$83,2,FALSE)&lt;&gt;$K67,"Revisar relación criterio-caso",IF($O67="Aprobado",IF($P67="","Falta evidencia","Trazabilidad completa"),IF($O67="Fallido","Prueba fallida",IF($O67="Bloqueado","Prueba bloqueada","Prueba pendiente")))))),"ID no encontrado")))</f>
        <v>Prueba pendiente</v>
      </c>
      <c r="C67" s="7" t="str">
        <f>IF($G67="","",IFERROR(IF(VLOOKUP($G67,Requerimientos!$A$6:$M$43,2,FALSE)="","",VLOOKUP($G67,Requerimientos!$A$6:$M$43,2,FALSE)),"ID no encontrado"))</f>
        <v>OBJ-005</v>
      </c>
      <c r="D67" s="5" t="str">
        <f>IF($C67="","",IFERROR(IF(VLOOKUP($C67,'Objetivos y procesos'!$A$6:$H$35,2,FALSE)="","",VLOOKUP($C67,'Objetivos y procesos'!$A$6:$H$35,2,FALSE)),"ID no encontrado"))</f>
        <v>Canalizar lecturas por API sobre HANA y escrituras autorizadas por Service Layer sin duplicidad ni operaciones parciales.</v>
      </c>
      <c r="E67" s="7" t="str">
        <f>IF($G67="","",IFERROR(IF(VLOOKUP($G67,Requerimientos!$A$6:$M$43,3,FALSE)="","",VLOOKUP($G67,Requerimientos!$A$6:$M$43,3,FALSE)),"ID no encontrado"))</f>
        <v>PR-05</v>
      </c>
      <c r="F67" s="5" t="str">
        <f>IF($E67="","",IFERROR(IF(INDEX('Objetivos y procesos'!$D$6:$D$35,MATCH($E67,'Objetivos y procesos'!$C$6:$C$35,0))="","",IF(INDEX('Objetivos y procesos'!$D$6:$D$35,MATCH($E67,'Objetivos y procesos'!$C$6:$C$35,0))=INDEX('Objetivos y procesos'!$E$6:$E$35,MATCH($E67,'Objetivos y procesos'!$C$6:$C$35,0)),INDEX('Objetivos y procesos'!$D$6:$D$35,MATCH($E67,'Objetivos y procesos'!$C$6:$C$35,0)),INDEX('Objetivos y procesos'!$D$6:$D$35,MATCH($E67,'Objetivos y procesos'!$C$6:$C$35,0))&amp;IF(INDEX('Objetivos y procesos'!$E$6:$E$35,MATCH($E67,'Objetivos y procesos'!$C$6:$C$35,0))="",""," / "&amp;INDEX('Objetivos y procesos'!$E$6:$E$35,MATCH($E67,'Objetivos y procesos'!$C$6:$C$35,0))))),"ID no encontrado"))</f>
        <v>Integración con SAP Business One</v>
      </c>
      <c r="G67" s="8" t="s">
        <v>170</v>
      </c>
      <c r="H67" s="5" t="str">
        <f>IF($G67="","",IFERROR(IF(VLOOKUP($G67,Requerimientos!$A$6:$M$43,7,FALSE)="","",VLOOKUP($G67,Requerimientos!$A$6:$M$43,7,FALSE)),"ID no encontrado"))</f>
        <v>El sistema debe crear documentos en el ERP exclusivamente a través de SAP Business One Service Layer.</v>
      </c>
      <c r="I67" s="7" t="str">
        <f>IF($K67="","",IFERROR(IF(VLOOKUP($K67,'Historias y criterios'!$A$6:$P$83,2,FALSE)="","",VLOOKUP($K67,'Historias y criterios'!$A$6:$P$83,2,FALSE)),"ID no encontrado"))</f>
        <v>HU-016</v>
      </c>
      <c r="J67" s="5" t="str">
        <f>IF($K67="","",IFERROR(IF(VLOOKUP($K67,'Historias y criterios'!$A$6:$P$83,10,FALSE)="","",VLOOKUP($K67,'Historias y criterios'!$A$6:$P$83,10,FALSE)),"ID no encontrado"))</f>
        <v>Como usuario autorizado, quiero enviar al ERP solo operaciones previamente validadas mediante Service Layer, para mantener la integridad y las reglas oficiales de SAP Business One</v>
      </c>
      <c r="K67" s="8" t="s">
        <v>173</v>
      </c>
      <c r="L67" s="5" t="str">
        <f>IF($K67="","",IFERROR(IF(VLOOKUP($K67,'Historias y criterios'!$A$6:$P$83,11,FALSE)="","",VLOOKUP($K67,'Historias y criterios'!$A$6:$P$83,11,FALSE)),"ID no encontrado"))</f>
        <v>Solo se envían documentos con autorización registrada cuando corresponda.</v>
      </c>
      <c r="M67" s="8" t="s">
        <v>174</v>
      </c>
      <c r="N67" s="5" t="str">
        <f>IF($M67="","",IFERROR(IF(VLOOKUP($M67,'Casos y evidencias'!$A$6:$O$83,5,FALSE)="","",VLOOKUP($M67,'Casos y evidencias'!$A$6:$O$83,5,FALSE)),"ID no encontrado"))</f>
        <v>Envío solo con autorización registrada</v>
      </c>
      <c r="O67" s="5" t="str">
        <f>IF($M67="","",IFERROR(IF(VLOOKUP($M67,'Casos y evidencias'!$A$6:$O$83,10,FALSE)="","",VLOOKUP($M67,'Casos y evidencias'!$A$6:$O$83,10,FALSE)),"ID no encontrado"))</f>
        <v>No ejecutado</v>
      </c>
      <c r="P67" s="7" t="str">
        <f>IF($M67="","",IFERROR(IF(VLOOKUP($M67,'Casos y evidencias'!$A$6:$O$83,11,FALSE)="","",VLOOKUP($M67,'Casos y evidencias'!$A$6:$O$83,11,FALSE)),"ID no encontrado"))</f>
        <v/>
      </c>
      <c r="Q67" s="5" t="str">
        <f>IF($M67="","",IFERROR(IF(VLOOKUP($M67,'Casos y evidencias'!$A$6:$O$83,12,FALSE)="","",VLOOKUP($M67,'Casos y evidencias'!$A$6:$O$83,12,FALSE)),"ID no encontrado"))</f>
        <v/>
      </c>
      <c r="R67" s="4"/>
    </row>
    <row r="68" spans="1:18" ht="75.599999999999994" customHeight="1">
      <c r="A68" s="6">
        <v>61</v>
      </c>
      <c r="B68" s="5" t="str">
        <f>IF($G68="","",IF($K68="","Falta criterio",IFERROR(IF(VLOOKUP($K68,'Historias y criterios'!$A$6:$P$83,3,FALSE)&lt;&gt;$G68,"Revisar relación requisito-criterio",IF($M68="","Falta caso de prueba",IF(VLOOKUP($M68,'Casos y evidencias'!$A$6:$O$83,2,FALSE)&lt;&gt;$K68,"Revisar relación criterio-caso",IF($O68="Aprobado",IF($P68="","Falta evidencia","Trazabilidad completa"),IF($O68="Fallido","Prueba fallida",IF($O68="Bloqueado","Prueba bloqueada","Prueba pendiente")))))),"ID no encontrado")))</f>
        <v>Prueba pendiente</v>
      </c>
      <c r="C68" s="7" t="str">
        <f>IF($G68="","",IFERROR(IF(VLOOKUP($G68,Requerimientos!$A$6:$M$43,2,FALSE)="","",VLOOKUP($G68,Requerimientos!$A$6:$M$43,2,FALSE)),"ID no encontrado"))</f>
        <v>OBJ-005</v>
      </c>
      <c r="D68" s="5" t="str">
        <f>IF($C68="","",IFERROR(IF(VLOOKUP($C68,'Objetivos y procesos'!$A$6:$H$35,2,FALSE)="","",VLOOKUP($C68,'Objetivos y procesos'!$A$6:$H$35,2,FALSE)),"ID no encontrado"))</f>
        <v>Canalizar lecturas por API sobre HANA y escrituras autorizadas por Service Layer sin duplicidad ni operaciones parciales.</v>
      </c>
      <c r="E68" s="7" t="str">
        <f>IF($G68="","",IFERROR(IF(VLOOKUP($G68,Requerimientos!$A$6:$M$43,3,FALSE)="","",VLOOKUP($G68,Requerimientos!$A$6:$M$43,3,FALSE)),"ID no encontrado"))</f>
        <v>PR-05</v>
      </c>
      <c r="F68" s="5" t="str">
        <f>IF($E68="","",IFERROR(IF(INDEX('Objetivos y procesos'!$D$6:$D$35,MATCH($E68,'Objetivos y procesos'!$C$6:$C$35,0))="","",IF(INDEX('Objetivos y procesos'!$D$6:$D$35,MATCH($E68,'Objetivos y procesos'!$C$6:$C$35,0))=INDEX('Objetivos y procesos'!$E$6:$E$35,MATCH($E68,'Objetivos y procesos'!$C$6:$C$35,0)),INDEX('Objetivos y procesos'!$D$6:$D$35,MATCH($E68,'Objetivos y procesos'!$C$6:$C$35,0)),INDEX('Objetivos y procesos'!$D$6:$D$35,MATCH($E68,'Objetivos y procesos'!$C$6:$C$35,0))&amp;IF(INDEX('Objetivos y procesos'!$E$6:$E$35,MATCH($E68,'Objetivos y procesos'!$C$6:$C$35,0))="",""," / "&amp;INDEX('Objetivos y procesos'!$E$6:$E$35,MATCH($E68,'Objetivos y procesos'!$C$6:$C$35,0))))),"ID no encontrado"))</f>
        <v>Integración con SAP Business One</v>
      </c>
      <c r="G68" s="8" t="s">
        <v>170</v>
      </c>
      <c r="H68" s="5" t="str">
        <f>IF($G68="","",IFERROR(IF(VLOOKUP($G68,Requerimientos!$A$6:$M$43,7,FALSE)="","",VLOOKUP($G68,Requerimientos!$A$6:$M$43,7,FALSE)),"ID no encontrado"))</f>
        <v>El sistema debe crear documentos en el ERP exclusivamente a través de SAP Business One Service Layer.</v>
      </c>
      <c r="I68" s="7" t="str">
        <f>IF($K68="","",IFERROR(IF(VLOOKUP($K68,'Historias y criterios'!$A$6:$P$83,2,FALSE)="","",VLOOKUP($K68,'Historias y criterios'!$A$6:$P$83,2,FALSE)),"ID no encontrado"))</f>
        <v>HU-016</v>
      </c>
      <c r="J68" s="5" t="str">
        <f>IF($K68="","",IFERROR(IF(VLOOKUP($K68,'Historias y criterios'!$A$6:$P$83,10,FALSE)="","",VLOOKUP($K68,'Historias y criterios'!$A$6:$P$83,10,FALSE)),"ID no encontrado"))</f>
        <v>Como usuario autorizado, quiero enviar al ERP solo operaciones previamente validadas mediante Service Layer, para mantener la integridad y las reglas oficiales de SAP Business One</v>
      </c>
      <c r="K68" s="8" t="s">
        <v>175</v>
      </c>
      <c r="L68" s="5" t="str">
        <f>IF($K68="","",IFERROR(IF(VLOOKUP($K68,'Historias y criterios'!$A$6:$P$83,11,FALSE)="","",VLOOKUP($K68,'Historias y criterios'!$A$6:$P$83,11,FALSE)),"ID no encontrado"))</f>
        <v>Service Layer aplica sus validaciones y devuelve el resultado de la operación.</v>
      </c>
      <c r="M68" s="8" t="s">
        <v>176</v>
      </c>
      <c r="N68" s="5" t="str">
        <f>IF($M68="","",IFERROR(IF(VLOOKUP($M68,'Casos y evidencias'!$A$6:$O$83,5,FALSE)="","",VLOOKUP($M68,'Casos y evidencias'!$A$6:$O$83,5,FALSE)),"ID no encontrado"))</f>
        <v>Validaciones y resultado de Service Layer</v>
      </c>
      <c r="O68" s="5" t="str">
        <f>IF($M68="","",IFERROR(IF(VLOOKUP($M68,'Casos y evidencias'!$A$6:$O$83,10,FALSE)="","",VLOOKUP($M68,'Casos y evidencias'!$A$6:$O$83,10,FALSE)),"ID no encontrado"))</f>
        <v>No ejecutado</v>
      </c>
      <c r="P68" s="7" t="str">
        <f>IF($M68="","",IFERROR(IF(VLOOKUP($M68,'Casos y evidencias'!$A$6:$O$83,11,FALSE)="","",VLOOKUP($M68,'Casos y evidencias'!$A$6:$O$83,11,FALSE)),"ID no encontrado"))</f>
        <v/>
      </c>
      <c r="Q68" s="5" t="str">
        <f>IF($M68="","",IFERROR(IF(VLOOKUP($M68,'Casos y evidencias'!$A$6:$O$83,12,FALSE)="","",VLOOKUP($M68,'Casos y evidencias'!$A$6:$O$83,12,FALSE)),"ID no encontrado"))</f>
        <v/>
      </c>
      <c r="R68" s="4"/>
    </row>
    <row r="69" spans="1:18" ht="75.599999999999994" customHeight="1">
      <c r="A69" s="6">
        <v>62</v>
      </c>
      <c r="B69" s="5" t="str">
        <f>IF($G69="","",IF($K69="","Falta criterio",IFERROR(IF(VLOOKUP($K69,'Historias y criterios'!$A$6:$P$83,3,FALSE)&lt;&gt;$G69,"Revisar relación requisito-criterio",IF($M69="","Falta caso de prueba",IF(VLOOKUP($M69,'Casos y evidencias'!$A$6:$O$83,2,FALSE)&lt;&gt;$K69,"Revisar relación criterio-caso",IF($O69="Aprobado",IF($P69="","Falta evidencia","Trazabilidad completa"),IF($O69="Fallido","Prueba fallida",IF($O69="Bloqueado","Prueba bloqueada","Prueba pendiente")))))),"ID no encontrado")))</f>
        <v>Prueba pendiente</v>
      </c>
      <c r="C69" s="7" t="str">
        <f>IF($G69="","",IFERROR(IF(VLOOKUP($G69,Requerimientos!$A$6:$M$43,2,FALSE)="","",VLOOKUP($G69,Requerimientos!$A$6:$M$43,2,FALSE)),"ID no encontrado"))</f>
        <v>OBJ-005</v>
      </c>
      <c r="D69" s="5" t="str">
        <f>IF($C69="","",IFERROR(IF(VLOOKUP($C69,'Objetivos y procesos'!$A$6:$H$35,2,FALSE)="","",VLOOKUP($C69,'Objetivos y procesos'!$A$6:$H$35,2,FALSE)),"ID no encontrado"))</f>
        <v>Canalizar lecturas por API sobre HANA y escrituras autorizadas por Service Layer sin duplicidad ni operaciones parciales.</v>
      </c>
      <c r="E69" s="7" t="str">
        <f>IF($G69="","",IFERROR(IF(VLOOKUP($G69,Requerimientos!$A$6:$M$43,3,FALSE)="","",VLOOKUP($G69,Requerimientos!$A$6:$M$43,3,FALSE)),"ID no encontrado"))</f>
        <v>PR-05</v>
      </c>
      <c r="F69" s="5" t="str">
        <f>IF($E69="","",IFERROR(IF(INDEX('Objetivos y procesos'!$D$6:$D$35,MATCH($E69,'Objetivos y procesos'!$C$6:$C$35,0))="","",IF(INDEX('Objetivos y procesos'!$D$6:$D$35,MATCH($E69,'Objetivos y procesos'!$C$6:$C$35,0))=INDEX('Objetivos y procesos'!$E$6:$E$35,MATCH($E69,'Objetivos y procesos'!$C$6:$C$35,0)),INDEX('Objetivos y procesos'!$D$6:$D$35,MATCH($E69,'Objetivos y procesos'!$C$6:$C$35,0)),INDEX('Objetivos y procesos'!$D$6:$D$35,MATCH($E69,'Objetivos y procesos'!$C$6:$C$35,0))&amp;IF(INDEX('Objetivos y procesos'!$E$6:$E$35,MATCH($E69,'Objetivos y procesos'!$C$6:$C$35,0))="",""," / "&amp;INDEX('Objetivos y procesos'!$E$6:$E$35,MATCH($E69,'Objetivos y procesos'!$C$6:$C$35,0))))),"ID no encontrado"))</f>
        <v>Integración con SAP Business One</v>
      </c>
      <c r="G69" s="8" t="s">
        <v>170</v>
      </c>
      <c r="H69" s="5" t="str">
        <f>IF($G69="","",IFERROR(IF(VLOOKUP($G69,Requerimientos!$A$6:$M$43,7,FALSE)="","",VLOOKUP($G69,Requerimientos!$A$6:$M$43,7,FALSE)),"ID no encontrado"))</f>
        <v>El sistema debe crear documentos en el ERP exclusivamente a través de SAP Business One Service Layer.</v>
      </c>
      <c r="I69" s="7" t="str">
        <f>IF($K69="","",IFERROR(IF(VLOOKUP($K69,'Historias y criterios'!$A$6:$P$83,2,FALSE)="","",VLOOKUP($K69,'Historias y criterios'!$A$6:$P$83,2,FALSE)),"ID no encontrado"))</f>
        <v>HU-016</v>
      </c>
      <c r="J69" s="5" t="str">
        <f>IF($K69="","",IFERROR(IF(VLOOKUP($K69,'Historias y criterios'!$A$6:$P$83,10,FALSE)="","",VLOOKUP($K69,'Historias y criterios'!$A$6:$P$83,10,FALSE)),"ID no encontrado"))</f>
        <v>Como usuario autorizado, quiero enviar al ERP solo operaciones previamente validadas mediante Service Layer, para mantener la integridad y las reglas oficiales de SAP Business One</v>
      </c>
      <c r="K69" s="8" t="s">
        <v>177</v>
      </c>
      <c r="L69" s="5" t="str">
        <f>IF($K69="","",IFERROR(IF(VLOOKUP($K69,'Historias y criterios'!$A$6:$P$83,11,FALSE)="","",VLOOKUP($K69,'Historias y criterios'!$A$6:$P$83,11,FALSE)),"ID no encontrado"))</f>
        <v>La plataforma conserva el documento exactamente como fue autorizado y respeta las autorizaciones de acceso y licenciamiento vigentes.</v>
      </c>
      <c r="M69" s="8" t="s">
        <v>178</v>
      </c>
      <c r="N69" s="5" t="str">
        <f>IF($M69="","",IFERROR(IF(VLOOKUP($M69,'Casos y evidencias'!$A$6:$O$83,5,FALSE)="","",VLOOKUP($M69,'Casos y evidencias'!$A$6:$O$83,5,FALSE)),"ID no encontrado"))</f>
        <v>Conservación del documento autorizado</v>
      </c>
      <c r="O69" s="5" t="str">
        <f>IF($M69="","",IFERROR(IF(VLOOKUP($M69,'Casos y evidencias'!$A$6:$O$83,10,FALSE)="","",VLOOKUP($M69,'Casos y evidencias'!$A$6:$O$83,10,FALSE)),"ID no encontrado"))</f>
        <v>No ejecutado</v>
      </c>
      <c r="P69" s="7" t="str">
        <f>IF($M69="","",IFERROR(IF(VLOOKUP($M69,'Casos y evidencias'!$A$6:$O$83,11,FALSE)="","",VLOOKUP($M69,'Casos y evidencias'!$A$6:$O$83,11,FALSE)),"ID no encontrado"))</f>
        <v/>
      </c>
      <c r="Q69" s="5" t="str">
        <f>IF($M69="","",IFERROR(IF(VLOOKUP($M69,'Casos y evidencias'!$A$6:$O$83,12,FALSE)="","",VLOOKUP($M69,'Casos y evidencias'!$A$6:$O$83,12,FALSE)),"ID no encontrado"))</f>
        <v/>
      </c>
      <c r="R69" s="4"/>
    </row>
    <row r="70" spans="1:18" ht="75.599999999999994" customHeight="1">
      <c r="A70" s="6">
        <v>63</v>
      </c>
      <c r="B70" s="5" t="str">
        <f>IF($G70="","",IF($K70="","Falta criterio",IFERROR(IF(VLOOKUP($K70,'Historias y criterios'!$A$6:$P$83,3,FALSE)&lt;&gt;$G70,"Revisar relación requisito-criterio",IF($M70="","Falta caso de prueba",IF(VLOOKUP($M70,'Casos y evidencias'!$A$6:$O$83,2,FALSE)&lt;&gt;$K70,"Revisar relación criterio-caso",IF($O70="Aprobado",IF($P70="","Falta evidencia","Trazabilidad completa"),IF($O70="Fallido","Prueba fallida",IF($O70="Bloqueado","Prueba bloqueada","Prueba pendiente")))))),"ID no encontrado")))</f>
        <v>Prueba pendiente</v>
      </c>
      <c r="C70" s="7" t="str">
        <f>IF($G70="","",IFERROR(IF(VLOOKUP($G70,Requerimientos!$A$6:$M$43,2,FALSE)="","",VLOOKUP($G70,Requerimientos!$A$6:$M$43,2,FALSE)),"ID no encontrado"))</f>
        <v>OBJ-005</v>
      </c>
      <c r="D70" s="5" t="str">
        <f>IF($C70="","",IFERROR(IF(VLOOKUP($C70,'Objetivos y procesos'!$A$6:$H$35,2,FALSE)="","",VLOOKUP($C70,'Objetivos y procesos'!$A$6:$H$35,2,FALSE)),"ID no encontrado"))</f>
        <v>Canalizar lecturas por API sobre HANA y escrituras autorizadas por Service Layer sin duplicidad ni operaciones parciales.</v>
      </c>
      <c r="E70" s="7" t="str">
        <f>IF($G70="","",IFERROR(IF(VLOOKUP($G70,Requerimientos!$A$6:$M$43,3,FALSE)="","",VLOOKUP($G70,Requerimientos!$A$6:$M$43,3,FALSE)),"ID no encontrado"))</f>
        <v>PR-05</v>
      </c>
      <c r="F70" s="5" t="str">
        <f>IF($E70="","",IFERROR(IF(INDEX('Objetivos y procesos'!$D$6:$D$35,MATCH($E70,'Objetivos y procesos'!$C$6:$C$35,0))="","",IF(INDEX('Objetivos y procesos'!$D$6:$D$35,MATCH($E70,'Objetivos y procesos'!$C$6:$C$35,0))=INDEX('Objetivos y procesos'!$E$6:$E$35,MATCH($E70,'Objetivos y procesos'!$C$6:$C$35,0)),INDEX('Objetivos y procesos'!$D$6:$D$35,MATCH($E70,'Objetivos y procesos'!$C$6:$C$35,0)),INDEX('Objetivos y procesos'!$D$6:$D$35,MATCH($E70,'Objetivos y procesos'!$C$6:$C$35,0))&amp;IF(INDEX('Objetivos y procesos'!$E$6:$E$35,MATCH($E70,'Objetivos y procesos'!$C$6:$C$35,0))="",""," / "&amp;INDEX('Objetivos y procesos'!$E$6:$E$35,MATCH($E70,'Objetivos y procesos'!$C$6:$C$35,0))))),"ID no encontrado"))</f>
        <v>Integración con SAP Business One</v>
      </c>
      <c r="G70" s="8" t="s">
        <v>179</v>
      </c>
      <c r="H70" s="5" t="str">
        <f>IF($G70="","",IFERROR(IF(VLOOKUP($G70,Requerimientos!$A$6:$M$43,7,FALSE)="","",VLOOKUP($G70,Requerimientos!$A$6:$M$43,7,FALSE)),"ID no encontrado"))</f>
        <v>El sistema debe registrar el resultado de cada operación enviada al ERP, incluidos los errores devueltos por SAP.</v>
      </c>
      <c r="I70" s="7" t="str">
        <f>IF($K70="","",IFERROR(IF(VLOOKUP($K70,'Historias y criterios'!$A$6:$P$83,2,FALSE)="","",VLOOKUP($K70,'Historias y criterios'!$A$6:$P$83,2,FALSE)),"ID no encontrado"))</f>
        <v>HU-017</v>
      </c>
      <c r="J70" s="5" t="str">
        <f>IF($K70="","",IFERROR(IF(VLOOKUP($K70,'Historias y criterios'!$A$6:$P$83,10,FALSE)="","",VLOOKUP($K70,'Historias y criterios'!$A$6:$P$83,10,FALSE)),"ID no encontrado"))</f>
        <v>Como responsable de operación, quiero consultar el resultado de cada envío y reintentar los fallidos de forma segura, para resolver errores sin duplicar documentos ni líneas en el ERP</v>
      </c>
      <c r="K70" s="8" t="s">
        <v>180</v>
      </c>
      <c r="L70" s="5" t="str">
        <f>IF($K70="","",IFERROR(IF(VLOOKUP($K70,'Historias y criterios'!$A$6:$P$83,11,FALSE)="","",VLOOKUP($K70,'Historias y criterios'!$A$6:$P$83,11,FALSE)),"ID no encontrado"))</f>
        <v>Cada envío registra documento, resultado, identificador y mensaje de error.</v>
      </c>
      <c r="M70" s="8" t="s">
        <v>181</v>
      </c>
      <c r="N70" s="5" t="str">
        <f>IF($M70="","",IFERROR(IF(VLOOKUP($M70,'Casos y evidencias'!$A$6:$O$83,5,FALSE)="","",VLOOKUP($M70,'Casos y evidencias'!$A$6:$O$83,5,FALSE)),"ID no encontrado"))</f>
        <v>Registro del resultado de cada envío</v>
      </c>
      <c r="O70" s="5" t="str">
        <f>IF($M70="","",IFERROR(IF(VLOOKUP($M70,'Casos y evidencias'!$A$6:$O$83,10,FALSE)="","",VLOOKUP($M70,'Casos y evidencias'!$A$6:$O$83,10,FALSE)),"ID no encontrado"))</f>
        <v>No ejecutado</v>
      </c>
      <c r="P70" s="7" t="str">
        <f>IF($M70="","",IFERROR(IF(VLOOKUP($M70,'Casos y evidencias'!$A$6:$O$83,11,FALSE)="","",VLOOKUP($M70,'Casos y evidencias'!$A$6:$O$83,11,FALSE)),"ID no encontrado"))</f>
        <v/>
      </c>
      <c r="Q70" s="5" t="str">
        <f>IF($M70="","",IFERROR(IF(VLOOKUP($M70,'Casos y evidencias'!$A$6:$O$83,12,FALSE)="","",VLOOKUP($M70,'Casos y evidencias'!$A$6:$O$83,12,FALSE)),"ID no encontrado"))</f>
        <v/>
      </c>
      <c r="R70" s="4"/>
    </row>
    <row r="71" spans="1:18" ht="75.599999999999994" customHeight="1">
      <c r="A71" s="6">
        <v>64</v>
      </c>
      <c r="B71" s="5" t="str">
        <f>IF($G71="","",IF($K71="","Falta criterio",IFERROR(IF(VLOOKUP($K71,'Historias y criterios'!$A$6:$P$83,3,FALSE)&lt;&gt;$G71,"Revisar relación requisito-criterio",IF($M71="","Falta caso de prueba",IF(VLOOKUP($M71,'Casos y evidencias'!$A$6:$O$83,2,FALSE)&lt;&gt;$K71,"Revisar relación criterio-caso",IF($O71="Aprobado",IF($P71="","Falta evidencia","Trazabilidad completa"),IF($O71="Fallido","Prueba fallida",IF($O71="Bloqueado","Prueba bloqueada","Prueba pendiente")))))),"ID no encontrado")))</f>
        <v>Prueba pendiente</v>
      </c>
      <c r="C71" s="7" t="str">
        <f>IF($G71="","",IFERROR(IF(VLOOKUP($G71,Requerimientos!$A$6:$M$43,2,FALSE)="","",VLOOKUP($G71,Requerimientos!$A$6:$M$43,2,FALSE)),"ID no encontrado"))</f>
        <v>OBJ-005</v>
      </c>
      <c r="D71" s="5" t="str">
        <f>IF($C71="","",IFERROR(IF(VLOOKUP($C71,'Objetivos y procesos'!$A$6:$H$35,2,FALSE)="","",VLOOKUP($C71,'Objetivos y procesos'!$A$6:$H$35,2,FALSE)),"ID no encontrado"))</f>
        <v>Canalizar lecturas por API sobre HANA y escrituras autorizadas por Service Layer sin duplicidad ni operaciones parciales.</v>
      </c>
      <c r="E71" s="7" t="str">
        <f>IF($G71="","",IFERROR(IF(VLOOKUP($G71,Requerimientos!$A$6:$M$43,3,FALSE)="","",VLOOKUP($G71,Requerimientos!$A$6:$M$43,3,FALSE)),"ID no encontrado"))</f>
        <v>PR-05</v>
      </c>
      <c r="F71" s="5" t="str">
        <f>IF($E71="","",IFERROR(IF(INDEX('Objetivos y procesos'!$D$6:$D$35,MATCH($E71,'Objetivos y procesos'!$C$6:$C$35,0))="","",IF(INDEX('Objetivos y procesos'!$D$6:$D$35,MATCH($E71,'Objetivos y procesos'!$C$6:$C$35,0))=INDEX('Objetivos y procesos'!$E$6:$E$35,MATCH($E71,'Objetivos y procesos'!$C$6:$C$35,0)),INDEX('Objetivos y procesos'!$D$6:$D$35,MATCH($E71,'Objetivos y procesos'!$C$6:$C$35,0)),INDEX('Objetivos y procesos'!$D$6:$D$35,MATCH($E71,'Objetivos y procesos'!$C$6:$C$35,0))&amp;IF(INDEX('Objetivos y procesos'!$E$6:$E$35,MATCH($E71,'Objetivos y procesos'!$C$6:$C$35,0))="",""," / "&amp;INDEX('Objetivos y procesos'!$E$6:$E$35,MATCH($E71,'Objetivos y procesos'!$C$6:$C$35,0))))),"ID no encontrado"))</f>
        <v>Integración con SAP Business One</v>
      </c>
      <c r="G71" s="8" t="s">
        <v>179</v>
      </c>
      <c r="H71" s="5" t="str">
        <f>IF($G71="","",IFERROR(IF(VLOOKUP($G71,Requerimientos!$A$6:$M$43,7,FALSE)="","",VLOOKUP($G71,Requerimientos!$A$6:$M$43,7,FALSE)),"ID no encontrado"))</f>
        <v>El sistema debe registrar el resultado de cada operación enviada al ERP, incluidos los errores devueltos por SAP.</v>
      </c>
      <c r="I71" s="7" t="str">
        <f>IF($K71="","",IFERROR(IF(VLOOKUP($K71,'Historias y criterios'!$A$6:$P$83,2,FALSE)="","",VLOOKUP($K71,'Historias y criterios'!$A$6:$P$83,2,FALSE)),"ID no encontrado"))</f>
        <v>HU-017</v>
      </c>
      <c r="J71" s="5" t="str">
        <f>IF($K71="","",IFERROR(IF(VLOOKUP($K71,'Historias y criterios'!$A$6:$P$83,10,FALSE)="","",VLOOKUP($K71,'Historias y criterios'!$A$6:$P$83,10,FALSE)),"ID no encontrado"))</f>
        <v>Como responsable de operación, quiero consultar el resultado de cada envío y reintentar los fallidos de forma segura, para resolver errores sin duplicar documentos ni líneas en el ERP</v>
      </c>
      <c r="K71" s="8" t="s">
        <v>182</v>
      </c>
      <c r="L71" s="5" t="str">
        <f>IF($K71="","",IFERROR(IF(VLOOKUP($K71,'Historias y criterios'!$A$6:$P$83,11,FALSE)="","",VLOOKUP($K71,'Historias y criterios'!$A$6:$P$83,11,FALSE)),"ID no encontrado"))</f>
        <v>Los mensajes indican claramente qué ocurrió.</v>
      </c>
      <c r="M71" s="8" t="s">
        <v>183</v>
      </c>
      <c r="N71" s="5" t="str">
        <f>IF($M71="","",IFERROR(IF(VLOOKUP($M71,'Casos y evidencias'!$A$6:$O$83,5,FALSE)="","",VLOOKUP($M71,'Casos y evidencias'!$A$6:$O$83,5,FALSE)),"ID no encontrado"))</f>
        <v>Mensajes de error comprensibles</v>
      </c>
      <c r="O71" s="5" t="str">
        <f>IF($M71="","",IFERROR(IF(VLOOKUP($M71,'Casos y evidencias'!$A$6:$O$83,10,FALSE)="","",VLOOKUP($M71,'Casos y evidencias'!$A$6:$O$83,10,FALSE)),"ID no encontrado"))</f>
        <v>No ejecutado</v>
      </c>
      <c r="P71" s="7" t="str">
        <f>IF($M71="","",IFERROR(IF(VLOOKUP($M71,'Casos y evidencias'!$A$6:$O$83,11,FALSE)="","",VLOOKUP($M71,'Casos y evidencias'!$A$6:$O$83,11,FALSE)),"ID no encontrado"))</f>
        <v/>
      </c>
      <c r="Q71" s="5" t="str">
        <f>IF($M71="","",IFERROR(IF(VLOOKUP($M71,'Casos y evidencias'!$A$6:$O$83,12,FALSE)="","",VLOOKUP($M71,'Casos y evidencias'!$A$6:$O$83,12,FALSE)),"ID no encontrado"))</f>
        <v/>
      </c>
      <c r="R71" s="4"/>
    </row>
    <row r="72" spans="1:18" ht="75.599999999999994" customHeight="1">
      <c r="A72" s="6">
        <v>65</v>
      </c>
      <c r="B72" s="5" t="str">
        <f>IF($G72="","",IF($K72="","Falta criterio",IFERROR(IF(VLOOKUP($K72,'Historias y criterios'!$A$6:$P$83,3,FALSE)&lt;&gt;$G72,"Revisar relación requisito-criterio",IF($M72="","Falta caso de prueba",IF(VLOOKUP($M72,'Casos y evidencias'!$A$6:$O$83,2,FALSE)&lt;&gt;$K72,"Revisar relación criterio-caso",IF($O72="Aprobado",IF($P72="","Falta evidencia","Trazabilidad completa"),IF($O72="Fallido","Prueba fallida",IF($O72="Bloqueado","Prueba bloqueada","Prueba pendiente")))))),"ID no encontrado")))</f>
        <v>Prueba pendiente</v>
      </c>
      <c r="C72" s="7" t="str">
        <f>IF($G72="","",IFERROR(IF(VLOOKUP($G72,Requerimientos!$A$6:$M$43,2,FALSE)="","",VLOOKUP($G72,Requerimientos!$A$6:$M$43,2,FALSE)),"ID no encontrado"))</f>
        <v>OBJ-005</v>
      </c>
      <c r="D72" s="5" t="str">
        <f>IF($C72="","",IFERROR(IF(VLOOKUP($C72,'Objetivos y procesos'!$A$6:$H$35,2,FALSE)="","",VLOOKUP($C72,'Objetivos y procesos'!$A$6:$H$35,2,FALSE)),"ID no encontrado"))</f>
        <v>Canalizar lecturas por API sobre HANA y escrituras autorizadas por Service Layer sin duplicidad ni operaciones parciales.</v>
      </c>
      <c r="E72" s="7" t="str">
        <f>IF($G72="","",IFERROR(IF(VLOOKUP($G72,Requerimientos!$A$6:$M$43,3,FALSE)="","",VLOOKUP($G72,Requerimientos!$A$6:$M$43,3,FALSE)),"ID no encontrado"))</f>
        <v>PR-05</v>
      </c>
      <c r="F72" s="5" t="str">
        <f>IF($E72="","",IFERROR(IF(INDEX('Objetivos y procesos'!$D$6:$D$35,MATCH($E72,'Objetivos y procesos'!$C$6:$C$35,0))="","",IF(INDEX('Objetivos y procesos'!$D$6:$D$35,MATCH($E72,'Objetivos y procesos'!$C$6:$C$35,0))=INDEX('Objetivos y procesos'!$E$6:$E$35,MATCH($E72,'Objetivos y procesos'!$C$6:$C$35,0)),INDEX('Objetivos y procesos'!$D$6:$D$35,MATCH($E72,'Objetivos y procesos'!$C$6:$C$35,0)),INDEX('Objetivos y procesos'!$D$6:$D$35,MATCH($E72,'Objetivos y procesos'!$C$6:$C$35,0))&amp;IF(INDEX('Objetivos y procesos'!$E$6:$E$35,MATCH($E72,'Objetivos y procesos'!$C$6:$C$35,0))="",""," / "&amp;INDEX('Objetivos y procesos'!$E$6:$E$35,MATCH($E72,'Objetivos y procesos'!$C$6:$C$35,0))))),"ID no encontrado"))</f>
        <v>Integración con SAP Business One</v>
      </c>
      <c r="G72" s="8" t="s">
        <v>184</v>
      </c>
      <c r="H72" s="5" t="str">
        <f>IF($G72="","",IFERROR(IF(VLOOKUP($G72,Requerimientos!$A$6:$M$43,7,FALSE)="","",VLOOKUP($G72,Requerimientos!$A$6:$M$43,7,FALSE)),"ID no encontrado"))</f>
        <v>El sistema debe permitir reintentar un envío fallido al ERP sin duplicar las líneas ya creadas.</v>
      </c>
      <c r="I72" s="7" t="str">
        <f>IF($K72="","",IFERROR(IF(VLOOKUP($K72,'Historias y criterios'!$A$6:$P$83,2,FALSE)="","",VLOOKUP($K72,'Historias y criterios'!$A$6:$P$83,2,FALSE)),"ID no encontrado"))</f>
        <v>HU-017</v>
      </c>
      <c r="J72" s="5" t="str">
        <f>IF($K72="","",IFERROR(IF(VLOOKUP($K72,'Historias y criterios'!$A$6:$P$83,10,FALSE)="","",VLOOKUP($K72,'Historias y criterios'!$A$6:$P$83,10,FALSE)),"ID no encontrado"))</f>
        <v>Como responsable de operación, quiero consultar el resultado de cada envío y reintentar los fallidos de forma segura, para resolver errores sin duplicar documentos ni líneas en el ERP</v>
      </c>
      <c r="K72" s="8" t="s">
        <v>185</v>
      </c>
      <c r="L72" s="5" t="str">
        <f>IF($K72="","",IFERROR(IF(VLOOKUP($K72,'Historias y criterios'!$A$6:$P$83,11,FALSE)="","",VLOOKUP($K72,'Historias y criterios'!$A$6:$P$83,11,FALSE)),"ID no encontrado"))</f>
        <v>Un reintento reutiliza el documento autorizado y evita duplicar líneas o resultados ya creados.</v>
      </c>
      <c r="M72" s="8" t="s">
        <v>186</v>
      </c>
      <c r="N72" s="5" t="str">
        <f>IF($M72="","",IFERROR(IF(VLOOKUP($M72,'Casos y evidencias'!$A$6:$O$83,5,FALSE)="","",VLOOKUP($M72,'Casos y evidencias'!$A$6:$O$83,5,FALSE)),"ID no encontrado"))</f>
        <v>Reintento sin duplicados</v>
      </c>
      <c r="O72" s="5" t="str">
        <f>IF($M72="","",IFERROR(IF(VLOOKUP($M72,'Casos y evidencias'!$A$6:$O$83,10,FALSE)="","",VLOOKUP($M72,'Casos y evidencias'!$A$6:$O$83,10,FALSE)),"ID no encontrado"))</f>
        <v>No ejecutado</v>
      </c>
      <c r="P72" s="7" t="str">
        <f>IF($M72="","",IFERROR(IF(VLOOKUP($M72,'Casos y evidencias'!$A$6:$O$83,11,FALSE)="","",VLOOKUP($M72,'Casos y evidencias'!$A$6:$O$83,11,FALSE)),"ID no encontrado"))</f>
        <v/>
      </c>
      <c r="Q72" s="5" t="str">
        <f>IF($M72="","",IFERROR(IF(VLOOKUP($M72,'Casos y evidencias'!$A$6:$O$83,12,FALSE)="","",VLOOKUP($M72,'Casos y evidencias'!$A$6:$O$83,12,FALSE)),"ID no encontrado"))</f>
        <v/>
      </c>
      <c r="R72" s="4"/>
    </row>
    <row r="73" spans="1:18" ht="75.599999999999994" customHeight="1">
      <c r="A73" s="6">
        <v>66</v>
      </c>
      <c r="B73" s="5" t="str">
        <f>IF($G73="","",IF($K73="","Falta criterio",IFERROR(IF(VLOOKUP($K73,'Historias y criterios'!$A$6:$P$83,3,FALSE)&lt;&gt;$G73,"Revisar relación requisito-criterio",IF($M73="","Falta caso de prueba",IF(VLOOKUP($M73,'Casos y evidencias'!$A$6:$O$83,2,FALSE)&lt;&gt;$K73,"Revisar relación criterio-caso",IF($O73="Aprobado",IF($P73="","Falta evidencia","Trazabilidad completa"),IF($O73="Fallido","Prueba fallida",IF($O73="Bloqueado","Prueba bloqueada","Prueba pendiente")))))),"ID no encontrado")))</f>
        <v>Prueba pendiente</v>
      </c>
      <c r="C73" s="7" t="str">
        <f>IF($G73="","",IFERROR(IF(VLOOKUP($G73,Requerimientos!$A$6:$M$43,2,FALSE)="","",VLOOKUP($G73,Requerimientos!$A$6:$M$43,2,FALSE)),"ID no encontrado"))</f>
        <v>OBJ-005</v>
      </c>
      <c r="D73" s="5" t="str">
        <f>IF($C73="","",IFERROR(IF(VLOOKUP($C73,'Objetivos y procesos'!$A$6:$H$35,2,FALSE)="","",VLOOKUP($C73,'Objetivos y procesos'!$A$6:$H$35,2,FALSE)),"ID no encontrado"))</f>
        <v>Canalizar lecturas por API sobre HANA y escrituras autorizadas por Service Layer sin duplicidad ni operaciones parciales.</v>
      </c>
      <c r="E73" s="7" t="str">
        <f>IF($G73="","",IFERROR(IF(VLOOKUP($G73,Requerimientos!$A$6:$M$43,3,FALSE)="","",VLOOKUP($G73,Requerimientos!$A$6:$M$43,3,FALSE)),"ID no encontrado"))</f>
        <v>PR-05</v>
      </c>
      <c r="F73" s="5" t="str">
        <f>IF($E73="","",IFERROR(IF(INDEX('Objetivos y procesos'!$D$6:$D$35,MATCH($E73,'Objetivos y procesos'!$C$6:$C$35,0))="","",IF(INDEX('Objetivos y procesos'!$D$6:$D$35,MATCH($E73,'Objetivos y procesos'!$C$6:$C$35,0))=INDEX('Objetivos y procesos'!$E$6:$E$35,MATCH($E73,'Objetivos y procesos'!$C$6:$C$35,0)),INDEX('Objetivos y procesos'!$D$6:$D$35,MATCH($E73,'Objetivos y procesos'!$C$6:$C$35,0)),INDEX('Objetivos y procesos'!$D$6:$D$35,MATCH($E73,'Objetivos y procesos'!$C$6:$C$35,0))&amp;IF(INDEX('Objetivos y procesos'!$E$6:$E$35,MATCH($E73,'Objetivos y procesos'!$C$6:$C$35,0))="",""," / "&amp;INDEX('Objetivos y procesos'!$E$6:$E$35,MATCH($E73,'Objetivos y procesos'!$C$6:$C$35,0))))),"ID no encontrado"))</f>
        <v>Integración con SAP Business One</v>
      </c>
      <c r="G73" s="8" t="s">
        <v>184</v>
      </c>
      <c r="H73" s="5" t="str">
        <f>IF($G73="","",IFERROR(IF(VLOOKUP($G73,Requerimientos!$A$6:$M$43,7,FALSE)="","",VLOOKUP($G73,Requerimientos!$A$6:$M$43,7,FALSE)),"ID no encontrado"))</f>
        <v>El sistema debe permitir reintentar un envío fallido al ERP sin duplicar las líneas ya creadas.</v>
      </c>
      <c r="I73" s="7" t="str">
        <f>IF($K73="","",IFERROR(IF(VLOOKUP($K73,'Historias y criterios'!$A$6:$P$83,2,FALSE)="","",VLOOKUP($K73,'Historias y criterios'!$A$6:$P$83,2,FALSE)),"ID no encontrado"))</f>
        <v>HU-017</v>
      </c>
      <c r="J73" s="5" t="str">
        <f>IF($K73="","",IFERROR(IF(VLOOKUP($K73,'Historias y criterios'!$A$6:$P$83,10,FALSE)="","",VLOOKUP($K73,'Historias y criterios'!$A$6:$P$83,10,FALSE)),"ID no encontrado"))</f>
        <v>Como responsable de operación, quiero consultar el resultado de cada envío y reintentar los fallidos de forma segura, para resolver errores sin duplicar documentos ni líneas en el ERP</v>
      </c>
      <c r="K73" s="8" t="s">
        <v>187</v>
      </c>
      <c r="L73" s="5" t="str">
        <f>IF($K73="","",IFERROR(IF(VLOOKUP($K73,'Historias y criterios'!$A$6:$P$83,11,FALSE)="","",VLOOKUP($K73,'Historias y criterios'!$A$6:$P$83,11,FALSE)),"ID no encontrado"))</f>
        <v>Ante error, la operación queda completa o no se registra parcialmente.</v>
      </c>
      <c r="M73" s="8" t="s">
        <v>188</v>
      </c>
      <c r="N73" s="5" t="str">
        <f>IF($M73="","",IFERROR(IF(VLOOKUP($M73,'Casos y evidencias'!$A$6:$O$83,5,FALSE)="","",VLOOKUP($M73,'Casos y evidencias'!$A$6:$O$83,5,FALSE)),"ID no encontrado"))</f>
        <v>Atomicidad ante error</v>
      </c>
      <c r="O73" s="5" t="str">
        <f>IF($M73="","",IFERROR(IF(VLOOKUP($M73,'Casos y evidencias'!$A$6:$O$83,10,FALSE)="","",VLOOKUP($M73,'Casos y evidencias'!$A$6:$O$83,10,FALSE)),"ID no encontrado"))</f>
        <v>No ejecutado</v>
      </c>
      <c r="P73" s="7" t="str">
        <f>IF($M73="","",IFERROR(IF(VLOOKUP($M73,'Casos y evidencias'!$A$6:$O$83,11,FALSE)="","",VLOOKUP($M73,'Casos y evidencias'!$A$6:$O$83,11,FALSE)),"ID no encontrado"))</f>
        <v/>
      </c>
      <c r="Q73" s="5" t="str">
        <f>IF($M73="","",IFERROR(IF(VLOOKUP($M73,'Casos y evidencias'!$A$6:$O$83,12,FALSE)="","",VLOOKUP($M73,'Casos y evidencias'!$A$6:$O$83,12,FALSE)),"ID no encontrado"))</f>
        <v/>
      </c>
      <c r="R73" s="4"/>
    </row>
    <row r="74" spans="1:18" ht="116.1" customHeight="1">
      <c r="A74" s="6">
        <v>67</v>
      </c>
      <c r="B74" s="5" t="str">
        <f>IF($G74="","",IF($K74="","Falta criterio",IFERROR(IF(VLOOKUP($K74,'Historias y criterios'!$A$6:$P$83,3,FALSE)&lt;&gt;$G74,"Revisar relación requisito-criterio",IF($M74="","Falta caso de prueba",IF(VLOOKUP($M74,'Casos y evidencias'!$A$6:$O$83,2,FALSE)&lt;&gt;$K74,"Revisar relación criterio-caso",IF($O74="Aprobado",IF($P74="","Falta evidencia","Trazabilidad completa"),IF($O74="Fallido","Prueba fallida",IF($O74="Bloqueado","Prueba bloqueada","Prueba pendiente")))))),"ID no encontrado")))</f>
        <v>Prueba pendiente</v>
      </c>
      <c r="C74" s="7" t="str">
        <f>IF($G74="","",IFERROR(IF(VLOOKUP($G74,Requerimientos!$A$6:$M$43,2,FALSE)="","",VLOOKUP($G74,Requerimientos!$A$6:$M$43,2,FALSE)),"ID no encontrado"))</f>
        <v>OBJ-006</v>
      </c>
      <c r="D74" s="5" t="str">
        <f>IF($C74="","",IFERROR(IF(VLOOKUP($C74,'Objetivos y procesos'!$A$6:$H$35,2,FALSE)="","",VLOOKUP($C74,'Objetivos y procesos'!$A$6:$H$35,2,FALSE)),"ID no encontrado"))</f>
        <v>Centralizar la posventa y ofrecer visibilidad de cada caso, comprobante y decisión a los participantes autorizados.</v>
      </c>
      <c r="E74" s="7" t="str">
        <f>IF($G74="","",IFERROR(IF(VLOOKUP($G74,Requerimientos!$A$6:$M$43,3,FALSE)="","",VLOOKUP($G74,Requerimientos!$A$6:$M$43,3,FALSE)),"ID no encontrado"))</f>
        <v>PR-06</v>
      </c>
      <c r="F74" s="5" t="str">
        <f>IF($E74="","",IFERROR(IF(INDEX('Objetivos y procesos'!$D$6:$D$35,MATCH($E74,'Objetivos y procesos'!$C$6:$C$35,0))="","",IF(INDEX('Objetivos y procesos'!$D$6:$D$35,MATCH($E74,'Objetivos y procesos'!$C$6:$C$35,0))=INDEX('Objetivos y procesos'!$E$6:$E$35,MATCH($E74,'Objetivos y procesos'!$C$6:$C$35,0)),INDEX('Objetivos y procesos'!$D$6:$D$35,MATCH($E74,'Objetivos y procesos'!$C$6:$C$35,0)),INDEX('Objetivos y procesos'!$D$6:$D$35,MATCH($E74,'Objetivos y procesos'!$C$6:$C$35,0))&amp;IF(INDEX('Objetivos y procesos'!$E$6:$E$35,MATCH($E74,'Objetivos y procesos'!$C$6:$C$35,0))="",""," / "&amp;INDEX('Objetivos y procesos'!$E$6:$E$35,MATCH($E74,'Objetivos y procesos'!$C$6:$C$35,0))))),"ID no encontrado"))</f>
        <v>Gestión de Posventa</v>
      </c>
      <c r="G74" s="8" t="s">
        <v>189</v>
      </c>
      <c r="H74" s="5" t="str">
        <f>IF($G74="","",IFERROR(IF(VLOOKUP($G74,Requerimientos!$A$6:$M$43,7,FALSE)="","",VLOOKUP($G74,Requerimientos!$A$6:$M$43,7,FALSE)),"ID no encontrado"))</f>
        <v>El sistema debe permitir registrar solicitudes de devolución, cambio, servicio técnico, productos faltantes, desistimiento de compra y nota de crédito, con los datos del cliente, el vendedor, la empresa, los productos involucrados y el documento de respaldo: guía de despacho o factura de reserva.</v>
      </c>
      <c r="I74" s="7" t="str">
        <f>IF($K74="","",IFERROR(IF(VLOOKUP($K74,'Historias y criterios'!$A$6:$P$83,2,FALSE)="","",VLOOKUP($K74,'Historias y criterios'!$A$6:$P$83,2,FALSE)),"ID no encontrado"))</f>
        <v>HU-018</v>
      </c>
      <c r="J74" s="5" t="str">
        <f>IF($K74="","",IFERROR(IF(VLOOKUP($K74,'Historias y criterios'!$A$6:$P$83,10,FALSE)="","",VLOOKUP($K74,'Historias y criterios'!$A$6:$P$83,10,FALSE)),"ID no encontrado"))</f>
        <v>Como vendedor o asistente de vendedor, quiero registrar un caso de posventa con cliente, productos, respaldo y evidencias, para iniciar formalmente su evaluación y seguimiento</v>
      </c>
      <c r="K74" s="8" t="s">
        <v>190</v>
      </c>
      <c r="L74" s="5" t="str">
        <f>IF($K74="","",IFERROR(IF(VLOOKUP($K74,'Historias y criterios'!$A$6:$P$83,11,FALSE)="","",VLOOKUP($K74,'Historias y criterios'!$A$6:$P$83,11,FALSE)),"ID no encontrado"))</f>
        <v>Permite devolución, cambio, servicio técnico, producto faltante, desistimiento y nota de crédito.</v>
      </c>
      <c r="M74" s="8" t="s">
        <v>191</v>
      </c>
      <c r="N74" s="5" t="str">
        <f>IF($M74="","",IFERROR(IF(VLOOKUP($M74,'Casos y evidencias'!$A$6:$O$83,5,FALSE)="","",VLOOKUP($M74,'Casos y evidencias'!$A$6:$O$83,5,FALSE)),"ID no encontrado"))</f>
        <v>Tipos de caso disponibles</v>
      </c>
      <c r="O74" s="5" t="str">
        <f>IF($M74="","",IFERROR(IF(VLOOKUP($M74,'Casos y evidencias'!$A$6:$O$83,10,FALSE)="","",VLOOKUP($M74,'Casos y evidencias'!$A$6:$O$83,10,FALSE)),"ID no encontrado"))</f>
        <v>No ejecutado</v>
      </c>
      <c r="P74" s="7" t="str">
        <f>IF($M74="","",IFERROR(IF(VLOOKUP($M74,'Casos y evidencias'!$A$6:$O$83,11,FALSE)="","",VLOOKUP($M74,'Casos y evidencias'!$A$6:$O$83,11,FALSE)),"ID no encontrado"))</f>
        <v/>
      </c>
      <c r="Q74" s="5" t="str">
        <f>IF($M74="","",IFERROR(IF(VLOOKUP($M74,'Casos y evidencias'!$A$6:$O$83,12,FALSE)="","",VLOOKUP($M74,'Casos y evidencias'!$A$6:$O$83,12,FALSE)),"ID no encontrado"))</f>
        <v/>
      </c>
      <c r="R74" s="4"/>
    </row>
    <row r="75" spans="1:18" ht="116.1" customHeight="1">
      <c r="A75" s="6">
        <v>68</v>
      </c>
      <c r="B75" s="5" t="str">
        <f>IF($G75="","",IF($K75="","Falta criterio",IFERROR(IF(VLOOKUP($K75,'Historias y criterios'!$A$6:$P$83,3,FALSE)&lt;&gt;$G75,"Revisar relación requisito-criterio",IF($M75="","Falta caso de prueba",IF(VLOOKUP($M75,'Casos y evidencias'!$A$6:$O$83,2,FALSE)&lt;&gt;$K75,"Revisar relación criterio-caso",IF($O75="Aprobado",IF($P75="","Falta evidencia","Trazabilidad completa"),IF($O75="Fallido","Prueba fallida",IF($O75="Bloqueado","Prueba bloqueada","Prueba pendiente")))))),"ID no encontrado")))</f>
        <v>Prueba pendiente</v>
      </c>
      <c r="C75" s="7" t="str">
        <f>IF($G75="","",IFERROR(IF(VLOOKUP($G75,Requerimientos!$A$6:$M$43,2,FALSE)="","",VLOOKUP($G75,Requerimientos!$A$6:$M$43,2,FALSE)),"ID no encontrado"))</f>
        <v>OBJ-006</v>
      </c>
      <c r="D75" s="5" t="str">
        <f>IF($C75="","",IFERROR(IF(VLOOKUP($C75,'Objetivos y procesos'!$A$6:$H$35,2,FALSE)="","",VLOOKUP($C75,'Objetivos y procesos'!$A$6:$H$35,2,FALSE)),"ID no encontrado"))</f>
        <v>Centralizar la posventa y ofrecer visibilidad de cada caso, comprobante y decisión a los participantes autorizados.</v>
      </c>
      <c r="E75" s="7" t="str">
        <f>IF($G75="","",IFERROR(IF(VLOOKUP($G75,Requerimientos!$A$6:$M$43,3,FALSE)="","",VLOOKUP($G75,Requerimientos!$A$6:$M$43,3,FALSE)),"ID no encontrado"))</f>
        <v>PR-06</v>
      </c>
      <c r="F75" s="5" t="str">
        <f>IF($E75="","",IFERROR(IF(INDEX('Objetivos y procesos'!$D$6:$D$35,MATCH($E75,'Objetivos y procesos'!$C$6:$C$35,0))="","",IF(INDEX('Objetivos y procesos'!$D$6:$D$35,MATCH($E75,'Objetivos y procesos'!$C$6:$C$35,0))=INDEX('Objetivos y procesos'!$E$6:$E$35,MATCH($E75,'Objetivos y procesos'!$C$6:$C$35,0)),INDEX('Objetivos y procesos'!$D$6:$D$35,MATCH($E75,'Objetivos y procesos'!$C$6:$C$35,0)),INDEX('Objetivos y procesos'!$D$6:$D$35,MATCH($E75,'Objetivos y procesos'!$C$6:$C$35,0))&amp;IF(INDEX('Objetivos y procesos'!$E$6:$E$35,MATCH($E75,'Objetivos y procesos'!$C$6:$C$35,0))="",""," / "&amp;INDEX('Objetivos y procesos'!$E$6:$E$35,MATCH($E75,'Objetivos y procesos'!$C$6:$C$35,0))))),"ID no encontrado"))</f>
        <v>Gestión de Posventa</v>
      </c>
      <c r="G75" s="8" t="s">
        <v>189</v>
      </c>
      <c r="H75" s="5" t="str">
        <f>IF($G75="","",IFERROR(IF(VLOOKUP($G75,Requerimientos!$A$6:$M$43,7,FALSE)="","",VLOOKUP($G75,Requerimientos!$A$6:$M$43,7,FALSE)),"ID no encontrado"))</f>
        <v>El sistema debe permitir registrar solicitudes de devolución, cambio, servicio técnico, productos faltantes, desistimiento de compra y nota de crédito, con los datos del cliente, el vendedor, la empresa, los productos involucrados y el documento de respaldo: guía de despacho o factura de reserva.</v>
      </c>
      <c r="I75" s="7" t="str">
        <f>IF($K75="","",IFERROR(IF(VLOOKUP($K75,'Historias y criterios'!$A$6:$P$83,2,FALSE)="","",VLOOKUP($K75,'Historias y criterios'!$A$6:$P$83,2,FALSE)),"ID no encontrado"))</f>
        <v>HU-018</v>
      </c>
      <c r="J75" s="5" t="str">
        <f>IF($K75="","",IFERROR(IF(VLOOKUP($K75,'Historias y criterios'!$A$6:$P$83,10,FALSE)="","",VLOOKUP($K75,'Historias y criterios'!$A$6:$P$83,10,FALSE)),"ID no encontrado"))</f>
        <v>Como vendedor o asistente de vendedor, quiero registrar un caso de posventa con cliente, productos, respaldo y evidencias, para iniciar formalmente su evaluación y seguimiento</v>
      </c>
      <c r="K75" s="8" t="s">
        <v>192</v>
      </c>
      <c r="L75" s="5" t="str">
        <f>IF($K75="","",IFERROR(IF(VLOOKUP($K75,'Historias y criterios'!$A$6:$P$83,11,FALSE)="","",VLOOKUP($K75,'Historias y criterios'!$A$6:$P$83,11,FALSE)),"ID no encontrado"))</f>
        <v>Registra cliente, vendedor, empresa, productos y guía de despacho o factura de reserva.</v>
      </c>
      <c r="M75" s="8" t="s">
        <v>193</v>
      </c>
      <c r="N75" s="5" t="str">
        <f>IF($M75="","",IFERROR(IF(VLOOKUP($M75,'Casos y evidencias'!$A$6:$O$83,5,FALSE)="","",VLOOKUP($M75,'Casos y evidencias'!$A$6:$O$83,5,FALSE)),"ID no encontrado"))</f>
        <v>Registro de datos y documento de respaldo</v>
      </c>
      <c r="O75" s="5" t="str">
        <f>IF($M75="","",IFERROR(IF(VLOOKUP($M75,'Casos y evidencias'!$A$6:$O$83,10,FALSE)="","",VLOOKUP($M75,'Casos y evidencias'!$A$6:$O$83,10,FALSE)),"ID no encontrado"))</f>
        <v>No ejecutado</v>
      </c>
      <c r="P75" s="7" t="str">
        <f>IF($M75="","",IFERROR(IF(VLOOKUP($M75,'Casos y evidencias'!$A$6:$O$83,11,FALSE)="","",VLOOKUP($M75,'Casos y evidencias'!$A$6:$O$83,11,FALSE)),"ID no encontrado"))</f>
        <v/>
      </c>
      <c r="Q75" s="5" t="str">
        <f>IF($M75="","",IFERROR(IF(VLOOKUP($M75,'Casos y evidencias'!$A$6:$O$83,12,FALSE)="","",VLOOKUP($M75,'Casos y evidencias'!$A$6:$O$83,12,FALSE)),"ID no encontrado"))</f>
        <v/>
      </c>
      <c r="R75" s="4"/>
    </row>
    <row r="76" spans="1:18" ht="75.599999999999994" customHeight="1">
      <c r="A76" s="6">
        <v>69</v>
      </c>
      <c r="B76" s="5" t="str">
        <f>IF($G76="","",IF($K76="","Falta criterio",IFERROR(IF(VLOOKUP($K76,'Historias y criterios'!$A$6:$P$83,3,FALSE)&lt;&gt;$G76,"Revisar relación requisito-criterio",IF($M76="","Falta caso de prueba",IF(VLOOKUP($M76,'Casos y evidencias'!$A$6:$O$83,2,FALSE)&lt;&gt;$K76,"Revisar relación criterio-caso",IF($O76="Aprobado",IF($P76="","Falta evidencia","Trazabilidad completa"),IF($O76="Fallido","Prueba fallida",IF($O76="Bloqueado","Prueba bloqueada","Prueba pendiente")))))),"ID no encontrado")))</f>
        <v>Prueba pendiente</v>
      </c>
      <c r="C76" s="7" t="str">
        <f>IF($G76="","",IFERROR(IF(VLOOKUP($G76,Requerimientos!$A$6:$M$43,2,FALSE)="","",VLOOKUP($G76,Requerimientos!$A$6:$M$43,2,FALSE)),"ID no encontrado"))</f>
        <v>OBJ-006</v>
      </c>
      <c r="D76" s="5" t="str">
        <f>IF($C76="","",IFERROR(IF(VLOOKUP($C76,'Objetivos y procesos'!$A$6:$H$35,2,FALSE)="","",VLOOKUP($C76,'Objetivos y procesos'!$A$6:$H$35,2,FALSE)),"ID no encontrado"))</f>
        <v>Centralizar la posventa y ofrecer visibilidad de cada caso, comprobante y decisión a los participantes autorizados.</v>
      </c>
      <c r="E76" s="7" t="str">
        <f>IF($G76="","",IFERROR(IF(VLOOKUP($G76,Requerimientos!$A$6:$M$43,3,FALSE)="","",VLOOKUP($G76,Requerimientos!$A$6:$M$43,3,FALSE)),"ID no encontrado"))</f>
        <v>PR-06</v>
      </c>
      <c r="F76" s="5" t="str">
        <f>IF($E76="","",IFERROR(IF(INDEX('Objetivos y procesos'!$D$6:$D$35,MATCH($E76,'Objetivos y procesos'!$C$6:$C$35,0))="","",IF(INDEX('Objetivos y procesos'!$D$6:$D$35,MATCH($E76,'Objetivos y procesos'!$C$6:$C$35,0))=INDEX('Objetivos y procesos'!$E$6:$E$35,MATCH($E76,'Objetivos y procesos'!$C$6:$C$35,0)),INDEX('Objetivos y procesos'!$D$6:$D$35,MATCH($E76,'Objetivos y procesos'!$C$6:$C$35,0)),INDEX('Objetivos y procesos'!$D$6:$D$35,MATCH($E76,'Objetivos y procesos'!$C$6:$C$35,0))&amp;IF(INDEX('Objetivos y procesos'!$E$6:$E$35,MATCH($E76,'Objetivos y procesos'!$C$6:$C$35,0))="",""," / "&amp;INDEX('Objetivos y procesos'!$E$6:$E$35,MATCH($E76,'Objetivos y procesos'!$C$6:$C$35,0))))),"ID no encontrado"))</f>
        <v>Gestión de Posventa</v>
      </c>
      <c r="G76" s="8" t="s">
        <v>194</v>
      </c>
      <c r="H76" s="5" t="str">
        <f>IF($G76="","",IFERROR(IF(VLOOKUP($G76,Requerimientos!$A$6:$M$43,7,FALSE)="","",VLOOKUP($G76,Requerimientos!$A$6:$M$43,7,FALSE)),"ID no encontrado"))</f>
        <v>El sistema debe permitir adjuntar evidencias, como fotografías o documentos, a un caso de posventa.</v>
      </c>
      <c r="I76" s="7" t="str">
        <f>IF($K76="","",IFERROR(IF(VLOOKUP($K76,'Historias y criterios'!$A$6:$P$83,2,FALSE)="","",VLOOKUP($K76,'Historias y criterios'!$A$6:$P$83,2,FALSE)),"ID no encontrado"))</f>
        <v>HU-018</v>
      </c>
      <c r="J76" s="5" t="str">
        <f>IF($K76="","",IFERROR(IF(VLOOKUP($K76,'Historias y criterios'!$A$6:$P$83,10,FALSE)="","",VLOOKUP($K76,'Historias y criterios'!$A$6:$P$83,10,FALSE)),"ID no encontrado"))</f>
        <v>Como vendedor o asistente de vendedor, quiero registrar un caso de posventa con cliente, productos, respaldo y evidencias, para iniciar formalmente su evaluación y seguimiento</v>
      </c>
      <c r="K76" s="8" t="s">
        <v>195</v>
      </c>
      <c r="L76" s="5" t="str">
        <f>IF($K76="","",IFERROR(IF(VLOOKUP($K76,'Historias y criterios'!$A$6:$P$83,11,FALSE)="","",VLOOKUP($K76,'Historias y criterios'!$A$6:$P$83,11,FALSE)),"ID no encontrado"))</f>
        <v>Exige evidencias autorizadas salvo las excepciones de factura de reserva.</v>
      </c>
      <c r="M76" s="8" t="s">
        <v>196</v>
      </c>
      <c r="N76" s="5" t="str">
        <f>IF($M76="","",IFERROR(IF(VLOOKUP($M76,'Casos y evidencias'!$A$6:$O$83,5,FALSE)="","",VLOOKUP($M76,'Casos y evidencias'!$A$6:$O$83,5,FALSE)),"ID no encontrado"))</f>
        <v>Evidencias obligatorias y excepción</v>
      </c>
      <c r="O76" s="5" t="str">
        <f>IF($M76="","",IFERROR(IF(VLOOKUP($M76,'Casos y evidencias'!$A$6:$O$83,10,FALSE)="","",VLOOKUP($M76,'Casos y evidencias'!$A$6:$O$83,10,FALSE)),"ID no encontrado"))</f>
        <v>No ejecutado</v>
      </c>
      <c r="P76" s="7" t="str">
        <f>IF($M76="","",IFERROR(IF(VLOOKUP($M76,'Casos y evidencias'!$A$6:$O$83,11,FALSE)="","",VLOOKUP($M76,'Casos y evidencias'!$A$6:$O$83,11,FALSE)),"ID no encontrado"))</f>
        <v/>
      </c>
      <c r="Q76" s="5" t="str">
        <f>IF($M76="","",IFERROR(IF(VLOOKUP($M76,'Casos y evidencias'!$A$6:$O$83,12,FALSE)="","",VLOOKUP($M76,'Casos y evidencias'!$A$6:$O$83,12,FALSE)),"ID no encontrado"))</f>
        <v/>
      </c>
      <c r="R76" s="4"/>
    </row>
    <row r="77" spans="1:18" ht="75.599999999999994" customHeight="1">
      <c r="A77" s="6">
        <v>70</v>
      </c>
      <c r="B77" s="5" t="str">
        <f>IF($G77="","",IF($K77="","Falta criterio",IFERROR(IF(VLOOKUP($K77,'Historias y criterios'!$A$6:$P$83,3,FALSE)&lt;&gt;$G77,"Revisar relación requisito-criterio",IF($M77="","Falta caso de prueba",IF(VLOOKUP($M77,'Casos y evidencias'!$A$6:$O$83,2,FALSE)&lt;&gt;$K77,"Revisar relación criterio-caso",IF($O77="Aprobado",IF($P77="","Falta evidencia","Trazabilidad completa"),IF($O77="Fallido","Prueba fallida",IF($O77="Bloqueado","Prueba bloqueada","Prueba pendiente")))))),"ID no encontrado")))</f>
        <v>Prueba pendiente</v>
      </c>
      <c r="C77" s="7" t="str">
        <f>IF($G77="","",IFERROR(IF(VLOOKUP($G77,Requerimientos!$A$6:$M$43,2,FALSE)="","",VLOOKUP($G77,Requerimientos!$A$6:$M$43,2,FALSE)),"ID no encontrado"))</f>
        <v>OBJ-006</v>
      </c>
      <c r="D77" s="5" t="str">
        <f>IF($C77="","",IFERROR(IF(VLOOKUP($C77,'Objetivos y procesos'!$A$6:$H$35,2,FALSE)="","",VLOOKUP($C77,'Objetivos y procesos'!$A$6:$H$35,2,FALSE)),"ID no encontrado"))</f>
        <v>Centralizar la posventa y ofrecer visibilidad de cada caso, comprobante y decisión a los participantes autorizados.</v>
      </c>
      <c r="E77" s="7" t="str">
        <f>IF($G77="","",IFERROR(IF(VLOOKUP($G77,Requerimientos!$A$6:$M$43,3,FALSE)="","",VLOOKUP($G77,Requerimientos!$A$6:$M$43,3,FALSE)),"ID no encontrado"))</f>
        <v>PR-06</v>
      </c>
      <c r="F77" s="5" t="str">
        <f>IF($E77="","",IFERROR(IF(INDEX('Objetivos y procesos'!$D$6:$D$35,MATCH($E77,'Objetivos y procesos'!$C$6:$C$35,0))="","",IF(INDEX('Objetivos y procesos'!$D$6:$D$35,MATCH($E77,'Objetivos y procesos'!$C$6:$C$35,0))=INDEX('Objetivos y procesos'!$E$6:$E$35,MATCH($E77,'Objetivos y procesos'!$C$6:$C$35,0)),INDEX('Objetivos y procesos'!$D$6:$D$35,MATCH($E77,'Objetivos y procesos'!$C$6:$C$35,0)),INDEX('Objetivos y procesos'!$D$6:$D$35,MATCH($E77,'Objetivos y procesos'!$C$6:$C$35,0))&amp;IF(INDEX('Objetivos y procesos'!$E$6:$E$35,MATCH($E77,'Objetivos y procesos'!$C$6:$C$35,0))="",""," / "&amp;INDEX('Objetivos y procesos'!$E$6:$E$35,MATCH($E77,'Objetivos y procesos'!$C$6:$C$35,0))))),"ID no encontrado"))</f>
        <v>Gestión de Posventa</v>
      </c>
      <c r="G77" s="8" t="s">
        <v>194</v>
      </c>
      <c r="H77" s="5" t="str">
        <f>IF($G77="","",IFERROR(IF(VLOOKUP($G77,Requerimientos!$A$6:$M$43,7,FALSE)="","",VLOOKUP($G77,Requerimientos!$A$6:$M$43,7,FALSE)),"ID no encontrado"))</f>
        <v>El sistema debe permitir adjuntar evidencias, como fotografías o documentos, a un caso de posventa.</v>
      </c>
      <c r="I77" s="7" t="str">
        <f>IF($K77="","",IFERROR(IF(VLOOKUP($K77,'Historias y criterios'!$A$6:$P$83,2,FALSE)="","",VLOOKUP($K77,'Historias y criterios'!$A$6:$P$83,2,FALSE)),"ID no encontrado"))</f>
        <v>HU-018</v>
      </c>
      <c r="J77" s="5" t="str">
        <f>IF($K77="","",IFERROR(IF(VLOOKUP($K77,'Historias y criterios'!$A$6:$P$83,10,FALSE)="","",VLOOKUP($K77,'Historias y criterios'!$A$6:$P$83,10,FALSE)),"ID no encontrado"))</f>
        <v>Como vendedor o asistente de vendedor, quiero registrar un caso de posventa con cliente, productos, respaldo y evidencias, para iniciar formalmente su evaluación y seguimiento</v>
      </c>
      <c r="K77" s="8" t="s">
        <v>197</v>
      </c>
      <c r="L77" s="5" t="str">
        <f>IF($K77="","",IFERROR(IF(VLOOKUP($K77,'Historias y criterios'!$A$6:$P$83,11,FALSE)="","",VLOOKUP($K77,'Historias y criterios'!$A$6:$P$83,11,FALSE)),"ID no encontrado"))</f>
        <v>Solo los participantes autorizados pueden consultar las evidencias del caso.</v>
      </c>
      <c r="M77" s="8" t="s">
        <v>198</v>
      </c>
      <c r="N77" s="5" t="str">
        <f>IF($M77="","",IFERROR(IF(VLOOKUP($M77,'Casos y evidencias'!$A$6:$O$83,5,FALSE)="","",VLOOKUP($M77,'Casos y evidencias'!$A$6:$O$83,5,FALSE)),"ID no encontrado"))</f>
        <v>Acceso restringido a las evidencias</v>
      </c>
      <c r="O77" s="5" t="str">
        <f>IF($M77="","",IFERROR(IF(VLOOKUP($M77,'Casos y evidencias'!$A$6:$O$83,10,FALSE)="","",VLOOKUP($M77,'Casos y evidencias'!$A$6:$O$83,10,FALSE)),"ID no encontrado"))</f>
        <v>No ejecutado</v>
      </c>
      <c r="P77" s="7" t="str">
        <f>IF($M77="","",IFERROR(IF(VLOOKUP($M77,'Casos y evidencias'!$A$6:$O$83,11,FALSE)="","",VLOOKUP($M77,'Casos y evidencias'!$A$6:$O$83,11,FALSE)),"ID no encontrado"))</f>
        <v/>
      </c>
      <c r="Q77" s="5" t="str">
        <f>IF($M77="","",IFERROR(IF(VLOOKUP($M77,'Casos y evidencias'!$A$6:$O$83,12,FALSE)="","",VLOOKUP($M77,'Casos y evidencias'!$A$6:$O$83,12,FALSE)),"ID no encontrado"))</f>
        <v/>
      </c>
      <c r="R77" s="4"/>
    </row>
    <row r="78" spans="1:18" ht="75.599999999999994" customHeight="1">
      <c r="A78" s="6">
        <v>71</v>
      </c>
      <c r="B78" s="5" t="str">
        <f>IF($G78="","",IF($K78="","Falta criterio",IFERROR(IF(VLOOKUP($K78,'Historias y criterios'!$A$6:$P$83,3,FALSE)&lt;&gt;$G78,"Revisar relación requisito-criterio",IF($M78="","Falta caso de prueba",IF(VLOOKUP($M78,'Casos y evidencias'!$A$6:$O$83,2,FALSE)&lt;&gt;$K78,"Revisar relación criterio-caso",IF($O78="Aprobado",IF($P78="","Falta evidencia","Trazabilidad completa"),IF($O78="Fallido","Prueba fallida",IF($O78="Bloqueado","Prueba bloqueada","Prueba pendiente")))))),"ID no encontrado")))</f>
        <v>Prueba pendiente</v>
      </c>
      <c r="C78" s="7" t="str">
        <f>IF($G78="","",IFERROR(IF(VLOOKUP($G78,Requerimientos!$A$6:$M$43,2,FALSE)="","",VLOOKUP($G78,Requerimientos!$A$6:$M$43,2,FALSE)),"ID no encontrado"))</f>
        <v>OBJ-006</v>
      </c>
      <c r="D78" s="5" t="str">
        <f>IF($C78="","",IFERROR(IF(VLOOKUP($C78,'Objetivos y procesos'!$A$6:$H$35,2,FALSE)="","",VLOOKUP($C78,'Objetivos y procesos'!$A$6:$H$35,2,FALSE)),"ID no encontrado"))</f>
        <v>Centralizar la posventa y ofrecer visibilidad de cada caso, comprobante y decisión a los participantes autorizados.</v>
      </c>
      <c r="E78" s="7" t="str">
        <f>IF($G78="","",IFERROR(IF(VLOOKUP($G78,Requerimientos!$A$6:$M$43,3,FALSE)="","",VLOOKUP($G78,Requerimientos!$A$6:$M$43,3,FALSE)),"ID no encontrado"))</f>
        <v>PR-06</v>
      </c>
      <c r="F78" s="5" t="str">
        <f>IF($E78="","",IFERROR(IF(INDEX('Objetivos y procesos'!$D$6:$D$35,MATCH($E78,'Objetivos y procesos'!$C$6:$C$35,0))="","",IF(INDEX('Objetivos y procesos'!$D$6:$D$35,MATCH($E78,'Objetivos y procesos'!$C$6:$C$35,0))=INDEX('Objetivos y procesos'!$E$6:$E$35,MATCH($E78,'Objetivos y procesos'!$C$6:$C$35,0)),INDEX('Objetivos y procesos'!$D$6:$D$35,MATCH($E78,'Objetivos y procesos'!$C$6:$C$35,0)),INDEX('Objetivos y procesos'!$D$6:$D$35,MATCH($E78,'Objetivos y procesos'!$C$6:$C$35,0))&amp;IF(INDEX('Objetivos y procesos'!$E$6:$E$35,MATCH($E78,'Objetivos y procesos'!$C$6:$C$35,0))="",""," / "&amp;INDEX('Objetivos y procesos'!$E$6:$E$35,MATCH($E78,'Objetivos y procesos'!$C$6:$C$35,0))))),"ID no encontrado"))</f>
        <v>Gestión de Posventa</v>
      </c>
      <c r="G78" s="8" t="s">
        <v>199</v>
      </c>
      <c r="H78" s="5" t="str">
        <f>IF($G78="","",IFERROR(IF(VLOOKUP($G78,Requerimientos!$A$6:$M$43,7,FALSE)="","",VLOOKUP($G78,Requerimientos!$A$6:$M$43,7,FALSE)),"ID no encontrado"))</f>
        <v>El sistema debe permitir registrar la evaluación de las condiciones del producto, sus accesorios, el manual y el embalaje, con los valores Excelente, Bueno, Regular, Malo o No aplica.</v>
      </c>
      <c r="I78" s="7" t="str">
        <f>IF($K78="","",IFERROR(IF(VLOOKUP($K78,'Historias y criterios'!$A$6:$P$83,2,FALSE)="","",VLOOKUP($K78,'Historias y criterios'!$A$6:$P$83,2,FALSE)),"ID no encontrado"))</f>
        <v>HU-019</v>
      </c>
      <c r="J78" s="5" t="str">
        <f>IF($K78="","",IFERROR(IF(VLOOKUP($K78,'Historias y criterios'!$A$6:$P$83,10,FALSE)="","",VLOOKUP($K78,'Historias y criterios'!$A$6:$P$83,10,FALSE)),"ID no encontrado"))</f>
        <v>Como autorizador de posventa, quiero evaluar las condiciones, aprobar o rechazar el caso y liberar su comprobante QR, para respaldar la decisión y continuar el flujo con el cliente</v>
      </c>
      <c r="K78" s="8" t="s">
        <v>200</v>
      </c>
      <c r="L78" s="5" t="str">
        <f>IF($K78="","",IFERROR(IF(VLOOKUP($K78,'Historias y criterios'!$A$6:$P$83,11,FALSE)="","",VLOOKUP($K78,'Historias y criterios'!$A$6:$P$83,11,FALSE)),"ID no encontrado"))</f>
        <v>Se evalúan producto, accesorios, manual y embalaje con los valores definidos, salvo la excepción aplicable.</v>
      </c>
      <c r="M78" s="8" t="s">
        <v>201</v>
      </c>
      <c r="N78" s="5" t="str">
        <f>IF($M78="","",IFERROR(IF(VLOOKUP($M78,'Casos y evidencias'!$A$6:$O$83,5,FALSE)="","",VLOOKUP($M78,'Casos y evidencias'!$A$6:$O$83,5,FALSE)),"ID no encontrado"))</f>
        <v>Evaluación de condiciones</v>
      </c>
      <c r="O78" s="5" t="str">
        <f>IF($M78="","",IFERROR(IF(VLOOKUP($M78,'Casos y evidencias'!$A$6:$O$83,10,FALSE)="","",VLOOKUP($M78,'Casos y evidencias'!$A$6:$O$83,10,FALSE)),"ID no encontrado"))</f>
        <v>No ejecutado</v>
      </c>
      <c r="P78" s="7" t="str">
        <f>IF($M78="","",IFERROR(IF(VLOOKUP($M78,'Casos y evidencias'!$A$6:$O$83,11,FALSE)="","",VLOOKUP($M78,'Casos y evidencias'!$A$6:$O$83,11,FALSE)),"ID no encontrado"))</f>
        <v/>
      </c>
      <c r="Q78" s="5" t="str">
        <f>IF($M78="","",IFERROR(IF(VLOOKUP($M78,'Casos y evidencias'!$A$6:$O$83,12,FALSE)="","",VLOOKUP($M78,'Casos y evidencias'!$A$6:$O$83,12,FALSE)),"ID no encontrado"))</f>
        <v/>
      </c>
      <c r="R78" s="4"/>
    </row>
    <row r="79" spans="1:18" ht="75.599999999999994" customHeight="1">
      <c r="A79" s="6">
        <v>72</v>
      </c>
      <c r="B79" s="5" t="str">
        <f>IF($G79="","",IF($K79="","Falta criterio",IFERROR(IF(VLOOKUP($K79,'Historias y criterios'!$A$6:$P$83,3,FALSE)&lt;&gt;$G79,"Revisar relación requisito-criterio",IF($M79="","Falta caso de prueba",IF(VLOOKUP($M79,'Casos y evidencias'!$A$6:$O$83,2,FALSE)&lt;&gt;$K79,"Revisar relación criterio-caso",IF($O79="Aprobado",IF($P79="","Falta evidencia","Trazabilidad completa"),IF($O79="Fallido","Prueba fallida",IF($O79="Bloqueado","Prueba bloqueada","Prueba pendiente")))))),"ID no encontrado")))</f>
        <v>Prueba pendiente</v>
      </c>
      <c r="C79" s="7" t="str">
        <f>IF($G79="","",IFERROR(IF(VLOOKUP($G79,Requerimientos!$A$6:$M$43,2,FALSE)="","",VLOOKUP($G79,Requerimientos!$A$6:$M$43,2,FALSE)),"ID no encontrado"))</f>
        <v>OBJ-006</v>
      </c>
      <c r="D79" s="5" t="str">
        <f>IF($C79="","",IFERROR(IF(VLOOKUP($C79,'Objetivos y procesos'!$A$6:$H$35,2,FALSE)="","",VLOOKUP($C79,'Objetivos y procesos'!$A$6:$H$35,2,FALSE)),"ID no encontrado"))</f>
        <v>Centralizar la posventa y ofrecer visibilidad de cada caso, comprobante y decisión a los participantes autorizados.</v>
      </c>
      <c r="E79" s="7" t="str">
        <f>IF($G79="","",IFERROR(IF(VLOOKUP($G79,Requerimientos!$A$6:$M$43,3,FALSE)="","",VLOOKUP($G79,Requerimientos!$A$6:$M$43,3,FALSE)),"ID no encontrado"))</f>
        <v>PR-06</v>
      </c>
      <c r="F79" s="5" t="str">
        <f>IF($E79="","",IFERROR(IF(INDEX('Objetivos y procesos'!$D$6:$D$35,MATCH($E79,'Objetivos y procesos'!$C$6:$C$35,0))="","",IF(INDEX('Objetivos y procesos'!$D$6:$D$35,MATCH($E79,'Objetivos y procesos'!$C$6:$C$35,0))=INDEX('Objetivos y procesos'!$E$6:$E$35,MATCH($E79,'Objetivos y procesos'!$C$6:$C$35,0)),INDEX('Objetivos y procesos'!$D$6:$D$35,MATCH($E79,'Objetivos y procesos'!$C$6:$C$35,0)),INDEX('Objetivos y procesos'!$D$6:$D$35,MATCH($E79,'Objetivos y procesos'!$C$6:$C$35,0))&amp;IF(INDEX('Objetivos y procesos'!$E$6:$E$35,MATCH($E79,'Objetivos y procesos'!$C$6:$C$35,0))="",""," / "&amp;INDEX('Objetivos y procesos'!$E$6:$E$35,MATCH($E79,'Objetivos y procesos'!$C$6:$C$35,0))))),"ID no encontrado"))</f>
        <v>Gestión de Posventa</v>
      </c>
      <c r="G79" s="8" t="s">
        <v>202</v>
      </c>
      <c r="H79" s="5" t="str">
        <f>IF($G79="","",IFERROR(IF(VLOOKUP($G79,Requerimientos!$A$6:$M$43,7,FALSE)="","",VLOOKUP($G79,Requerimientos!$A$6:$M$43,7,FALSE)),"ID no encontrado"))</f>
        <v>El sistema debe permitir al vendedor corregir y reenviar un caso de posventa rechazado por el autorizador.</v>
      </c>
      <c r="I79" s="7" t="str">
        <f>IF($K79="","",IFERROR(IF(VLOOKUP($K79,'Historias y criterios'!$A$6:$P$83,2,FALSE)="","",VLOOKUP($K79,'Historias y criterios'!$A$6:$P$83,2,FALSE)),"ID no encontrado"))</f>
        <v>HU-019</v>
      </c>
      <c r="J79" s="5" t="str">
        <f>IF($K79="","",IFERROR(IF(VLOOKUP($K79,'Historias y criterios'!$A$6:$P$83,10,FALSE)="","",VLOOKUP($K79,'Historias y criterios'!$A$6:$P$83,10,FALSE)),"ID no encontrado"))</f>
        <v>Como autorizador de posventa, quiero evaluar las condiciones, aprobar o rechazar el caso y liberar su comprobante QR, para respaldar la decisión y continuar el flujo con el cliente</v>
      </c>
      <c r="K79" s="8" t="s">
        <v>203</v>
      </c>
      <c r="L79" s="5" t="str">
        <f>IF($K79="","",IFERROR(IF(VLOOKUP($K79,'Historias y criterios'!$A$6:$P$83,11,FALSE)="","",VLOOKUP($K79,'Historias y criterios'!$A$6:$P$83,11,FALSE)),"ID no encontrado"))</f>
        <v>El rechazo exige motivo y permite al creador corregir y reenviar a Pendiente.</v>
      </c>
      <c r="M79" s="8" t="s">
        <v>204</v>
      </c>
      <c r="N79" s="5" t="str">
        <f>IF($M79="","",IFERROR(IF(VLOOKUP($M79,'Casos y evidencias'!$A$6:$O$83,5,FALSE)="","",VLOOKUP($M79,'Casos y evidencias'!$A$6:$O$83,5,FALSE)),"ID no encontrado"))</f>
        <v>Rechazo, corrección y reenvío</v>
      </c>
      <c r="O79" s="5" t="str">
        <f>IF($M79="","",IFERROR(IF(VLOOKUP($M79,'Casos y evidencias'!$A$6:$O$83,10,FALSE)="","",VLOOKUP($M79,'Casos y evidencias'!$A$6:$O$83,10,FALSE)),"ID no encontrado"))</f>
        <v>No ejecutado</v>
      </c>
      <c r="P79" s="7" t="str">
        <f>IF($M79="","",IFERROR(IF(VLOOKUP($M79,'Casos y evidencias'!$A$6:$O$83,11,FALSE)="","",VLOOKUP($M79,'Casos y evidencias'!$A$6:$O$83,11,FALSE)),"ID no encontrado"))</f>
        <v/>
      </c>
      <c r="Q79" s="5" t="str">
        <f>IF($M79="","",IFERROR(IF(VLOOKUP($M79,'Casos y evidencias'!$A$6:$O$83,12,FALSE)="","",VLOOKUP($M79,'Casos y evidencias'!$A$6:$O$83,12,FALSE)),"ID no encontrado"))</f>
        <v/>
      </c>
      <c r="R79" s="4"/>
    </row>
    <row r="80" spans="1:18" ht="89.1" customHeight="1">
      <c r="A80" s="6">
        <v>73</v>
      </c>
      <c r="B80" s="5" t="str">
        <f>IF($G80="","",IF($K80="","Falta criterio",IFERROR(IF(VLOOKUP($K80,'Historias y criterios'!$A$6:$P$83,3,FALSE)&lt;&gt;$G80,"Revisar relación requisito-criterio",IF($M80="","Falta caso de prueba",IF(VLOOKUP($M80,'Casos y evidencias'!$A$6:$O$83,2,FALSE)&lt;&gt;$K80,"Revisar relación criterio-caso",IF($O80="Aprobado",IF($P80="","Falta evidencia","Trazabilidad completa"),IF($O80="Fallido","Prueba fallida",IF($O80="Bloqueado","Prueba bloqueada","Prueba pendiente")))))),"ID no encontrado")))</f>
        <v>Prueba pendiente</v>
      </c>
      <c r="C80" s="7" t="str">
        <f>IF($G80="","",IFERROR(IF(VLOOKUP($G80,Requerimientos!$A$6:$M$43,2,FALSE)="","",VLOOKUP($G80,Requerimientos!$A$6:$M$43,2,FALSE)),"ID no encontrado"))</f>
        <v>OBJ-006</v>
      </c>
      <c r="D80" s="5" t="str">
        <f>IF($C80="","",IFERROR(IF(VLOOKUP($C80,'Objetivos y procesos'!$A$6:$H$35,2,FALSE)="","",VLOOKUP($C80,'Objetivos y procesos'!$A$6:$H$35,2,FALSE)),"ID no encontrado"))</f>
        <v>Centralizar la posventa y ofrecer visibilidad de cada caso, comprobante y decisión a los participantes autorizados.</v>
      </c>
      <c r="E80" s="7" t="str">
        <f>IF($G80="","",IFERROR(IF(VLOOKUP($G80,Requerimientos!$A$6:$M$43,3,FALSE)="","",VLOOKUP($G80,Requerimientos!$A$6:$M$43,3,FALSE)),"ID no encontrado"))</f>
        <v>PR-06</v>
      </c>
      <c r="F80" s="5" t="str">
        <f>IF($E80="","",IFERROR(IF(INDEX('Objetivos y procesos'!$D$6:$D$35,MATCH($E80,'Objetivos y procesos'!$C$6:$C$35,0))="","",IF(INDEX('Objetivos y procesos'!$D$6:$D$35,MATCH($E80,'Objetivos y procesos'!$C$6:$C$35,0))=INDEX('Objetivos y procesos'!$E$6:$E$35,MATCH($E80,'Objetivos y procesos'!$C$6:$C$35,0)),INDEX('Objetivos y procesos'!$D$6:$D$35,MATCH($E80,'Objetivos y procesos'!$C$6:$C$35,0)),INDEX('Objetivos y procesos'!$D$6:$D$35,MATCH($E80,'Objetivos y procesos'!$C$6:$C$35,0))&amp;IF(INDEX('Objetivos y procesos'!$E$6:$E$35,MATCH($E80,'Objetivos y procesos'!$C$6:$C$35,0))="",""," / "&amp;INDEX('Objetivos y procesos'!$E$6:$E$35,MATCH($E80,'Objetivos y procesos'!$C$6:$C$35,0))))),"ID no encontrado"))</f>
        <v>Gestión de Posventa</v>
      </c>
      <c r="G80" s="8" t="s">
        <v>205</v>
      </c>
      <c r="H80" s="5" t="str">
        <f>IF($G80="","",IFERROR(IF(VLOOKUP($G80,Requerimientos!$A$6:$M$43,7,FALSE)="","",VLOOKUP($G80,Requerimientos!$A$6:$M$43,7,FALSE)),"ID no encontrado"))</f>
        <v>El sistema debe generar un comprobante del caso con código QR para su verificación posterior, y permitir que el usuario que envió la solicitud, una vez autorizada, lo descargue y marque el caso como QR enviado al cliente.</v>
      </c>
      <c r="I80" s="7" t="str">
        <f>IF($K80="","",IFERROR(IF(VLOOKUP($K80,'Historias y criterios'!$A$6:$P$83,2,FALSE)="","",VLOOKUP($K80,'Historias y criterios'!$A$6:$P$83,2,FALSE)),"ID no encontrado"))</f>
        <v>HU-019</v>
      </c>
      <c r="J80" s="5" t="str">
        <f>IF($K80="","",IFERROR(IF(VLOOKUP($K80,'Historias y criterios'!$A$6:$P$83,10,FALSE)="","",VLOOKUP($K80,'Historias y criterios'!$A$6:$P$83,10,FALSE)),"ID no encontrado"))</f>
        <v>Como autorizador de posventa, quiero evaluar las condiciones, aprobar o rechazar el caso y liberar su comprobante QR, para respaldar la decisión y continuar el flujo con el cliente</v>
      </c>
      <c r="K80" s="8" t="s">
        <v>206</v>
      </c>
      <c r="L80" s="5" t="str">
        <f>IF($K80="","",IFERROR(IF(VLOOKUP($K80,'Historias y criterios'!$A$6:$P$83,11,FALSE)="","",VLOOKUP($K80,'Historias y criterios'!$A$6:$P$83,11,FALSE)),"ID no encontrado"))</f>
        <v>Solo el autorizador de posventa aprueba y libera el comprobante QR.</v>
      </c>
      <c r="M80" s="8" t="s">
        <v>207</v>
      </c>
      <c r="N80" s="5" t="str">
        <f>IF($M80="","",IFERROR(IF(VLOOKUP($M80,'Casos y evidencias'!$A$6:$O$83,5,FALSE)="","",VLOOKUP($M80,'Casos y evidencias'!$A$6:$O$83,5,FALSE)),"ID no encontrado"))</f>
        <v>Aprobación y liberación del QR</v>
      </c>
      <c r="O80" s="5" t="str">
        <f>IF($M80="","",IFERROR(IF(VLOOKUP($M80,'Casos y evidencias'!$A$6:$O$83,10,FALSE)="","",VLOOKUP($M80,'Casos y evidencias'!$A$6:$O$83,10,FALSE)),"ID no encontrado"))</f>
        <v>No ejecutado</v>
      </c>
      <c r="P80" s="7" t="str">
        <f>IF($M80="","",IFERROR(IF(VLOOKUP($M80,'Casos y evidencias'!$A$6:$O$83,11,FALSE)="","",VLOOKUP($M80,'Casos y evidencias'!$A$6:$O$83,11,FALSE)),"ID no encontrado"))</f>
        <v/>
      </c>
      <c r="Q80" s="5" t="str">
        <f>IF($M80="","",IFERROR(IF(VLOOKUP($M80,'Casos y evidencias'!$A$6:$O$83,12,FALSE)="","",VLOOKUP($M80,'Casos y evidencias'!$A$6:$O$83,12,FALSE)),"ID no encontrado"))</f>
        <v/>
      </c>
      <c r="R80" s="4"/>
    </row>
    <row r="81" spans="1:18" ht="89.1" customHeight="1">
      <c r="A81" s="6">
        <v>74</v>
      </c>
      <c r="B81" s="5" t="str">
        <f>IF($G81="","",IF($K81="","Falta criterio",IFERROR(IF(VLOOKUP($K81,'Historias y criterios'!$A$6:$P$83,3,FALSE)&lt;&gt;$G81,"Revisar relación requisito-criterio",IF($M81="","Falta caso de prueba",IF(VLOOKUP($M81,'Casos y evidencias'!$A$6:$O$83,2,FALSE)&lt;&gt;$K81,"Revisar relación criterio-caso",IF($O81="Aprobado",IF($P81="","Falta evidencia","Trazabilidad completa"),IF($O81="Fallido","Prueba fallida",IF($O81="Bloqueado","Prueba bloqueada","Prueba pendiente")))))),"ID no encontrado")))</f>
        <v>Prueba pendiente</v>
      </c>
      <c r="C81" s="7" t="str">
        <f>IF($G81="","",IFERROR(IF(VLOOKUP($G81,Requerimientos!$A$6:$M$43,2,FALSE)="","",VLOOKUP($G81,Requerimientos!$A$6:$M$43,2,FALSE)),"ID no encontrado"))</f>
        <v>OBJ-006</v>
      </c>
      <c r="D81" s="5" t="str">
        <f>IF($C81="","",IFERROR(IF(VLOOKUP($C81,'Objetivos y procesos'!$A$6:$H$35,2,FALSE)="","",VLOOKUP($C81,'Objetivos y procesos'!$A$6:$H$35,2,FALSE)),"ID no encontrado"))</f>
        <v>Centralizar la posventa y ofrecer visibilidad de cada caso, comprobante y decisión a los participantes autorizados.</v>
      </c>
      <c r="E81" s="7" t="str">
        <f>IF($G81="","",IFERROR(IF(VLOOKUP($G81,Requerimientos!$A$6:$M$43,3,FALSE)="","",VLOOKUP($G81,Requerimientos!$A$6:$M$43,3,FALSE)),"ID no encontrado"))</f>
        <v>PR-06</v>
      </c>
      <c r="F81" s="5" t="str">
        <f>IF($E81="","",IFERROR(IF(INDEX('Objetivos y procesos'!$D$6:$D$35,MATCH($E81,'Objetivos y procesos'!$C$6:$C$35,0))="","",IF(INDEX('Objetivos y procesos'!$D$6:$D$35,MATCH($E81,'Objetivos y procesos'!$C$6:$C$35,0))=INDEX('Objetivos y procesos'!$E$6:$E$35,MATCH($E81,'Objetivos y procesos'!$C$6:$C$35,0)),INDEX('Objetivos y procesos'!$D$6:$D$35,MATCH($E81,'Objetivos y procesos'!$C$6:$C$35,0)),INDEX('Objetivos y procesos'!$D$6:$D$35,MATCH($E81,'Objetivos y procesos'!$C$6:$C$35,0))&amp;IF(INDEX('Objetivos y procesos'!$E$6:$E$35,MATCH($E81,'Objetivos y procesos'!$C$6:$C$35,0))="",""," / "&amp;INDEX('Objetivos y procesos'!$E$6:$E$35,MATCH($E81,'Objetivos y procesos'!$C$6:$C$35,0))))),"ID no encontrado"))</f>
        <v>Gestión de Posventa</v>
      </c>
      <c r="G81" s="8" t="s">
        <v>205</v>
      </c>
      <c r="H81" s="5" t="str">
        <f>IF($G81="","",IFERROR(IF(VLOOKUP($G81,Requerimientos!$A$6:$M$43,7,FALSE)="","",VLOOKUP($G81,Requerimientos!$A$6:$M$43,7,FALSE)),"ID no encontrado"))</f>
        <v>El sistema debe generar un comprobante del caso con código QR para su verificación posterior, y permitir que el usuario que envió la solicitud, una vez autorizada, lo descargue y marque el caso como QR enviado al cliente.</v>
      </c>
      <c r="I81" s="7" t="str">
        <f>IF($K81="","",IFERROR(IF(VLOOKUP($K81,'Historias y criterios'!$A$6:$P$83,2,FALSE)="","",VLOOKUP($K81,'Historias y criterios'!$A$6:$P$83,2,FALSE)),"ID no encontrado"))</f>
        <v>HU-019</v>
      </c>
      <c r="J81" s="5" t="str">
        <f>IF($K81="","",IFERROR(IF(VLOOKUP($K81,'Historias y criterios'!$A$6:$P$83,10,FALSE)="","",VLOOKUP($K81,'Historias y criterios'!$A$6:$P$83,10,FALSE)),"ID no encontrado"))</f>
        <v>Como autorizador de posventa, quiero evaluar las condiciones, aprobar o rechazar el caso y liberar su comprobante QR, para respaldar la decisión y continuar el flujo con el cliente</v>
      </c>
      <c r="K81" s="8" t="s">
        <v>208</v>
      </c>
      <c r="L81" s="5" t="str">
        <f>IF($K81="","",IFERROR(IF(VLOOKUP($K81,'Historias y criterios'!$A$6:$P$83,11,FALSE)="","",VLOOKUP($K81,'Historias y criterios'!$A$6:$P$83,11,FALSE)),"ID no encontrado"))</f>
        <v>El comprobante contiene los datos del caso; el solicitante puede descargarlo y marcarlo como enviado al cliente.</v>
      </c>
      <c r="M81" s="8" t="s">
        <v>209</v>
      </c>
      <c r="N81" s="5" t="str">
        <f>IF($M81="","",IFERROR(IF(VLOOKUP($M81,'Casos y evidencias'!$A$6:$O$83,5,FALSE)="","",VLOOKUP($M81,'Casos y evidencias'!$A$6:$O$83,5,FALSE)),"ID no encontrado"))</f>
        <v>Descarga del comprobante y QR enviado</v>
      </c>
      <c r="O81" s="5" t="str">
        <f>IF($M81="","",IFERROR(IF(VLOOKUP($M81,'Casos y evidencias'!$A$6:$O$83,10,FALSE)="","",VLOOKUP($M81,'Casos y evidencias'!$A$6:$O$83,10,FALSE)),"ID no encontrado"))</f>
        <v>No ejecutado</v>
      </c>
      <c r="P81" s="7" t="str">
        <f>IF($M81="","",IFERROR(IF(VLOOKUP($M81,'Casos y evidencias'!$A$6:$O$83,11,FALSE)="","",VLOOKUP($M81,'Casos y evidencias'!$A$6:$O$83,11,FALSE)),"ID no encontrado"))</f>
        <v/>
      </c>
      <c r="Q81" s="5" t="str">
        <f>IF($M81="","",IFERROR(IF(VLOOKUP($M81,'Casos y evidencias'!$A$6:$O$83,12,FALSE)="","",VLOOKUP($M81,'Casos y evidencias'!$A$6:$O$83,12,FALSE)),"ID no encontrado"))</f>
        <v/>
      </c>
      <c r="R81" s="4"/>
    </row>
    <row r="82" spans="1:18" ht="62.1" customHeight="1">
      <c r="A82" s="6">
        <v>75</v>
      </c>
      <c r="B82" s="5" t="str">
        <f>IF($G82="","",IF($K82="","Falta criterio",IFERROR(IF(VLOOKUP($K82,'Historias y criterios'!$A$6:$P$83,3,FALSE)&lt;&gt;$G82,"Revisar relación requisito-criterio",IF($M82="","Falta caso de prueba",IF(VLOOKUP($M82,'Casos y evidencias'!$A$6:$O$83,2,FALSE)&lt;&gt;$K82,"Revisar relación criterio-caso",IF($O82="Aprobado",IF($P82="","Falta evidencia","Trazabilidad completa"),IF($O82="Fallido","Prueba fallida",IF($O82="Bloqueado","Prueba bloqueada","Prueba pendiente")))))),"ID no encontrado")))</f>
        <v>Prueba pendiente</v>
      </c>
      <c r="C82" s="7" t="str">
        <f>IF($G82="","",IFERROR(IF(VLOOKUP($G82,Requerimientos!$A$6:$M$43,2,FALSE)="","",VLOOKUP($G82,Requerimientos!$A$6:$M$43,2,FALSE)),"ID no encontrado"))</f>
        <v>OBJ-006</v>
      </c>
      <c r="D82" s="5" t="str">
        <f>IF($C82="","",IFERROR(IF(VLOOKUP($C82,'Objetivos y procesos'!$A$6:$H$35,2,FALSE)="","",VLOOKUP($C82,'Objetivos y procesos'!$A$6:$H$35,2,FALSE)),"ID no encontrado"))</f>
        <v>Centralizar la posventa y ofrecer visibilidad de cada caso, comprobante y decisión a los participantes autorizados.</v>
      </c>
      <c r="E82" s="7" t="str">
        <f>IF($G82="","",IFERROR(IF(VLOOKUP($G82,Requerimientos!$A$6:$M$43,3,FALSE)="","",VLOOKUP($G82,Requerimientos!$A$6:$M$43,3,FALSE)),"ID no encontrado"))</f>
        <v>PR-06</v>
      </c>
      <c r="F82" s="5" t="str">
        <f>IF($E82="","",IFERROR(IF(INDEX('Objetivos y procesos'!$D$6:$D$35,MATCH($E82,'Objetivos y procesos'!$C$6:$C$35,0))="","",IF(INDEX('Objetivos y procesos'!$D$6:$D$35,MATCH($E82,'Objetivos y procesos'!$C$6:$C$35,0))=INDEX('Objetivos y procesos'!$E$6:$E$35,MATCH($E82,'Objetivos y procesos'!$C$6:$C$35,0)),INDEX('Objetivos y procesos'!$D$6:$D$35,MATCH($E82,'Objetivos y procesos'!$C$6:$C$35,0)),INDEX('Objetivos y procesos'!$D$6:$D$35,MATCH($E82,'Objetivos y procesos'!$C$6:$C$35,0))&amp;IF(INDEX('Objetivos y procesos'!$E$6:$E$35,MATCH($E82,'Objetivos y procesos'!$C$6:$C$35,0))="",""," / "&amp;INDEX('Objetivos y procesos'!$E$6:$E$35,MATCH($E82,'Objetivos y procesos'!$C$6:$C$35,0))))),"ID no encontrado"))</f>
        <v>Gestión de Posventa</v>
      </c>
      <c r="G82" s="8" t="s">
        <v>210</v>
      </c>
      <c r="H82" s="5" t="str">
        <f>IF($G82="","",IFERROR(IF(VLOOKUP($G82,Requerimientos!$A$6:$M$43,7,FALSE)="","",VLOOKUP($G82,Requerimientos!$A$6:$M$43,7,FALSE)),"ID no encontrado"))</f>
        <v>El sistema debe permitir consultar el avance de cada caso hasta su cierre y notificar a los participantes en cada cambio de estado.</v>
      </c>
      <c r="I82" s="7" t="str">
        <f>IF($K82="","",IFERROR(IF(VLOOKUP($K82,'Historias y criterios'!$A$6:$P$83,2,FALSE)="","",VLOOKUP($K82,'Historias y criterios'!$A$6:$P$83,2,FALSE)),"ID no encontrado"))</f>
        <v>HU-020</v>
      </c>
      <c r="J82" s="5" t="str">
        <f>IF($K82="","",IFERROR(IF(VLOOKUP($K82,'Historias y criterios'!$A$6:$P$83,10,FALSE)="","",VLOOKUP($K82,'Historias y criterios'!$A$6:$P$83,10,FALSE)),"ID no encontrado"))</f>
        <v>Como autorizador de posventa, quiero actualizar el caso por sus estados y registrar su resolución final, para mantener el seguimiento hasta un cierre controlado</v>
      </c>
      <c r="K82" s="8" t="s">
        <v>211</v>
      </c>
      <c r="L82" s="5" t="str">
        <f>IF($K82="","",IFERROR(IF(VLOOKUP($K82,'Historias y criterios'!$A$6:$P$83,11,FALSE)="","",VLOOKUP($K82,'Historias y criterios'!$A$6:$P$83,11,FALSE)),"ID no encontrado"))</f>
        <v>El flujo con guía contempla Pendiente, Autorizado, QR enviado, Recepcionado y la ruta de stock o proveedor hasta cierre.</v>
      </c>
      <c r="M82" s="8" t="s">
        <v>212</v>
      </c>
      <c r="N82" s="5" t="str">
        <f>IF($M82="","",IFERROR(IF(VLOOKUP($M82,'Casos y evidencias'!$A$6:$O$83,5,FALSE)="","",VLOOKUP($M82,'Casos y evidencias'!$A$6:$O$83,5,FALSE)),"ID no encontrado"))</f>
        <v>Flujo de estados con guía de despacho</v>
      </c>
      <c r="O82" s="5" t="str">
        <f>IF($M82="","",IFERROR(IF(VLOOKUP($M82,'Casos y evidencias'!$A$6:$O$83,10,FALSE)="","",VLOOKUP($M82,'Casos y evidencias'!$A$6:$O$83,10,FALSE)),"ID no encontrado"))</f>
        <v>No ejecutado</v>
      </c>
      <c r="P82" s="7" t="str">
        <f>IF($M82="","",IFERROR(IF(VLOOKUP($M82,'Casos y evidencias'!$A$6:$O$83,11,FALSE)="","",VLOOKUP($M82,'Casos y evidencias'!$A$6:$O$83,11,FALSE)),"ID no encontrado"))</f>
        <v/>
      </c>
      <c r="Q82" s="5" t="str">
        <f>IF($M82="","",IFERROR(IF(VLOOKUP($M82,'Casos y evidencias'!$A$6:$O$83,12,FALSE)="","",VLOOKUP($M82,'Casos y evidencias'!$A$6:$O$83,12,FALSE)),"ID no encontrado"))</f>
        <v/>
      </c>
      <c r="R82" s="4"/>
    </row>
    <row r="83" spans="1:18" ht="62.1" customHeight="1">
      <c r="A83" s="6">
        <v>76</v>
      </c>
      <c r="B83" s="5" t="str">
        <f>IF($G83="","",IF($K83="","Falta criterio",IFERROR(IF(VLOOKUP($K83,'Historias y criterios'!$A$6:$P$83,3,FALSE)&lt;&gt;$G83,"Revisar relación requisito-criterio",IF($M83="","Falta caso de prueba",IF(VLOOKUP($M83,'Casos y evidencias'!$A$6:$O$83,2,FALSE)&lt;&gt;$K83,"Revisar relación criterio-caso",IF($O83="Aprobado",IF($P83="","Falta evidencia","Trazabilidad completa"),IF($O83="Fallido","Prueba fallida",IF($O83="Bloqueado","Prueba bloqueada","Prueba pendiente")))))),"ID no encontrado")))</f>
        <v>Prueba pendiente</v>
      </c>
      <c r="C83" s="7" t="str">
        <f>IF($G83="","",IFERROR(IF(VLOOKUP($G83,Requerimientos!$A$6:$M$43,2,FALSE)="","",VLOOKUP($G83,Requerimientos!$A$6:$M$43,2,FALSE)),"ID no encontrado"))</f>
        <v>OBJ-006</v>
      </c>
      <c r="D83" s="5" t="str">
        <f>IF($C83="","",IFERROR(IF(VLOOKUP($C83,'Objetivos y procesos'!$A$6:$H$35,2,FALSE)="","",VLOOKUP($C83,'Objetivos y procesos'!$A$6:$H$35,2,FALSE)),"ID no encontrado"))</f>
        <v>Centralizar la posventa y ofrecer visibilidad de cada caso, comprobante y decisión a los participantes autorizados.</v>
      </c>
      <c r="E83" s="7" t="str">
        <f>IF($G83="","",IFERROR(IF(VLOOKUP($G83,Requerimientos!$A$6:$M$43,3,FALSE)="","",VLOOKUP($G83,Requerimientos!$A$6:$M$43,3,FALSE)),"ID no encontrado"))</f>
        <v>PR-06</v>
      </c>
      <c r="F83" s="5" t="str">
        <f>IF($E83="","",IFERROR(IF(INDEX('Objetivos y procesos'!$D$6:$D$35,MATCH($E83,'Objetivos y procesos'!$C$6:$C$35,0))="","",IF(INDEX('Objetivos y procesos'!$D$6:$D$35,MATCH($E83,'Objetivos y procesos'!$C$6:$C$35,0))=INDEX('Objetivos y procesos'!$E$6:$E$35,MATCH($E83,'Objetivos y procesos'!$C$6:$C$35,0)),INDEX('Objetivos y procesos'!$D$6:$D$35,MATCH($E83,'Objetivos y procesos'!$C$6:$C$35,0)),INDEX('Objetivos y procesos'!$D$6:$D$35,MATCH($E83,'Objetivos y procesos'!$C$6:$C$35,0))&amp;IF(INDEX('Objetivos y procesos'!$E$6:$E$35,MATCH($E83,'Objetivos y procesos'!$C$6:$C$35,0))="",""," / "&amp;INDEX('Objetivos y procesos'!$E$6:$E$35,MATCH($E83,'Objetivos y procesos'!$C$6:$C$35,0))))),"ID no encontrado"))</f>
        <v>Gestión de Posventa</v>
      </c>
      <c r="G83" s="8" t="s">
        <v>210</v>
      </c>
      <c r="H83" s="5" t="str">
        <f>IF($G83="","",IFERROR(IF(VLOOKUP($G83,Requerimientos!$A$6:$M$43,7,FALSE)="","",VLOOKUP($G83,Requerimientos!$A$6:$M$43,7,FALSE)),"ID no encontrado"))</f>
        <v>El sistema debe permitir consultar el avance de cada caso hasta su cierre y notificar a los participantes en cada cambio de estado.</v>
      </c>
      <c r="I83" s="7" t="str">
        <f>IF($K83="","",IFERROR(IF(VLOOKUP($K83,'Historias y criterios'!$A$6:$P$83,2,FALSE)="","",VLOOKUP($K83,'Historias y criterios'!$A$6:$P$83,2,FALSE)),"ID no encontrado"))</f>
        <v>HU-020</v>
      </c>
      <c r="J83" s="5" t="str">
        <f>IF($K83="","",IFERROR(IF(VLOOKUP($K83,'Historias y criterios'!$A$6:$P$83,10,FALSE)="","",VLOOKUP($K83,'Historias y criterios'!$A$6:$P$83,10,FALSE)),"ID no encontrado"))</f>
        <v>Como autorizador de posventa, quiero actualizar el caso por sus estados y registrar su resolución final, para mantener el seguimiento hasta un cierre controlado</v>
      </c>
      <c r="K83" s="8" t="s">
        <v>213</v>
      </c>
      <c r="L83" s="5" t="str">
        <f>IF($K83="","",IFERROR(IF(VLOOKUP($K83,'Historias y criterios'!$A$6:$P$83,11,FALSE)="","",VLOOKUP($K83,'Historias y criterios'!$A$6:$P$83,11,FALSE)),"ID no encontrado"))</f>
        <v>El caso con factura de reserva sigue la ruta sin QR ni recepción.</v>
      </c>
      <c r="M83" s="8" t="s">
        <v>214</v>
      </c>
      <c r="N83" s="5" t="str">
        <f>IF($M83="","",IFERROR(IF(VLOOKUP($M83,'Casos y evidencias'!$A$6:$O$83,5,FALSE)="","",VLOOKUP($M83,'Casos y evidencias'!$A$6:$O$83,5,FALSE)),"ID no encontrado"))</f>
        <v>Ruta con factura de reserva</v>
      </c>
      <c r="O83" s="5" t="str">
        <f>IF($M83="","",IFERROR(IF(VLOOKUP($M83,'Casos y evidencias'!$A$6:$O$83,10,FALSE)="","",VLOOKUP($M83,'Casos y evidencias'!$A$6:$O$83,10,FALSE)),"ID no encontrado"))</f>
        <v>No ejecutado</v>
      </c>
      <c r="P83" s="7" t="str">
        <f>IF($M83="","",IFERROR(IF(VLOOKUP($M83,'Casos y evidencias'!$A$6:$O$83,11,FALSE)="","",VLOOKUP($M83,'Casos y evidencias'!$A$6:$O$83,11,FALSE)),"ID no encontrado"))</f>
        <v/>
      </c>
      <c r="Q83" s="5" t="str">
        <f>IF($M83="","",IFERROR(IF(VLOOKUP($M83,'Casos y evidencias'!$A$6:$O$83,12,FALSE)="","",VLOOKUP($M83,'Casos y evidencias'!$A$6:$O$83,12,FALSE)),"ID no encontrado"))</f>
        <v/>
      </c>
      <c r="R83" s="4"/>
    </row>
    <row r="84" spans="1:18" ht="62.1" customHeight="1">
      <c r="A84" s="6">
        <v>77</v>
      </c>
      <c r="B84" s="5" t="str">
        <f>IF($G84="","",IF($K84="","Falta criterio",IFERROR(IF(VLOOKUP($K84,'Historias y criterios'!$A$6:$P$83,3,FALSE)&lt;&gt;$G84,"Revisar relación requisito-criterio",IF($M84="","Falta caso de prueba",IF(VLOOKUP($M84,'Casos y evidencias'!$A$6:$O$83,2,FALSE)&lt;&gt;$K84,"Revisar relación criterio-caso",IF($O84="Aprobado",IF($P84="","Falta evidencia","Trazabilidad completa"),IF($O84="Fallido","Prueba fallida",IF($O84="Bloqueado","Prueba bloqueada","Prueba pendiente")))))),"ID no encontrado")))</f>
        <v>Prueba pendiente</v>
      </c>
      <c r="C84" s="7" t="str">
        <f>IF($G84="","",IFERROR(IF(VLOOKUP($G84,Requerimientos!$A$6:$M$43,2,FALSE)="","",VLOOKUP($G84,Requerimientos!$A$6:$M$43,2,FALSE)),"ID no encontrado"))</f>
        <v>OBJ-006</v>
      </c>
      <c r="D84" s="5" t="str">
        <f>IF($C84="","",IFERROR(IF(VLOOKUP($C84,'Objetivos y procesos'!$A$6:$H$35,2,FALSE)="","",VLOOKUP($C84,'Objetivos y procesos'!$A$6:$H$35,2,FALSE)),"ID no encontrado"))</f>
        <v>Centralizar la posventa y ofrecer visibilidad de cada caso, comprobante y decisión a los participantes autorizados.</v>
      </c>
      <c r="E84" s="7" t="str">
        <f>IF($G84="","",IFERROR(IF(VLOOKUP($G84,Requerimientos!$A$6:$M$43,3,FALSE)="","",VLOOKUP($G84,Requerimientos!$A$6:$M$43,3,FALSE)),"ID no encontrado"))</f>
        <v>PR-06</v>
      </c>
      <c r="F84" s="5" t="str">
        <f>IF($E84="","",IFERROR(IF(INDEX('Objetivos y procesos'!$D$6:$D$35,MATCH($E84,'Objetivos y procesos'!$C$6:$C$35,0))="","",IF(INDEX('Objetivos y procesos'!$D$6:$D$35,MATCH($E84,'Objetivos y procesos'!$C$6:$C$35,0))=INDEX('Objetivos y procesos'!$E$6:$E$35,MATCH($E84,'Objetivos y procesos'!$C$6:$C$35,0)),INDEX('Objetivos y procesos'!$D$6:$D$35,MATCH($E84,'Objetivos y procesos'!$C$6:$C$35,0)),INDEX('Objetivos y procesos'!$D$6:$D$35,MATCH($E84,'Objetivos y procesos'!$C$6:$C$35,0))&amp;IF(INDEX('Objetivos y procesos'!$E$6:$E$35,MATCH($E84,'Objetivos y procesos'!$C$6:$C$35,0))="",""," / "&amp;INDEX('Objetivos y procesos'!$E$6:$E$35,MATCH($E84,'Objetivos y procesos'!$C$6:$C$35,0))))),"ID no encontrado"))</f>
        <v>Gestión de Posventa</v>
      </c>
      <c r="G84" s="8" t="s">
        <v>210</v>
      </c>
      <c r="H84" s="5" t="str">
        <f>IF($G84="","",IFERROR(IF(VLOOKUP($G84,Requerimientos!$A$6:$M$43,7,FALSE)="","",VLOOKUP($G84,Requerimientos!$A$6:$M$43,7,FALSE)),"ID no encontrado"))</f>
        <v>El sistema debe permitir consultar el avance de cada caso hasta su cierre y notificar a los participantes en cada cambio de estado.</v>
      </c>
      <c r="I84" s="7" t="str">
        <f>IF($K84="","",IFERROR(IF(VLOOKUP($K84,'Historias y criterios'!$A$6:$P$83,2,FALSE)="","",VLOOKUP($K84,'Historias y criterios'!$A$6:$P$83,2,FALSE)),"ID no encontrado"))</f>
        <v>HU-020</v>
      </c>
      <c r="J84" s="5" t="str">
        <f>IF($K84="","",IFERROR(IF(VLOOKUP($K84,'Historias y criterios'!$A$6:$P$83,10,FALSE)="","",VLOOKUP($K84,'Historias y criterios'!$A$6:$P$83,10,FALSE)),"ID no encontrado"))</f>
        <v>Como autorizador de posventa, quiero actualizar el caso por sus estados y registrar su resolución final, para mantener el seguimiento hasta un cierre controlado</v>
      </c>
      <c r="K84" s="8" t="s">
        <v>215</v>
      </c>
      <c r="L84" s="5" t="str">
        <f>IF($K84="","",IFERROR(IF(VLOOKUP($K84,'Historias y criterios'!$A$6:$P$83,11,FALSE)="","",VLOOKUP($K84,'Historias y criterios'!$A$6:$P$83,11,FALSE)),"ID no encontrado"))</f>
        <v>Cada cambio notifica al vendedor y autorizador y admite observaciones visibles.</v>
      </c>
      <c r="M84" s="8" t="s">
        <v>216</v>
      </c>
      <c r="N84" s="5" t="str">
        <f>IF($M84="","",IFERROR(IF(VLOOKUP($M84,'Casos y evidencias'!$A$6:$O$83,5,FALSE)="","",VLOOKUP($M84,'Casos y evidencias'!$A$6:$O$83,5,FALSE)),"ID no encontrado"))</f>
        <v>Notificaciones y observaciones en cada cambio</v>
      </c>
      <c r="O84" s="5" t="str">
        <f>IF($M84="","",IFERROR(IF(VLOOKUP($M84,'Casos y evidencias'!$A$6:$O$83,10,FALSE)="","",VLOOKUP($M84,'Casos y evidencias'!$A$6:$O$83,10,FALSE)),"ID no encontrado"))</f>
        <v>No ejecutado</v>
      </c>
      <c r="P84" s="7" t="str">
        <f>IF($M84="","",IFERROR(IF(VLOOKUP($M84,'Casos y evidencias'!$A$6:$O$83,11,FALSE)="","",VLOOKUP($M84,'Casos y evidencias'!$A$6:$O$83,11,FALSE)),"ID no encontrado"))</f>
        <v/>
      </c>
      <c r="Q84" s="5" t="str">
        <f>IF($M84="","",IFERROR(IF(VLOOKUP($M84,'Casos y evidencias'!$A$6:$O$83,12,FALSE)="","",VLOOKUP($M84,'Casos y evidencias'!$A$6:$O$83,12,FALSE)),"ID no encontrado"))</f>
        <v/>
      </c>
      <c r="R84" s="4"/>
    </row>
    <row r="85" spans="1:18" ht="62.1" customHeight="1">
      <c r="A85" s="6">
        <v>78</v>
      </c>
      <c r="B85" s="5" t="str">
        <f>IF($G85="","",IF($K85="","Falta criterio",IFERROR(IF(VLOOKUP($K85,'Historias y criterios'!$A$6:$P$83,3,FALSE)&lt;&gt;$G85,"Revisar relación requisito-criterio",IF($M85="","Falta caso de prueba",IF(VLOOKUP($M85,'Casos y evidencias'!$A$6:$O$83,2,FALSE)&lt;&gt;$K85,"Revisar relación criterio-caso",IF($O85="Aprobado",IF($P85="","Falta evidencia","Trazabilidad completa"),IF($O85="Fallido","Prueba fallida",IF($O85="Bloqueado","Prueba bloqueada","Prueba pendiente")))))),"ID no encontrado")))</f>
        <v>Prueba pendiente</v>
      </c>
      <c r="C85" s="7" t="str">
        <f>IF($G85="","",IFERROR(IF(VLOOKUP($G85,Requerimientos!$A$6:$M$43,2,FALSE)="","",VLOOKUP($G85,Requerimientos!$A$6:$M$43,2,FALSE)),"ID no encontrado"))</f>
        <v>OBJ-006</v>
      </c>
      <c r="D85" s="5" t="str">
        <f>IF($C85="","",IFERROR(IF(VLOOKUP($C85,'Objetivos y procesos'!$A$6:$H$35,2,FALSE)="","",VLOOKUP($C85,'Objetivos y procesos'!$A$6:$H$35,2,FALSE)),"ID no encontrado"))</f>
        <v>Centralizar la posventa y ofrecer visibilidad de cada caso, comprobante y decisión a los participantes autorizados.</v>
      </c>
      <c r="E85" s="7" t="str">
        <f>IF($G85="","",IFERROR(IF(VLOOKUP($G85,Requerimientos!$A$6:$M$43,3,FALSE)="","",VLOOKUP($G85,Requerimientos!$A$6:$M$43,3,FALSE)),"ID no encontrado"))</f>
        <v>PR-06</v>
      </c>
      <c r="F85" s="5" t="str">
        <f>IF($E85="","",IFERROR(IF(INDEX('Objetivos y procesos'!$D$6:$D$35,MATCH($E85,'Objetivos y procesos'!$C$6:$C$35,0))="","",IF(INDEX('Objetivos y procesos'!$D$6:$D$35,MATCH($E85,'Objetivos y procesos'!$C$6:$C$35,0))=INDEX('Objetivos y procesos'!$E$6:$E$35,MATCH($E85,'Objetivos y procesos'!$C$6:$C$35,0)),INDEX('Objetivos y procesos'!$D$6:$D$35,MATCH($E85,'Objetivos y procesos'!$C$6:$C$35,0)),INDEX('Objetivos y procesos'!$D$6:$D$35,MATCH($E85,'Objetivos y procesos'!$C$6:$C$35,0))&amp;IF(INDEX('Objetivos y procesos'!$E$6:$E$35,MATCH($E85,'Objetivos y procesos'!$C$6:$C$35,0))="",""," / "&amp;INDEX('Objetivos y procesos'!$E$6:$E$35,MATCH($E85,'Objetivos y procesos'!$C$6:$C$35,0))))),"ID no encontrado"))</f>
        <v>Gestión de Posventa</v>
      </c>
      <c r="G85" s="8" t="s">
        <v>217</v>
      </c>
      <c r="H85" s="5" t="str">
        <f>IF($G85="","",IFERROR(IF(VLOOKUP($G85,Requerimientos!$A$6:$M$43,7,FALSE)="","",VLOOKUP($G85,Requerimientos!$A$6:$M$43,7,FALSE)),"ID no encontrado"))</f>
        <v>El sistema debe permitir al autorizador de posventa cerrar un caso, registrando su resolución final.</v>
      </c>
      <c r="I85" s="7" t="str">
        <f>IF($K85="","",IFERROR(IF(VLOOKUP($K85,'Historias y criterios'!$A$6:$P$83,2,FALSE)="","",VLOOKUP($K85,'Historias y criterios'!$A$6:$P$83,2,FALSE)),"ID no encontrado"))</f>
        <v>HU-020</v>
      </c>
      <c r="J85" s="5" t="str">
        <f>IF($K85="","",IFERROR(IF(VLOOKUP($K85,'Historias y criterios'!$A$6:$P$83,10,FALSE)="","",VLOOKUP($K85,'Historias y criterios'!$A$6:$P$83,10,FALSE)),"ID no encontrado"))</f>
        <v>Como autorizador de posventa, quiero actualizar el caso por sus estados y registrar su resolución final, para mantener el seguimiento hasta un cierre controlado</v>
      </c>
      <c r="K85" s="8" t="s">
        <v>218</v>
      </c>
      <c r="L85" s="5" t="str">
        <f>IF($K85="","",IFERROR(IF(VLOOKUP($K85,'Historias y criterios'!$A$6:$P$83,11,FALSE)="","",VLOOKUP($K85,'Historias y criterios'!$A$6:$P$83,11,FALSE)),"ID no encontrado"))</f>
        <v>Solo el autorizador cierra el caso; un caso cerrado no acepta nuevos cambios.</v>
      </c>
      <c r="M85" s="8" t="s">
        <v>219</v>
      </c>
      <c r="N85" s="5" t="str">
        <f>IF($M85="","",IFERROR(IF(VLOOKUP($M85,'Casos y evidencias'!$A$6:$O$83,5,FALSE)="","",VLOOKUP($M85,'Casos y evidencias'!$A$6:$O$83,5,FALSE)),"ID no encontrado"))</f>
        <v>Cierre exclusivo y bloqueo posterior</v>
      </c>
      <c r="O85" s="5" t="str">
        <f>IF($M85="","",IFERROR(IF(VLOOKUP($M85,'Casos y evidencias'!$A$6:$O$83,10,FALSE)="","",VLOOKUP($M85,'Casos y evidencias'!$A$6:$O$83,10,FALSE)),"ID no encontrado"))</f>
        <v>No ejecutado</v>
      </c>
      <c r="P85" s="7" t="str">
        <f>IF($M85="","",IFERROR(IF(VLOOKUP($M85,'Casos y evidencias'!$A$6:$O$83,11,FALSE)="","",VLOOKUP($M85,'Casos y evidencias'!$A$6:$O$83,11,FALSE)),"ID no encontrado"))</f>
        <v/>
      </c>
      <c r="Q85" s="5" t="str">
        <f>IF($M85="","",IFERROR(IF(VLOOKUP($M85,'Casos y evidencias'!$A$6:$O$83,12,FALSE)="","",VLOOKUP($M85,'Casos y evidencias'!$A$6:$O$83,12,FALSE)),"ID no encontrado"))</f>
        <v/>
      </c>
      <c r="R85" s="4"/>
    </row>
  </sheetData>
  <mergeCells count="2">
    <mergeCell ref="A2:R2"/>
    <mergeCell ref="A4:R4"/>
  </mergeCells>
  <conditionalFormatting sqref="B8:B85">
    <cfRule type="containsText" dxfId="5" priority="1" operator="containsText" text="Trazabilidad completa">
      <formula>NOT(ISERROR(SEARCH("Trazabilidad completa",B8)))</formula>
    </cfRule>
    <cfRule type="containsText" dxfId="4" priority="2" operator="containsText" text="Falta">
      <formula>NOT(ISERROR(SEARCH("Falta",B8)))</formula>
    </cfRule>
    <cfRule type="containsText" dxfId="3" priority="3" operator="containsText" text="Revisar">
      <formula>NOT(ISERROR(SEARCH("Revisar",B8)))</formula>
    </cfRule>
    <cfRule type="containsText" dxfId="2" priority="4" operator="containsText" text="fallida">
      <formula>NOT(ISERROR(SEARCH("fallida",B8)))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Requerimientos!$A$6:$A$43</xm:f>
          </x14:formula1>
          <xm:sqref>G8:G85</xm:sqref>
        </x14:dataValidation>
        <x14:dataValidation type="list" xr:uid="{00000000-0002-0000-0000-000001000000}">
          <x14:formula1>
            <xm:f>'Historias y criterios'!$A$6:$A$83</xm:f>
          </x14:formula1>
          <xm:sqref>K8:K85</xm:sqref>
        </x14:dataValidation>
        <x14:dataValidation type="list" xr:uid="{00000000-0002-0000-0000-000002000000}">
          <x14:formula1>
            <xm:f>'Casos y evidencias'!$A$6:$A$83</xm:f>
          </x14:formula1>
          <xm:sqref>M8:M85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EA6C4"/>
  </sheetPr>
  <dimension ref="A2:H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9" defaultRowHeight="14.25"/>
  <cols>
    <col min="1" max="1" width="13" customWidth="1"/>
    <col min="2" max="2" width="36" customWidth="1"/>
    <col min="3" max="3" width="12" customWidth="1"/>
    <col min="4" max="5" width="34" customWidth="1"/>
    <col min="6" max="6" width="32" customWidth="1"/>
    <col min="7" max="7" width="20" customWidth="1"/>
    <col min="8" max="8" width="14" customWidth="1"/>
  </cols>
  <sheetData>
    <row r="2" spans="1:8" ht="27.95" customHeight="1">
      <c r="A2" s="16" t="s">
        <v>220</v>
      </c>
      <c r="B2" s="17"/>
      <c r="C2" s="17"/>
      <c r="D2" s="17"/>
      <c r="E2" s="17"/>
      <c r="F2" s="17"/>
      <c r="G2" s="17"/>
      <c r="H2" s="17"/>
    </row>
    <row r="3" spans="1:8" ht="15">
      <c r="A3" s="15"/>
      <c r="B3" s="15"/>
      <c r="C3" s="15"/>
      <c r="D3" s="15"/>
      <c r="E3" s="15"/>
      <c r="F3" s="15"/>
      <c r="G3" s="15"/>
      <c r="H3" s="15"/>
    </row>
    <row r="4" spans="1:8" ht="27.95" customHeight="1">
      <c r="A4" s="18" t="s">
        <v>221</v>
      </c>
      <c r="B4" s="17"/>
      <c r="C4" s="17"/>
      <c r="D4" s="17"/>
      <c r="E4" s="17"/>
      <c r="F4" s="17"/>
      <c r="G4" s="17"/>
      <c r="H4" s="17"/>
    </row>
    <row r="5" spans="1:8" ht="38.1" customHeight="1">
      <c r="A5" s="3" t="s">
        <v>10</v>
      </c>
      <c r="B5" s="3" t="s">
        <v>11</v>
      </c>
      <c r="C5" s="3" t="s">
        <v>12</v>
      </c>
      <c r="D5" s="3" t="s">
        <v>222</v>
      </c>
      <c r="E5" s="3" t="s">
        <v>223</v>
      </c>
      <c r="F5" s="3" t="s">
        <v>224</v>
      </c>
      <c r="G5" s="3" t="s">
        <v>225</v>
      </c>
      <c r="H5" s="3" t="s">
        <v>226</v>
      </c>
    </row>
    <row r="6" spans="1:8" ht="48.6" customHeight="1">
      <c r="A6" s="10" t="s">
        <v>227</v>
      </c>
      <c r="B6" s="4" t="s">
        <v>228</v>
      </c>
      <c r="C6" s="10" t="s">
        <v>229</v>
      </c>
      <c r="D6" s="9" t="s">
        <v>230</v>
      </c>
      <c r="E6" s="9" t="s">
        <v>230</v>
      </c>
      <c r="F6" s="4" t="s">
        <v>231</v>
      </c>
      <c r="G6" s="4" t="s">
        <v>232</v>
      </c>
      <c r="H6" s="4" t="s">
        <v>233</v>
      </c>
    </row>
    <row r="7" spans="1:8" ht="48.6" customHeight="1">
      <c r="A7" s="10" t="s">
        <v>234</v>
      </c>
      <c r="B7" s="4" t="s">
        <v>235</v>
      </c>
      <c r="C7" s="10" t="s">
        <v>236</v>
      </c>
      <c r="D7" s="9" t="s">
        <v>237</v>
      </c>
      <c r="E7" s="9" t="s">
        <v>237</v>
      </c>
      <c r="F7" s="4" t="s">
        <v>238</v>
      </c>
      <c r="G7" s="4" t="s">
        <v>239</v>
      </c>
      <c r="H7" s="4" t="s">
        <v>233</v>
      </c>
    </row>
    <row r="8" spans="1:8" ht="48.6" customHeight="1">
      <c r="A8" s="10" t="s">
        <v>240</v>
      </c>
      <c r="B8" s="4" t="s">
        <v>241</v>
      </c>
      <c r="C8" s="10" t="s">
        <v>242</v>
      </c>
      <c r="D8" s="9" t="s">
        <v>243</v>
      </c>
      <c r="E8" s="9" t="s">
        <v>243</v>
      </c>
      <c r="F8" s="4" t="s">
        <v>244</v>
      </c>
      <c r="G8" s="4" t="s">
        <v>245</v>
      </c>
      <c r="H8" s="4" t="s">
        <v>233</v>
      </c>
    </row>
    <row r="9" spans="1:8" ht="48.6" customHeight="1">
      <c r="A9" s="10" t="s">
        <v>246</v>
      </c>
      <c r="B9" s="4" t="s">
        <v>247</v>
      </c>
      <c r="C9" s="10" t="s">
        <v>248</v>
      </c>
      <c r="D9" s="9" t="s">
        <v>249</v>
      </c>
      <c r="E9" s="9" t="s">
        <v>249</v>
      </c>
      <c r="F9" s="4" t="s">
        <v>250</v>
      </c>
      <c r="G9" s="4" t="s">
        <v>239</v>
      </c>
      <c r="H9" s="4" t="s">
        <v>233</v>
      </c>
    </row>
    <row r="10" spans="1:8" ht="48.6" customHeight="1">
      <c r="A10" s="10" t="s">
        <v>251</v>
      </c>
      <c r="B10" s="4" t="s">
        <v>252</v>
      </c>
      <c r="C10" s="10" t="s">
        <v>253</v>
      </c>
      <c r="D10" s="9" t="s">
        <v>254</v>
      </c>
      <c r="E10" s="9" t="s">
        <v>254</v>
      </c>
      <c r="F10" s="4" t="s">
        <v>255</v>
      </c>
      <c r="G10" s="4" t="s">
        <v>256</v>
      </c>
      <c r="H10" s="4" t="s">
        <v>233</v>
      </c>
    </row>
    <row r="11" spans="1:8" ht="48.6" customHeight="1">
      <c r="A11" s="10" t="s">
        <v>257</v>
      </c>
      <c r="B11" s="4" t="s">
        <v>258</v>
      </c>
      <c r="C11" s="10" t="s">
        <v>259</v>
      </c>
      <c r="D11" s="9" t="s">
        <v>260</v>
      </c>
      <c r="E11" s="9" t="s">
        <v>260</v>
      </c>
      <c r="F11" s="4" t="s">
        <v>261</v>
      </c>
      <c r="G11" s="4" t="s">
        <v>262</v>
      </c>
      <c r="H11" s="4" t="s">
        <v>233</v>
      </c>
    </row>
    <row r="12" spans="1:8" ht="45.95" customHeight="1">
      <c r="A12" s="10" t="s">
        <v>263</v>
      </c>
      <c r="B12" s="4"/>
      <c r="C12" s="10"/>
      <c r="D12" s="9"/>
      <c r="E12" s="9"/>
      <c r="F12" s="4"/>
      <c r="G12" s="4"/>
      <c r="H12" s="4" t="s">
        <v>264</v>
      </c>
    </row>
    <row r="13" spans="1:8" ht="45.95" customHeight="1">
      <c r="A13" s="10" t="s">
        <v>265</v>
      </c>
      <c r="B13" s="4"/>
      <c r="C13" s="10"/>
      <c r="D13" s="9"/>
      <c r="E13" s="9"/>
      <c r="F13" s="4"/>
      <c r="G13" s="4"/>
      <c r="H13" s="4" t="s">
        <v>264</v>
      </c>
    </row>
    <row r="14" spans="1:8" ht="45.95" customHeight="1">
      <c r="A14" s="10" t="s">
        <v>266</v>
      </c>
      <c r="B14" s="4"/>
      <c r="C14" s="10"/>
      <c r="D14" s="9"/>
      <c r="E14" s="9"/>
      <c r="F14" s="4"/>
      <c r="G14" s="4"/>
      <c r="H14" s="4" t="s">
        <v>264</v>
      </c>
    </row>
    <row r="15" spans="1:8" ht="45.95" customHeight="1">
      <c r="A15" s="10" t="s">
        <v>267</v>
      </c>
      <c r="B15" s="4"/>
      <c r="C15" s="10"/>
      <c r="D15" s="9"/>
      <c r="E15" s="9"/>
      <c r="F15" s="4"/>
      <c r="G15" s="4"/>
      <c r="H15" s="4" t="s">
        <v>264</v>
      </c>
    </row>
    <row r="16" spans="1:8" ht="45.95" customHeight="1">
      <c r="A16" s="10" t="s">
        <v>268</v>
      </c>
      <c r="B16" s="4"/>
      <c r="C16" s="10"/>
      <c r="D16" s="9"/>
      <c r="E16" s="9"/>
      <c r="F16" s="4"/>
      <c r="G16" s="4"/>
      <c r="H16" s="4" t="s">
        <v>264</v>
      </c>
    </row>
    <row r="17" spans="1:8" ht="45.95" customHeight="1">
      <c r="A17" s="10" t="s">
        <v>269</v>
      </c>
      <c r="B17" s="4"/>
      <c r="C17" s="10"/>
      <c r="D17" s="9"/>
      <c r="E17" s="9"/>
      <c r="F17" s="4"/>
      <c r="G17" s="4"/>
      <c r="H17" s="4" t="s">
        <v>264</v>
      </c>
    </row>
    <row r="18" spans="1:8" ht="45.95" customHeight="1">
      <c r="A18" s="10" t="s">
        <v>270</v>
      </c>
      <c r="B18" s="4"/>
      <c r="C18" s="10"/>
      <c r="D18" s="9"/>
      <c r="E18" s="9"/>
      <c r="F18" s="4"/>
      <c r="G18" s="4"/>
      <c r="H18" s="4" t="s">
        <v>264</v>
      </c>
    </row>
    <row r="19" spans="1:8" ht="45.95" customHeight="1">
      <c r="A19" s="10" t="s">
        <v>271</v>
      </c>
      <c r="B19" s="4"/>
      <c r="C19" s="10"/>
      <c r="D19" s="9"/>
      <c r="E19" s="9"/>
      <c r="F19" s="4"/>
      <c r="G19" s="4"/>
      <c r="H19" s="4" t="s">
        <v>264</v>
      </c>
    </row>
    <row r="20" spans="1:8" ht="45.95" customHeight="1">
      <c r="A20" s="10" t="s">
        <v>272</v>
      </c>
      <c r="B20" s="4"/>
      <c r="C20" s="10"/>
      <c r="D20" s="9"/>
      <c r="E20" s="9"/>
      <c r="F20" s="4"/>
      <c r="G20" s="4"/>
      <c r="H20" s="4" t="s">
        <v>264</v>
      </c>
    </row>
    <row r="21" spans="1:8" ht="45.95" customHeight="1">
      <c r="A21" s="10" t="s">
        <v>273</v>
      </c>
      <c r="B21" s="4"/>
      <c r="C21" s="10"/>
      <c r="D21" s="9"/>
      <c r="E21" s="9"/>
      <c r="F21" s="4"/>
      <c r="G21" s="4"/>
      <c r="H21" s="4" t="s">
        <v>264</v>
      </c>
    </row>
    <row r="22" spans="1:8" ht="45.95" customHeight="1">
      <c r="A22" s="10" t="s">
        <v>274</v>
      </c>
      <c r="B22" s="4"/>
      <c r="C22" s="10"/>
      <c r="D22" s="9"/>
      <c r="E22" s="9"/>
      <c r="F22" s="4"/>
      <c r="G22" s="4"/>
      <c r="H22" s="4" t="s">
        <v>264</v>
      </c>
    </row>
    <row r="23" spans="1:8" ht="45.95" customHeight="1">
      <c r="A23" s="10" t="s">
        <v>275</v>
      </c>
      <c r="B23" s="4"/>
      <c r="C23" s="10"/>
      <c r="D23" s="9"/>
      <c r="E23" s="9"/>
      <c r="F23" s="4"/>
      <c r="G23" s="4"/>
      <c r="H23" s="4" t="s">
        <v>264</v>
      </c>
    </row>
    <row r="24" spans="1:8" ht="45.95" customHeight="1">
      <c r="A24" s="10" t="s">
        <v>276</v>
      </c>
      <c r="B24" s="4"/>
      <c r="C24" s="10"/>
      <c r="D24" s="9"/>
      <c r="E24" s="9"/>
      <c r="F24" s="4"/>
      <c r="G24" s="4"/>
      <c r="H24" s="4" t="s">
        <v>264</v>
      </c>
    </row>
    <row r="25" spans="1:8" ht="45.95" customHeight="1">
      <c r="A25" s="10" t="s">
        <v>277</v>
      </c>
      <c r="B25" s="4"/>
      <c r="C25" s="10"/>
      <c r="D25" s="9"/>
      <c r="E25" s="9"/>
      <c r="F25" s="4"/>
      <c r="G25" s="4"/>
      <c r="H25" s="4" t="s">
        <v>264</v>
      </c>
    </row>
    <row r="26" spans="1:8" ht="45.95" customHeight="1">
      <c r="A26" s="10" t="s">
        <v>278</v>
      </c>
      <c r="B26" s="4"/>
      <c r="C26" s="10"/>
      <c r="D26" s="9"/>
      <c r="E26" s="9"/>
      <c r="F26" s="4"/>
      <c r="G26" s="4"/>
      <c r="H26" s="4" t="s">
        <v>264</v>
      </c>
    </row>
    <row r="27" spans="1:8" ht="45.95" customHeight="1">
      <c r="A27" s="10" t="s">
        <v>279</v>
      </c>
      <c r="B27" s="4"/>
      <c r="C27" s="10"/>
      <c r="D27" s="9"/>
      <c r="E27" s="9"/>
      <c r="F27" s="4"/>
      <c r="G27" s="4"/>
      <c r="H27" s="4" t="s">
        <v>264</v>
      </c>
    </row>
    <row r="28" spans="1:8" ht="45.95" customHeight="1">
      <c r="A28" s="10" t="s">
        <v>280</v>
      </c>
      <c r="B28" s="4"/>
      <c r="C28" s="10"/>
      <c r="D28" s="9"/>
      <c r="E28" s="9"/>
      <c r="F28" s="4"/>
      <c r="G28" s="4"/>
      <c r="H28" s="4" t="s">
        <v>264</v>
      </c>
    </row>
    <row r="29" spans="1:8" ht="45.95" customHeight="1">
      <c r="A29" s="10" t="s">
        <v>281</v>
      </c>
      <c r="B29" s="4"/>
      <c r="C29" s="10"/>
      <c r="D29" s="9"/>
      <c r="E29" s="9"/>
      <c r="F29" s="4"/>
      <c r="G29" s="4"/>
      <c r="H29" s="4" t="s">
        <v>264</v>
      </c>
    </row>
    <row r="30" spans="1:8" ht="45.95" customHeight="1">
      <c r="A30" s="10" t="s">
        <v>282</v>
      </c>
      <c r="B30" s="4"/>
      <c r="C30" s="10"/>
      <c r="D30" s="9"/>
      <c r="E30" s="9"/>
      <c r="F30" s="4"/>
      <c r="G30" s="4"/>
      <c r="H30" s="4" t="s">
        <v>264</v>
      </c>
    </row>
    <row r="31" spans="1:8" ht="45.95" customHeight="1">
      <c r="A31" s="10" t="s">
        <v>283</v>
      </c>
      <c r="B31" s="4"/>
      <c r="C31" s="10"/>
      <c r="D31" s="9"/>
      <c r="E31" s="9"/>
      <c r="F31" s="4"/>
      <c r="G31" s="4"/>
      <c r="H31" s="4" t="s">
        <v>264</v>
      </c>
    </row>
    <row r="32" spans="1:8" ht="45.95" customHeight="1">
      <c r="A32" s="10" t="s">
        <v>284</v>
      </c>
      <c r="B32" s="4"/>
      <c r="C32" s="10"/>
      <c r="D32" s="9"/>
      <c r="E32" s="9"/>
      <c r="F32" s="4"/>
      <c r="G32" s="4"/>
      <c r="H32" s="4" t="s">
        <v>264</v>
      </c>
    </row>
    <row r="33" spans="1:8" ht="45.95" customHeight="1">
      <c r="A33" s="10" t="s">
        <v>285</v>
      </c>
      <c r="B33" s="4"/>
      <c r="C33" s="10"/>
      <c r="D33" s="9"/>
      <c r="E33" s="9"/>
      <c r="F33" s="4"/>
      <c r="G33" s="4"/>
      <c r="H33" s="4" t="s">
        <v>264</v>
      </c>
    </row>
    <row r="34" spans="1:8" ht="45.95" customHeight="1">
      <c r="A34" s="10" t="s">
        <v>286</v>
      </c>
      <c r="B34" s="4"/>
      <c r="C34" s="10"/>
      <c r="D34" s="9"/>
      <c r="E34" s="9"/>
      <c r="F34" s="4"/>
      <c r="G34" s="4"/>
      <c r="H34" s="4" t="s">
        <v>264</v>
      </c>
    </row>
    <row r="35" spans="1:8" ht="45.95" customHeight="1">
      <c r="A35" s="10" t="s">
        <v>287</v>
      </c>
      <c r="B35" s="4"/>
      <c r="C35" s="10"/>
      <c r="D35" s="9"/>
      <c r="E35" s="9"/>
      <c r="F35" s="4"/>
      <c r="G35" s="4"/>
      <c r="H35" s="4" t="s">
        <v>264</v>
      </c>
    </row>
  </sheetData>
  <mergeCells count="2">
    <mergeCell ref="A4:H4"/>
    <mergeCell ref="A2:H2"/>
  </mergeCells>
  <dataValidations count="1">
    <dataValidation type="list" sqref="H6:H35" xr:uid="{00000000-0002-0000-0100-000000000000}">
      <formula1>"Borrador,En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2:M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6" customWidth="1"/>
    <col min="2" max="2" width="13" customWidth="1"/>
    <col min="3" max="3" width="12" customWidth="1"/>
    <col min="4" max="4" width="16" customWidth="1"/>
    <col min="5" max="5" width="32" customWidth="1"/>
    <col min="6" max="6" width="24" customWidth="1"/>
    <col min="7" max="7" width="38" customWidth="1"/>
    <col min="8" max="8" width="22" customWidth="1"/>
    <col min="9" max="9" width="12" customWidth="1"/>
    <col min="10" max="10" width="24" customWidth="1"/>
    <col min="11" max="11" width="16" customWidth="1"/>
    <col min="12" max="12" width="20" customWidth="1"/>
    <col min="13" max="13" width="10" customWidth="1"/>
  </cols>
  <sheetData>
    <row r="2" spans="1:13" ht="27.95" customHeight="1">
      <c r="A2" s="16" t="s">
        <v>288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7.95" customHeight="1">
      <c r="A4" s="18" t="s">
        <v>289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38.1" customHeight="1">
      <c r="A5" s="3" t="s">
        <v>14</v>
      </c>
      <c r="B5" s="3" t="s">
        <v>10</v>
      </c>
      <c r="C5" s="3" t="s">
        <v>12</v>
      </c>
      <c r="D5" s="3" t="s">
        <v>290</v>
      </c>
      <c r="E5" s="3" t="s">
        <v>223</v>
      </c>
      <c r="F5" s="3" t="s">
        <v>291</v>
      </c>
      <c r="G5" s="3" t="s">
        <v>292</v>
      </c>
      <c r="H5" s="3" t="s">
        <v>293</v>
      </c>
      <c r="I5" s="3" t="s">
        <v>294</v>
      </c>
      <c r="J5" s="3" t="s">
        <v>295</v>
      </c>
      <c r="K5" s="3" t="s">
        <v>226</v>
      </c>
      <c r="L5" s="3" t="s">
        <v>225</v>
      </c>
      <c r="M5" s="3" t="s">
        <v>296</v>
      </c>
    </row>
    <row r="6" spans="1:13" ht="50.1" customHeight="1">
      <c r="A6" s="10" t="s">
        <v>26</v>
      </c>
      <c r="B6" s="8" t="s">
        <v>227</v>
      </c>
      <c r="C6" s="8" t="s">
        <v>229</v>
      </c>
      <c r="D6" s="8" t="s">
        <v>297</v>
      </c>
      <c r="E6" s="5" t="str">
        <f>IF(C6="","",IFERROR(IF(INDEX('Objetivos y procesos'!$E$6:$E$35,MATCH(C6,'Objetivos y procesos'!$C$6:$C$35,0))="","",INDEX('Objetivos y procesos'!$E$6:$E$35,MATCH(C6,'Objetivos y procesos'!$C$6:$C$35,0))),"ID no encontrado"))</f>
        <v>Gestión de usuarios, roles y permisos</v>
      </c>
      <c r="F6" s="4" t="s">
        <v>298</v>
      </c>
      <c r="G6" s="4" t="s">
        <v>299</v>
      </c>
      <c r="H6" s="4" t="s">
        <v>300</v>
      </c>
      <c r="I6" s="8" t="s">
        <v>301</v>
      </c>
      <c r="J6" s="4" t="s">
        <v>302</v>
      </c>
      <c r="K6" s="8" t="s">
        <v>303</v>
      </c>
      <c r="L6" s="4" t="s">
        <v>232</v>
      </c>
      <c r="M6" s="4" t="s">
        <v>304</v>
      </c>
    </row>
    <row r="7" spans="1:13" ht="50.1" customHeight="1">
      <c r="A7" s="10" t="s">
        <v>33</v>
      </c>
      <c r="B7" s="8" t="s">
        <v>227</v>
      </c>
      <c r="C7" s="8" t="s">
        <v>229</v>
      </c>
      <c r="D7" s="8" t="s">
        <v>297</v>
      </c>
      <c r="E7" s="5" t="str">
        <f>IF(C7="","",IFERROR(IF(INDEX('Objetivos y procesos'!$E$6:$E$35,MATCH(C7,'Objetivos y procesos'!$C$6:$C$35,0))="","",INDEX('Objetivos y procesos'!$E$6:$E$35,MATCH(C7,'Objetivos y procesos'!$C$6:$C$35,0))),"ID no encontrado"))</f>
        <v>Gestión de usuarios, roles y permisos</v>
      </c>
      <c r="F7" s="4" t="s">
        <v>305</v>
      </c>
      <c r="G7" s="4" t="s">
        <v>306</v>
      </c>
      <c r="H7" s="4" t="s">
        <v>300</v>
      </c>
      <c r="I7" s="8" t="s">
        <v>301</v>
      </c>
      <c r="J7" s="4" t="s">
        <v>307</v>
      </c>
      <c r="K7" s="8" t="s">
        <v>303</v>
      </c>
      <c r="L7" s="4" t="s">
        <v>232</v>
      </c>
      <c r="M7" s="4" t="s">
        <v>304</v>
      </c>
    </row>
    <row r="8" spans="1:13" ht="50.1" customHeight="1">
      <c r="A8" s="10" t="s">
        <v>41</v>
      </c>
      <c r="B8" s="8" t="s">
        <v>227</v>
      </c>
      <c r="C8" s="8" t="s">
        <v>229</v>
      </c>
      <c r="D8" s="8" t="s">
        <v>297</v>
      </c>
      <c r="E8" s="5" t="str">
        <f>IF(C8="","",IFERROR(IF(INDEX('Objetivos y procesos'!$E$6:$E$35,MATCH(C8,'Objetivos y procesos'!$C$6:$C$35,0))="","",INDEX('Objetivos y procesos'!$E$6:$E$35,MATCH(C8,'Objetivos y procesos'!$C$6:$C$35,0))),"ID no encontrado"))</f>
        <v>Gestión de usuarios, roles y permisos</v>
      </c>
      <c r="F8" s="4" t="s">
        <v>308</v>
      </c>
      <c r="G8" s="4" t="s">
        <v>309</v>
      </c>
      <c r="H8" s="4" t="s">
        <v>300</v>
      </c>
      <c r="I8" s="8" t="s">
        <v>301</v>
      </c>
      <c r="J8" s="4" t="s">
        <v>310</v>
      </c>
      <c r="K8" s="8" t="s">
        <v>303</v>
      </c>
      <c r="L8" s="4" t="s">
        <v>232</v>
      </c>
      <c r="M8" s="4" t="s">
        <v>304</v>
      </c>
    </row>
    <row r="9" spans="1:13" ht="50.1" customHeight="1">
      <c r="A9" s="10" t="s">
        <v>36</v>
      </c>
      <c r="B9" s="8" t="s">
        <v>227</v>
      </c>
      <c r="C9" s="8" t="s">
        <v>229</v>
      </c>
      <c r="D9" s="8" t="s">
        <v>297</v>
      </c>
      <c r="E9" s="5" t="str">
        <f>IF(C9="","",IFERROR(IF(INDEX('Objetivos y procesos'!$E$6:$E$35,MATCH(C9,'Objetivos y procesos'!$C$6:$C$35,0))="","",INDEX('Objetivos y procesos'!$E$6:$E$35,MATCH(C9,'Objetivos y procesos'!$C$6:$C$35,0))),"ID no encontrado"))</f>
        <v>Gestión de usuarios, roles y permisos</v>
      </c>
      <c r="F9" s="4" t="s">
        <v>311</v>
      </c>
      <c r="G9" s="4" t="s">
        <v>312</v>
      </c>
      <c r="H9" s="4" t="s">
        <v>300</v>
      </c>
      <c r="I9" s="8" t="s">
        <v>301</v>
      </c>
      <c r="J9" s="4" t="s">
        <v>313</v>
      </c>
      <c r="K9" s="8" t="s">
        <v>303</v>
      </c>
      <c r="L9" s="4" t="s">
        <v>232</v>
      </c>
      <c r="M9" s="4" t="s">
        <v>304</v>
      </c>
    </row>
    <row r="10" spans="1:13" ht="50.1" customHeight="1">
      <c r="A10" s="10" t="s">
        <v>49</v>
      </c>
      <c r="B10" s="8" t="s">
        <v>227</v>
      </c>
      <c r="C10" s="8" t="s">
        <v>229</v>
      </c>
      <c r="D10" s="8" t="s">
        <v>297</v>
      </c>
      <c r="E10" s="5" t="str">
        <f>IF(C10="","",IFERROR(IF(INDEX('Objetivos y procesos'!$E$6:$E$35,MATCH(C10,'Objetivos y procesos'!$C$6:$C$35,0))="","",INDEX('Objetivos y procesos'!$E$6:$E$35,MATCH(C10,'Objetivos y procesos'!$C$6:$C$35,0))),"ID no encontrado"))</f>
        <v>Gestión de usuarios, roles y permisos</v>
      </c>
      <c r="F10" s="4" t="s">
        <v>314</v>
      </c>
      <c r="G10" s="4" t="s">
        <v>315</v>
      </c>
      <c r="H10" s="4" t="s">
        <v>300</v>
      </c>
      <c r="I10" s="8" t="s">
        <v>316</v>
      </c>
      <c r="J10" s="4" t="s">
        <v>317</v>
      </c>
      <c r="K10" s="8" t="s">
        <v>303</v>
      </c>
      <c r="L10" s="4" t="s">
        <v>232</v>
      </c>
      <c r="M10" s="4" t="s">
        <v>304</v>
      </c>
    </row>
    <row r="11" spans="1:13" ht="89.1" customHeight="1">
      <c r="A11" s="10" t="s">
        <v>63</v>
      </c>
      <c r="B11" s="8" t="s">
        <v>234</v>
      </c>
      <c r="C11" s="8" t="s">
        <v>236</v>
      </c>
      <c r="D11" s="8" t="s">
        <v>297</v>
      </c>
      <c r="E11" s="5" t="str">
        <f>IF(C11="","",IFERROR(IF(INDEX('Objetivos y procesos'!$E$6:$E$35,MATCH(C11,'Objetivos y procesos'!$C$6:$C$35,0))="","",INDEX('Objetivos y procesos'!$E$6:$E$35,MATCH(C11,'Objetivos y procesos'!$C$6:$C$35,0))),"ID no encontrado"))</f>
        <v>Solicitudes y autorizaciones</v>
      </c>
      <c r="F11" s="4" t="s">
        <v>318</v>
      </c>
      <c r="G11" s="4" t="s">
        <v>319</v>
      </c>
      <c r="H11" s="4" t="s">
        <v>320</v>
      </c>
      <c r="I11" s="8" t="s">
        <v>301</v>
      </c>
      <c r="J11" s="4" t="s">
        <v>321</v>
      </c>
      <c r="K11" s="8" t="s">
        <v>303</v>
      </c>
      <c r="L11" s="4" t="s">
        <v>239</v>
      </c>
      <c r="M11" s="4" t="s">
        <v>304</v>
      </c>
    </row>
    <row r="12" spans="1:13" ht="50.1" customHeight="1">
      <c r="A12" s="10" t="s">
        <v>73</v>
      </c>
      <c r="B12" s="8" t="s">
        <v>234</v>
      </c>
      <c r="C12" s="8" t="s">
        <v>236</v>
      </c>
      <c r="D12" s="8" t="s">
        <v>297</v>
      </c>
      <c r="E12" s="5" t="str">
        <f>IF(C12="","",IFERROR(IF(INDEX('Objetivos y procesos'!$E$6:$E$35,MATCH(C12,'Objetivos y procesos'!$C$6:$C$35,0))="","",INDEX('Objetivos y procesos'!$E$6:$E$35,MATCH(C12,'Objetivos y procesos'!$C$6:$C$35,0))),"ID no encontrado"))</f>
        <v>Solicitudes y autorizaciones</v>
      </c>
      <c r="F12" s="4" t="s">
        <v>322</v>
      </c>
      <c r="G12" s="4" t="s">
        <v>323</v>
      </c>
      <c r="H12" s="4" t="s">
        <v>320</v>
      </c>
      <c r="I12" s="8" t="s">
        <v>301</v>
      </c>
      <c r="J12" s="4" t="s">
        <v>324</v>
      </c>
      <c r="K12" s="8" t="s">
        <v>303</v>
      </c>
      <c r="L12" s="4" t="s">
        <v>239</v>
      </c>
      <c r="M12" s="4" t="s">
        <v>304</v>
      </c>
    </row>
    <row r="13" spans="1:13" ht="50.1" customHeight="1">
      <c r="A13" s="10" t="s">
        <v>82</v>
      </c>
      <c r="B13" s="8" t="s">
        <v>234</v>
      </c>
      <c r="C13" s="8" t="s">
        <v>236</v>
      </c>
      <c r="D13" s="8" t="s">
        <v>297</v>
      </c>
      <c r="E13" s="5" t="str">
        <f>IF(C13="","",IFERROR(IF(INDEX('Objetivos y procesos'!$E$6:$E$35,MATCH(C13,'Objetivos y procesos'!$C$6:$C$35,0))="","",INDEX('Objetivos y procesos'!$E$6:$E$35,MATCH(C13,'Objetivos y procesos'!$C$6:$C$35,0))),"ID no encontrado"))</f>
        <v>Solicitudes y autorizaciones</v>
      </c>
      <c r="F13" s="4" t="s">
        <v>325</v>
      </c>
      <c r="G13" s="4" t="s">
        <v>326</v>
      </c>
      <c r="H13" s="4" t="s">
        <v>320</v>
      </c>
      <c r="I13" s="8" t="s">
        <v>301</v>
      </c>
      <c r="J13" s="4" t="s">
        <v>327</v>
      </c>
      <c r="K13" s="8" t="s">
        <v>303</v>
      </c>
      <c r="L13" s="4" t="s">
        <v>239</v>
      </c>
      <c r="M13" s="4" t="s">
        <v>304</v>
      </c>
    </row>
    <row r="14" spans="1:13" ht="50.1" customHeight="1">
      <c r="A14" s="10" t="s">
        <v>87</v>
      </c>
      <c r="B14" s="8" t="s">
        <v>234</v>
      </c>
      <c r="C14" s="8" t="s">
        <v>236</v>
      </c>
      <c r="D14" s="8" t="s">
        <v>297</v>
      </c>
      <c r="E14" s="5" t="str">
        <f>IF(C14="","",IFERROR(IF(INDEX('Objetivos y procesos'!$E$6:$E$35,MATCH(C14,'Objetivos y procesos'!$C$6:$C$35,0))="","",INDEX('Objetivos y procesos'!$E$6:$E$35,MATCH(C14,'Objetivos y procesos'!$C$6:$C$35,0))),"ID no encontrado"))</f>
        <v>Solicitudes y autorizaciones</v>
      </c>
      <c r="F14" s="4" t="s">
        <v>328</v>
      </c>
      <c r="G14" s="4" t="s">
        <v>329</v>
      </c>
      <c r="H14" s="4" t="s">
        <v>320</v>
      </c>
      <c r="I14" s="8" t="s">
        <v>301</v>
      </c>
      <c r="J14" s="4" t="s">
        <v>330</v>
      </c>
      <c r="K14" s="8" t="s">
        <v>303</v>
      </c>
      <c r="L14" s="4" t="s">
        <v>239</v>
      </c>
      <c r="M14" s="4" t="s">
        <v>304</v>
      </c>
    </row>
    <row r="15" spans="1:13" ht="50.1" customHeight="1">
      <c r="A15" s="10" t="s">
        <v>90</v>
      </c>
      <c r="B15" s="8" t="s">
        <v>234</v>
      </c>
      <c r="C15" s="8" t="s">
        <v>236</v>
      </c>
      <c r="D15" s="8" t="s">
        <v>297</v>
      </c>
      <c r="E15" s="5" t="str">
        <f>IF(C15="","",IFERROR(IF(INDEX('Objetivos y procesos'!$E$6:$E$35,MATCH(C15,'Objetivos y procesos'!$C$6:$C$35,0))="","",INDEX('Objetivos y procesos'!$E$6:$E$35,MATCH(C15,'Objetivos y procesos'!$C$6:$C$35,0))),"ID no encontrado"))</f>
        <v>Solicitudes y autorizaciones</v>
      </c>
      <c r="F15" s="4" t="s">
        <v>331</v>
      </c>
      <c r="G15" s="4" t="s">
        <v>332</v>
      </c>
      <c r="H15" s="4" t="s">
        <v>320</v>
      </c>
      <c r="I15" s="8" t="s">
        <v>316</v>
      </c>
      <c r="J15" s="4" t="s">
        <v>333</v>
      </c>
      <c r="K15" s="8" t="s">
        <v>303</v>
      </c>
      <c r="L15" s="4" t="s">
        <v>239</v>
      </c>
      <c r="M15" s="4" t="s">
        <v>304</v>
      </c>
    </row>
    <row r="16" spans="1:13" ht="50.1" customHeight="1">
      <c r="A16" s="10" t="s">
        <v>93</v>
      </c>
      <c r="B16" s="8" t="s">
        <v>240</v>
      </c>
      <c r="C16" s="8" t="s">
        <v>242</v>
      </c>
      <c r="D16" s="8" t="s">
        <v>297</v>
      </c>
      <c r="E16" s="5" t="str">
        <f>IF(C16="","",IFERROR(IF(INDEX('Objetivos y procesos'!$E$6:$E$35,MATCH(C16,'Objetivos y procesos'!$C$6:$C$35,0))="","",INDEX('Objetivos y procesos'!$E$6:$E$35,MATCH(C16,'Objetivos y procesos'!$C$6:$C$35,0))),"ID no encontrado"))</f>
        <v>Gestión comercial, cotizaciones y órdenes de venta</v>
      </c>
      <c r="F16" s="4" t="s">
        <v>334</v>
      </c>
      <c r="G16" s="4" t="s">
        <v>335</v>
      </c>
      <c r="H16" s="4" t="s">
        <v>336</v>
      </c>
      <c r="I16" s="8" t="s">
        <v>301</v>
      </c>
      <c r="J16" s="4" t="s">
        <v>337</v>
      </c>
      <c r="K16" s="8" t="s">
        <v>303</v>
      </c>
      <c r="L16" s="4" t="s">
        <v>245</v>
      </c>
      <c r="M16" s="4" t="s">
        <v>304</v>
      </c>
    </row>
    <row r="17" spans="1:13" ht="50.1" customHeight="1">
      <c r="A17" s="10" t="s">
        <v>96</v>
      </c>
      <c r="B17" s="8" t="s">
        <v>240</v>
      </c>
      <c r="C17" s="8" t="s">
        <v>242</v>
      </c>
      <c r="D17" s="8" t="s">
        <v>297</v>
      </c>
      <c r="E17" s="5" t="str">
        <f>IF(C17="","",IFERROR(IF(INDEX('Objetivos y procesos'!$E$6:$E$35,MATCH(C17,'Objetivos y procesos'!$C$6:$C$35,0))="","",INDEX('Objetivos y procesos'!$E$6:$E$35,MATCH(C17,'Objetivos y procesos'!$C$6:$C$35,0))),"ID no encontrado"))</f>
        <v>Gestión comercial, cotizaciones y órdenes de venta</v>
      </c>
      <c r="F17" s="4" t="s">
        <v>338</v>
      </c>
      <c r="G17" s="4" t="s">
        <v>339</v>
      </c>
      <c r="H17" s="4" t="s">
        <v>336</v>
      </c>
      <c r="I17" s="8" t="s">
        <v>301</v>
      </c>
      <c r="J17" s="4" t="s">
        <v>340</v>
      </c>
      <c r="K17" s="8" t="s">
        <v>303</v>
      </c>
      <c r="L17" s="4" t="s">
        <v>245</v>
      </c>
      <c r="M17" s="4" t="s">
        <v>304</v>
      </c>
    </row>
    <row r="18" spans="1:13" ht="50.1" customHeight="1">
      <c r="A18" s="10" t="s">
        <v>103</v>
      </c>
      <c r="B18" s="8" t="s">
        <v>240</v>
      </c>
      <c r="C18" s="8" t="s">
        <v>242</v>
      </c>
      <c r="D18" s="8" t="s">
        <v>297</v>
      </c>
      <c r="E18" s="5" t="str">
        <f>IF(C18="","",IFERROR(IF(INDEX('Objetivos y procesos'!$E$6:$E$35,MATCH(C18,'Objetivos y procesos'!$C$6:$C$35,0))="","",INDEX('Objetivos y procesos'!$E$6:$E$35,MATCH(C18,'Objetivos y procesos'!$C$6:$C$35,0))),"ID no encontrado"))</f>
        <v>Gestión comercial, cotizaciones y órdenes de venta</v>
      </c>
      <c r="F18" s="4" t="s">
        <v>341</v>
      </c>
      <c r="G18" s="4" t="s">
        <v>342</v>
      </c>
      <c r="H18" s="4" t="s">
        <v>336</v>
      </c>
      <c r="I18" s="8" t="s">
        <v>301</v>
      </c>
      <c r="J18" s="4" t="s">
        <v>343</v>
      </c>
      <c r="K18" s="8" t="s">
        <v>303</v>
      </c>
      <c r="L18" s="4" t="s">
        <v>245</v>
      </c>
      <c r="M18" s="4" t="s">
        <v>304</v>
      </c>
    </row>
    <row r="19" spans="1:13" ht="50.1" customHeight="1">
      <c r="A19" s="10" t="s">
        <v>116</v>
      </c>
      <c r="B19" s="8" t="s">
        <v>240</v>
      </c>
      <c r="C19" s="8" t="s">
        <v>242</v>
      </c>
      <c r="D19" s="8" t="s">
        <v>297</v>
      </c>
      <c r="E19" s="5" t="str">
        <f>IF(C19="","",IFERROR(IF(INDEX('Objetivos y procesos'!$E$6:$E$35,MATCH(C19,'Objetivos y procesos'!$C$6:$C$35,0))="","",INDEX('Objetivos y procesos'!$E$6:$E$35,MATCH(C19,'Objetivos y procesos'!$C$6:$C$35,0))),"ID no encontrado"))</f>
        <v>Gestión comercial, cotizaciones y órdenes de venta</v>
      </c>
      <c r="F19" s="4" t="s">
        <v>344</v>
      </c>
      <c r="G19" s="4" t="s">
        <v>345</v>
      </c>
      <c r="H19" s="4" t="s">
        <v>336</v>
      </c>
      <c r="I19" s="8" t="s">
        <v>301</v>
      </c>
      <c r="J19" s="4" t="s">
        <v>346</v>
      </c>
      <c r="K19" s="8" t="s">
        <v>303</v>
      </c>
      <c r="L19" s="4" t="s">
        <v>245</v>
      </c>
      <c r="M19" s="4" t="s">
        <v>304</v>
      </c>
    </row>
    <row r="20" spans="1:13" ht="50.1" customHeight="1">
      <c r="A20" s="10" t="s">
        <v>123</v>
      </c>
      <c r="B20" s="8" t="s">
        <v>240</v>
      </c>
      <c r="C20" s="8" t="s">
        <v>242</v>
      </c>
      <c r="D20" s="8" t="s">
        <v>297</v>
      </c>
      <c r="E20" s="5" t="str">
        <f>IF(C20="","",IFERROR(IF(INDEX('Objetivos y procesos'!$E$6:$E$35,MATCH(C20,'Objetivos y procesos'!$C$6:$C$35,0))="","",INDEX('Objetivos y procesos'!$E$6:$E$35,MATCH(C20,'Objetivos y procesos'!$C$6:$C$35,0))),"ID no encontrado"))</f>
        <v>Gestión comercial, cotizaciones y órdenes de venta</v>
      </c>
      <c r="F20" s="4" t="s">
        <v>347</v>
      </c>
      <c r="G20" s="4" t="s">
        <v>348</v>
      </c>
      <c r="H20" s="4" t="s">
        <v>349</v>
      </c>
      <c r="I20" s="8" t="s">
        <v>301</v>
      </c>
      <c r="J20" s="4" t="s">
        <v>350</v>
      </c>
      <c r="K20" s="8" t="s">
        <v>303</v>
      </c>
      <c r="L20" s="4" t="s">
        <v>245</v>
      </c>
      <c r="M20" s="4" t="s">
        <v>304</v>
      </c>
    </row>
    <row r="21" spans="1:13" ht="50.1" customHeight="1">
      <c r="A21" s="10" t="s">
        <v>113</v>
      </c>
      <c r="B21" s="8" t="s">
        <v>240</v>
      </c>
      <c r="C21" s="8" t="s">
        <v>242</v>
      </c>
      <c r="D21" s="8" t="s">
        <v>297</v>
      </c>
      <c r="E21" s="5" t="str">
        <f>IF(C21="","",IFERROR(IF(INDEX('Objetivos y procesos'!$E$6:$E$35,MATCH(C21,'Objetivos y procesos'!$C$6:$C$35,0))="","",INDEX('Objetivos y procesos'!$E$6:$E$35,MATCH(C21,'Objetivos y procesos'!$C$6:$C$35,0))),"ID no encontrado"))</f>
        <v>Gestión comercial, cotizaciones y órdenes de venta</v>
      </c>
      <c r="F21" s="4" t="s">
        <v>351</v>
      </c>
      <c r="G21" s="4" t="s">
        <v>352</v>
      </c>
      <c r="H21" s="4" t="s">
        <v>336</v>
      </c>
      <c r="I21" s="8" t="s">
        <v>316</v>
      </c>
      <c r="J21" s="4" t="s">
        <v>353</v>
      </c>
      <c r="K21" s="8" t="s">
        <v>303</v>
      </c>
      <c r="L21" s="4" t="s">
        <v>245</v>
      </c>
      <c r="M21" s="4" t="s">
        <v>304</v>
      </c>
    </row>
    <row r="22" spans="1:13" ht="89.1" customHeight="1">
      <c r="A22" s="10" t="s">
        <v>133</v>
      </c>
      <c r="B22" s="8" t="s">
        <v>246</v>
      </c>
      <c r="C22" s="8" t="s">
        <v>248</v>
      </c>
      <c r="D22" s="8" t="s">
        <v>297</v>
      </c>
      <c r="E22" s="5" t="str">
        <f>IF(C22="","",IFERROR(IF(INDEX('Objetivos y procesos'!$E$6:$E$35,MATCH(C22,'Objetivos y procesos'!$C$6:$C$35,0))="","",INDEX('Objetivos y procesos'!$E$6:$E$35,MATCH(C22,'Objetivos y procesos'!$C$6:$C$35,0))),"ID no encontrado"))</f>
        <v>Notificaciones y trazabilidad</v>
      </c>
      <c r="F22" s="4" t="s">
        <v>354</v>
      </c>
      <c r="G22" s="4" t="s">
        <v>355</v>
      </c>
      <c r="H22" s="4" t="s">
        <v>356</v>
      </c>
      <c r="I22" s="8" t="s">
        <v>301</v>
      </c>
      <c r="J22" s="4" t="s">
        <v>357</v>
      </c>
      <c r="K22" s="8" t="s">
        <v>303</v>
      </c>
      <c r="L22" s="4" t="s">
        <v>239</v>
      </c>
      <c r="M22" s="4" t="s">
        <v>304</v>
      </c>
    </row>
    <row r="23" spans="1:13" ht="50.1" customHeight="1">
      <c r="A23" s="10" t="s">
        <v>142</v>
      </c>
      <c r="B23" s="8" t="s">
        <v>246</v>
      </c>
      <c r="C23" s="8" t="s">
        <v>248</v>
      </c>
      <c r="D23" s="8" t="s">
        <v>297</v>
      </c>
      <c r="E23" s="5" t="str">
        <f>IF(C23="","",IFERROR(IF(INDEX('Objetivos y procesos'!$E$6:$E$35,MATCH(C23,'Objetivos y procesos'!$C$6:$C$35,0))="","",INDEX('Objetivos y procesos'!$E$6:$E$35,MATCH(C23,'Objetivos y procesos'!$C$6:$C$35,0))),"ID no encontrado"))</f>
        <v>Notificaciones y trazabilidad</v>
      </c>
      <c r="F23" s="4" t="s">
        <v>358</v>
      </c>
      <c r="G23" s="4" t="s">
        <v>359</v>
      </c>
      <c r="H23" s="4" t="s">
        <v>356</v>
      </c>
      <c r="I23" s="8" t="s">
        <v>301</v>
      </c>
      <c r="J23" s="4" t="s">
        <v>360</v>
      </c>
      <c r="K23" s="8" t="s">
        <v>303</v>
      </c>
      <c r="L23" s="4" t="s">
        <v>239</v>
      </c>
      <c r="M23" s="4" t="s">
        <v>304</v>
      </c>
    </row>
    <row r="24" spans="1:13" ht="62.1" customHeight="1">
      <c r="A24" s="10" t="s">
        <v>151</v>
      </c>
      <c r="B24" s="8" t="s">
        <v>246</v>
      </c>
      <c r="C24" s="8" t="s">
        <v>248</v>
      </c>
      <c r="D24" s="8" t="s">
        <v>297</v>
      </c>
      <c r="E24" s="5" t="str">
        <f>IF(C24="","",IFERROR(IF(INDEX('Objetivos y procesos'!$E$6:$E$35,MATCH(C24,'Objetivos y procesos'!$C$6:$C$35,0))="","",INDEX('Objetivos y procesos'!$E$6:$E$35,MATCH(C24,'Objetivos y procesos'!$C$6:$C$35,0))),"ID no encontrado"))</f>
        <v>Notificaciones y trazabilidad</v>
      </c>
      <c r="F24" s="4" t="s">
        <v>361</v>
      </c>
      <c r="G24" s="4" t="s">
        <v>362</v>
      </c>
      <c r="H24" s="4" t="s">
        <v>356</v>
      </c>
      <c r="I24" s="8" t="s">
        <v>301</v>
      </c>
      <c r="J24" s="4" t="s">
        <v>363</v>
      </c>
      <c r="K24" s="8" t="s">
        <v>303</v>
      </c>
      <c r="L24" s="4" t="s">
        <v>239</v>
      </c>
      <c r="M24" s="4" t="s">
        <v>304</v>
      </c>
    </row>
    <row r="25" spans="1:13" ht="50.1" customHeight="1">
      <c r="A25" s="10" t="s">
        <v>154</v>
      </c>
      <c r="B25" s="8" t="s">
        <v>246</v>
      </c>
      <c r="C25" s="8" t="s">
        <v>248</v>
      </c>
      <c r="D25" s="8" t="s">
        <v>297</v>
      </c>
      <c r="E25" s="5" t="str">
        <f>IF(C25="","",IFERROR(IF(INDEX('Objetivos y procesos'!$E$6:$E$35,MATCH(C25,'Objetivos y procesos'!$C$6:$C$35,0))="","",INDEX('Objetivos y procesos'!$E$6:$E$35,MATCH(C25,'Objetivos y procesos'!$C$6:$C$35,0))),"ID no encontrado"))</f>
        <v>Notificaciones y trazabilidad</v>
      </c>
      <c r="F25" s="4" t="s">
        <v>364</v>
      </c>
      <c r="G25" s="4" t="s">
        <v>365</v>
      </c>
      <c r="H25" s="4" t="s">
        <v>356</v>
      </c>
      <c r="I25" s="8" t="s">
        <v>301</v>
      </c>
      <c r="J25" s="4" t="s">
        <v>366</v>
      </c>
      <c r="K25" s="8" t="s">
        <v>303</v>
      </c>
      <c r="L25" s="4" t="s">
        <v>239</v>
      </c>
      <c r="M25" s="4" t="s">
        <v>304</v>
      </c>
    </row>
    <row r="26" spans="1:13" ht="102.6" customHeight="1">
      <c r="A26" s="10" t="s">
        <v>189</v>
      </c>
      <c r="B26" s="8" t="s">
        <v>257</v>
      </c>
      <c r="C26" s="8" t="s">
        <v>259</v>
      </c>
      <c r="D26" s="8" t="s">
        <v>297</v>
      </c>
      <c r="E26" s="5" t="str">
        <f>IF(C26="","",IFERROR(IF(INDEX('Objetivos y procesos'!$E$6:$E$35,MATCH(C26,'Objetivos y procesos'!$C$6:$C$35,0))="","",INDEX('Objetivos y procesos'!$E$6:$E$35,MATCH(C26,'Objetivos y procesos'!$C$6:$C$35,0))),"ID no encontrado"))</f>
        <v>Gestión de Posventa</v>
      </c>
      <c r="F26" s="4" t="s">
        <v>367</v>
      </c>
      <c r="G26" s="4" t="s">
        <v>368</v>
      </c>
      <c r="H26" s="4" t="s">
        <v>369</v>
      </c>
      <c r="I26" s="8" t="s">
        <v>301</v>
      </c>
      <c r="J26" s="4" t="s">
        <v>370</v>
      </c>
      <c r="K26" s="8" t="s">
        <v>303</v>
      </c>
      <c r="L26" s="4" t="s">
        <v>262</v>
      </c>
      <c r="M26" s="4" t="s">
        <v>304</v>
      </c>
    </row>
    <row r="27" spans="1:13" ht="50.1" customHeight="1">
      <c r="A27" s="10" t="s">
        <v>194</v>
      </c>
      <c r="B27" s="8" t="s">
        <v>257</v>
      </c>
      <c r="C27" s="8" t="s">
        <v>259</v>
      </c>
      <c r="D27" s="8" t="s">
        <v>297</v>
      </c>
      <c r="E27" s="5" t="str">
        <f>IF(C27="","",IFERROR(IF(INDEX('Objetivos y procesos'!$E$6:$E$35,MATCH(C27,'Objetivos y procesos'!$C$6:$C$35,0))="","",INDEX('Objetivos y procesos'!$E$6:$E$35,MATCH(C27,'Objetivos y procesos'!$C$6:$C$35,0))),"ID no encontrado"))</f>
        <v>Gestión de Posventa</v>
      </c>
      <c r="F27" s="4" t="s">
        <v>371</v>
      </c>
      <c r="G27" s="4" t="s">
        <v>372</v>
      </c>
      <c r="H27" s="4" t="s">
        <v>369</v>
      </c>
      <c r="I27" s="8" t="s">
        <v>301</v>
      </c>
      <c r="J27" s="4" t="s">
        <v>373</v>
      </c>
      <c r="K27" s="8" t="s">
        <v>303</v>
      </c>
      <c r="L27" s="4" t="s">
        <v>262</v>
      </c>
      <c r="M27" s="4" t="s">
        <v>304</v>
      </c>
    </row>
    <row r="28" spans="1:13" ht="75.599999999999994" customHeight="1">
      <c r="A28" s="10" t="s">
        <v>199</v>
      </c>
      <c r="B28" s="8" t="s">
        <v>257</v>
      </c>
      <c r="C28" s="8" t="s">
        <v>259</v>
      </c>
      <c r="D28" s="8" t="s">
        <v>297</v>
      </c>
      <c r="E28" s="5" t="str">
        <f>IF(C28="","",IFERROR(IF(INDEX('Objetivos y procesos'!$E$6:$E$35,MATCH(C28,'Objetivos y procesos'!$C$6:$C$35,0))="","",INDEX('Objetivos y procesos'!$E$6:$E$35,MATCH(C28,'Objetivos y procesos'!$C$6:$C$35,0))),"ID no encontrado"))</f>
        <v>Gestión de Posventa</v>
      </c>
      <c r="F28" s="4" t="s">
        <v>374</v>
      </c>
      <c r="G28" s="4" t="s">
        <v>375</v>
      </c>
      <c r="H28" s="4" t="s">
        <v>369</v>
      </c>
      <c r="I28" s="8" t="s">
        <v>301</v>
      </c>
      <c r="J28" s="4" t="s">
        <v>373</v>
      </c>
      <c r="K28" s="8" t="s">
        <v>303</v>
      </c>
      <c r="L28" s="4" t="s">
        <v>262</v>
      </c>
      <c r="M28" s="4" t="s">
        <v>304</v>
      </c>
    </row>
    <row r="29" spans="1:13" ht="89.1" customHeight="1">
      <c r="A29" s="10" t="s">
        <v>205</v>
      </c>
      <c r="B29" s="8" t="s">
        <v>257</v>
      </c>
      <c r="C29" s="8" t="s">
        <v>259</v>
      </c>
      <c r="D29" s="8" t="s">
        <v>297</v>
      </c>
      <c r="E29" s="5" t="str">
        <f>IF(C29="","",IFERROR(IF(INDEX('Objetivos y procesos'!$E$6:$E$35,MATCH(C29,'Objetivos y procesos'!$C$6:$C$35,0))="","",INDEX('Objetivos y procesos'!$E$6:$E$35,MATCH(C29,'Objetivos y procesos'!$C$6:$C$35,0))),"ID no encontrado"))</f>
        <v>Gestión de Posventa</v>
      </c>
      <c r="F29" s="4" t="s">
        <v>376</v>
      </c>
      <c r="G29" s="4" t="s">
        <v>377</v>
      </c>
      <c r="H29" s="4" t="s">
        <v>369</v>
      </c>
      <c r="I29" s="8" t="s">
        <v>301</v>
      </c>
      <c r="J29" s="4" t="s">
        <v>378</v>
      </c>
      <c r="K29" s="8" t="s">
        <v>303</v>
      </c>
      <c r="L29" s="4" t="s">
        <v>262</v>
      </c>
      <c r="M29" s="4" t="s">
        <v>304</v>
      </c>
    </row>
    <row r="30" spans="1:13" ht="62.1" customHeight="1">
      <c r="A30" s="10" t="s">
        <v>161</v>
      </c>
      <c r="B30" s="8" t="s">
        <v>251</v>
      </c>
      <c r="C30" s="8" t="s">
        <v>253</v>
      </c>
      <c r="D30" s="8" t="s">
        <v>297</v>
      </c>
      <c r="E30" s="5" t="str">
        <f>IF(C30="","",IFERROR(IF(INDEX('Objetivos y procesos'!$E$6:$E$35,MATCH(C30,'Objetivos y procesos'!$C$6:$C$35,0))="","",INDEX('Objetivos y procesos'!$E$6:$E$35,MATCH(C30,'Objetivos y procesos'!$C$6:$C$35,0))),"ID no encontrado"))</f>
        <v>Integración con SAP Business One</v>
      </c>
      <c r="F30" s="4" t="s">
        <v>379</v>
      </c>
      <c r="G30" s="4" t="s">
        <v>380</v>
      </c>
      <c r="H30" s="4" t="s">
        <v>381</v>
      </c>
      <c r="I30" s="8" t="s">
        <v>301</v>
      </c>
      <c r="J30" s="4" t="s">
        <v>382</v>
      </c>
      <c r="K30" s="8" t="s">
        <v>303</v>
      </c>
      <c r="L30" s="4" t="s">
        <v>256</v>
      </c>
      <c r="M30" s="4" t="s">
        <v>304</v>
      </c>
    </row>
    <row r="31" spans="1:13" ht="50.1" customHeight="1">
      <c r="A31" s="10" t="s">
        <v>170</v>
      </c>
      <c r="B31" s="8" t="s">
        <v>251</v>
      </c>
      <c r="C31" s="8" t="s">
        <v>253</v>
      </c>
      <c r="D31" s="8" t="s">
        <v>297</v>
      </c>
      <c r="E31" s="5" t="str">
        <f>IF(C31="","",IFERROR(IF(INDEX('Objetivos y procesos'!$E$6:$E$35,MATCH(C31,'Objetivos y procesos'!$C$6:$C$35,0))="","",INDEX('Objetivos y procesos'!$E$6:$E$35,MATCH(C31,'Objetivos y procesos'!$C$6:$C$35,0))),"ID no encontrado"))</f>
        <v>Integración con SAP Business One</v>
      </c>
      <c r="F31" s="4" t="s">
        <v>383</v>
      </c>
      <c r="G31" s="4" t="s">
        <v>384</v>
      </c>
      <c r="H31" s="4" t="s">
        <v>381</v>
      </c>
      <c r="I31" s="8" t="s">
        <v>301</v>
      </c>
      <c r="J31" s="4" t="s">
        <v>385</v>
      </c>
      <c r="K31" s="8" t="s">
        <v>303</v>
      </c>
      <c r="L31" s="4" t="s">
        <v>256</v>
      </c>
      <c r="M31" s="4" t="s">
        <v>304</v>
      </c>
    </row>
    <row r="32" spans="1:13" ht="50.1" customHeight="1">
      <c r="A32" s="10" t="s">
        <v>179</v>
      </c>
      <c r="B32" s="8" t="s">
        <v>251</v>
      </c>
      <c r="C32" s="8" t="s">
        <v>253</v>
      </c>
      <c r="D32" s="8" t="s">
        <v>297</v>
      </c>
      <c r="E32" s="5" t="str">
        <f>IF(C32="","",IFERROR(IF(INDEX('Objetivos y procesos'!$E$6:$E$35,MATCH(C32,'Objetivos y procesos'!$C$6:$C$35,0))="","",INDEX('Objetivos y procesos'!$E$6:$E$35,MATCH(C32,'Objetivos y procesos'!$C$6:$C$35,0))),"ID no encontrado"))</f>
        <v>Integración con SAP Business One</v>
      </c>
      <c r="F32" s="4" t="s">
        <v>386</v>
      </c>
      <c r="G32" s="4" t="s">
        <v>387</v>
      </c>
      <c r="H32" s="4" t="s">
        <v>381</v>
      </c>
      <c r="I32" s="8" t="s">
        <v>301</v>
      </c>
      <c r="J32" s="4" t="s">
        <v>388</v>
      </c>
      <c r="K32" s="8" t="s">
        <v>303</v>
      </c>
      <c r="L32" s="4" t="s">
        <v>256</v>
      </c>
      <c r="M32" s="4" t="s">
        <v>304</v>
      </c>
    </row>
    <row r="33" spans="1:13" ht="50.1" customHeight="1">
      <c r="A33" s="10" t="s">
        <v>46</v>
      </c>
      <c r="B33" s="8" t="s">
        <v>227</v>
      </c>
      <c r="C33" s="8" t="s">
        <v>229</v>
      </c>
      <c r="D33" s="8" t="s">
        <v>297</v>
      </c>
      <c r="E33" s="5" t="str">
        <f>IF(C33="","",IFERROR(IF(INDEX('Objetivos y procesos'!$E$6:$E$35,MATCH(C33,'Objetivos y procesos'!$C$6:$C$35,0))="","",INDEX('Objetivos y procesos'!$E$6:$E$35,MATCH(C33,'Objetivos y procesos'!$C$6:$C$35,0))),"ID no encontrado"))</f>
        <v>Gestión de usuarios, roles y permisos</v>
      </c>
      <c r="F33" s="4" t="s">
        <v>389</v>
      </c>
      <c r="G33" s="4" t="s">
        <v>390</v>
      </c>
      <c r="H33" s="4" t="s">
        <v>300</v>
      </c>
      <c r="I33" s="8" t="s">
        <v>301</v>
      </c>
      <c r="J33" s="4" t="s">
        <v>391</v>
      </c>
      <c r="K33" s="8" t="s">
        <v>303</v>
      </c>
      <c r="L33" s="4" t="s">
        <v>232</v>
      </c>
      <c r="M33" s="4" t="s">
        <v>304</v>
      </c>
    </row>
    <row r="34" spans="1:13" ht="62.1" customHeight="1">
      <c r="A34" s="10" t="s">
        <v>210</v>
      </c>
      <c r="B34" s="8" t="s">
        <v>257</v>
      </c>
      <c r="C34" s="8" t="s">
        <v>259</v>
      </c>
      <c r="D34" s="8" t="s">
        <v>297</v>
      </c>
      <c r="E34" s="5" t="str">
        <f>IF(C34="","",IFERROR(IF(INDEX('Objetivos y procesos'!$E$6:$E$35,MATCH(C34,'Objetivos y procesos'!$C$6:$C$35,0))="","",INDEX('Objetivos y procesos'!$E$6:$E$35,MATCH(C34,'Objetivos y procesos'!$C$6:$C$35,0))),"ID no encontrado"))</f>
        <v>Gestión de Posventa</v>
      </c>
      <c r="F34" s="4" t="s">
        <v>392</v>
      </c>
      <c r="G34" s="4" t="s">
        <v>393</v>
      </c>
      <c r="H34" s="4" t="s">
        <v>369</v>
      </c>
      <c r="I34" s="8" t="s">
        <v>301</v>
      </c>
      <c r="J34" s="4" t="s">
        <v>394</v>
      </c>
      <c r="K34" s="8" t="s">
        <v>303</v>
      </c>
      <c r="L34" s="4" t="s">
        <v>262</v>
      </c>
      <c r="M34" s="4" t="s">
        <v>304</v>
      </c>
    </row>
    <row r="35" spans="1:13" ht="50.1" customHeight="1">
      <c r="A35" s="10" t="s">
        <v>130</v>
      </c>
      <c r="B35" s="8" t="s">
        <v>240</v>
      </c>
      <c r="C35" s="8" t="s">
        <v>242</v>
      </c>
      <c r="D35" s="8" t="s">
        <v>297</v>
      </c>
      <c r="E35" s="5" t="str">
        <f>IF(C35="","",IFERROR(IF(INDEX('Objetivos y procesos'!$E$6:$E$35,MATCH(C35,'Objetivos y procesos'!$C$6:$C$35,0))="","",INDEX('Objetivos y procesos'!$E$6:$E$35,MATCH(C35,'Objetivos y procesos'!$C$6:$C$35,0))),"ID no encontrado"))</f>
        <v>Gestión comercial, cotizaciones y órdenes de venta</v>
      </c>
      <c r="F35" s="4" t="s">
        <v>395</v>
      </c>
      <c r="G35" s="4" t="s">
        <v>396</v>
      </c>
      <c r="H35" s="4" t="s">
        <v>336</v>
      </c>
      <c r="I35" s="8" t="s">
        <v>301</v>
      </c>
      <c r="J35" s="4" t="s">
        <v>397</v>
      </c>
      <c r="K35" s="8" t="s">
        <v>303</v>
      </c>
      <c r="L35" s="4" t="s">
        <v>245</v>
      </c>
      <c r="M35" s="4" t="s">
        <v>304</v>
      </c>
    </row>
    <row r="36" spans="1:13" ht="50.1" customHeight="1">
      <c r="A36" s="10" t="s">
        <v>184</v>
      </c>
      <c r="B36" s="8" t="s">
        <v>251</v>
      </c>
      <c r="C36" s="8" t="s">
        <v>253</v>
      </c>
      <c r="D36" s="8" t="s">
        <v>297</v>
      </c>
      <c r="E36" s="5" t="str">
        <f>IF(C36="","",IFERROR(IF(INDEX('Objetivos y procesos'!$E$6:$E$35,MATCH(C36,'Objetivos y procesos'!$C$6:$C$35,0))="","",INDEX('Objetivos y procesos'!$E$6:$E$35,MATCH(C36,'Objetivos y procesos'!$C$6:$C$35,0))),"ID no encontrado"))</f>
        <v>Integración con SAP Business One</v>
      </c>
      <c r="F36" s="4" t="s">
        <v>398</v>
      </c>
      <c r="G36" s="4" t="s">
        <v>399</v>
      </c>
      <c r="H36" s="4" t="s">
        <v>381</v>
      </c>
      <c r="I36" s="8" t="s">
        <v>301</v>
      </c>
      <c r="J36" s="4" t="s">
        <v>400</v>
      </c>
      <c r="K36" s="8" t="s">
        <v>303</v>
      </c>
      <c r="L36" s="4" t="s">
        <v>256</v>
      </c>
      <c r="M36" s="4" t="s">
        <v>304</v>
      </c>
    </row>
    <row r="37" spans="1:13" ht="50.1" customHeight="1">
      <c r="A37" s="10" t="s">
        <v>202</v>
      </c>
      <c r="B37" s="8" t="s">
        <v>257</v>
      </c>
      <c r="C37" s="8" t="s">
        <v>259</v>
      </c>
      <c r="D37" s="8" t="s">
        <v>297</v>
      </c>
      <c r="E37" s="5" t="str">
        <f>IF(C37="","",IFERROR(IF(INDEX('Objetivos y procesos'!$E$6:$E$35,MATCH(C37,'Objetivos y procesos'!$C$6:$C$35,0))="","",INDEX('Objetivos y procesos'!$E$6:$E$35,MATCH(C37,'Objetivos y procesos'!$C$6:$C$35,0))),"ID no encontrado"))</f>
        <v>Gestión de Posventa</v>
      </c>
      <c r="F37" s="4" t="s">
        <v>401</v>
      </c>
      <c r="G37" s="4" t="s">
        <v>402</v>
      </c>
      <c r="H37" s="4" t="s">
        <v>369</v>
      </c>
      <c r="I37" s="8" t="s">
        <v>301</v>
      </c>
      <c r="J37" s="4" t="s">
        <v>403</v>
      </c>
      <c r="K37" s="8" t="s">
        <v>303</v>
      </c>
      <c r="L37" s="4" t="s">
        <v>262</v>
      </c>
      <c r="M37" s="4" t="s">
        <v>304</v>
      </c>
    </row>
    <row r="38" spans="1:13" ht="50.1" customHeight="1">
      <c r="A38" s="10" t="s">
        <v>217</v>
      </c>
      <c r="B38" s="8" t="s">
        <v>257</v>
      </c>
      <c r="C38" s="8" t="s">
        <v>259</v>
      </c>
      <c r="D38" s="8" t="s">
        <v>297</v>
      </c>
      <c r="E38" s="5" t="str">
        <f>IF(C38="","",IFERROR(IF(INDEX('Objetivos y procesos'!$E$6:$E$35,MATCH(C38,'Objetivos y procesos'!$C$6:$C$35,0))="","",INDEX('Objetivos y procesos'!$E$6:$E$35,MATCH(C38,'Objetivos y procesos'!$C$6:$C$35,0))),"ID no encontrado"))</f>
        <v>Gestión de Posventa</v>
      </c>
      <c r="F38" s="4" t="s">
        <v>404</v>
      </c>
      <c r="G38" s="4" t="s">
        <v>405</v>
      </c>
      <c r="H38" s="4" t="s">
        <v>369</v>
      </c>
      <c r="I38" s="8" t="s">
        <v>301</v>
      </c>
      <c r="J38" s="4" t="s">
        <v>406</v>
      </c>
      <c r="K38" s="8" t="s">
        <v>303</v>
      </c>
      <c r="L38" s="4" t="s">
        <v>262</v>
      </c>
      <c r="M38" s="4" t="s">
        <v>304</v>
      </c>
    </row>
    <row r="39" spans="1:13" ht="75.599999999999994" customHeight="1">
      <c r="A39" s="10" t="s">
        <v>52</v>
      </c>
      <c r="B39" s="8" t="s">
        <v>227</v>
      </c>
      <c r="C39" s="8" t="s">
        <v>229</v>
      </c>
      <c r="D39" s="8" t="s">
        <v>297</v>
      </c>
      <c r="E39" s="5" t="str">
        <f>IF(C39="","",IFERROR(IF(INDEX('Objetivos y procesos'!$E$6:$E$35,MATCH(C39,'Objetivos y procesos'!$C$6:$C$35,0))="","",INDEX('Objetivos y procesos'!$E$6:$E$35,MATCH(C39,'Objetivos y procesos'!$C$6:$C$35,0))),"ID no encontrado"))</f>
        <v>Gestión de usuarios, roles y permisos</v>
      </c>
      <c r="F39" s="4" t="s">
        <v>407</v>
      </c>
      <c r="G39" s="4" t="s">
        <v>408</v>
      </c>
      <c r="H39" s="4" t="s">
        <v>300</v>
      </c>
      <c r="I39" s="8" t="s">
        <v>301</v>
      </c>
      <c r="J39" s="4" t="s">
        <v>409</v>
      </c>
      <c r="K39" s="8" t="s">
        <v>303</v>
      </c>
      <c r="L39" s="4" t="s">
        <v>232</v>
      </c>
      <c r="M39" s="4" t="s">
        <v>304</v>
      </c>
    </row>
    <row r="40" spans="1:13" ht="62.1" customHeight="1">
      <c r="A40" s="10" t="s">
        <v>55</v>
      </c>
      <c r="B40" s="8" t="s">
        <v>240</v>
      </c>
      <c r="C40" s="8" t="s">
        <v>242</v>
      </c>
      <c r="D40" s="8" t="s">
        <v>297</v>
      </c>
      <c r="E40" s="5" t="str">
        <f>IF(C40="","",IFERROR(IF(INDEX('Objetivos y procesos'!$E$6:$E$35,MATCH(C40,'Objetivos y procesos'!$C$6:$C$35,0))="","",INDEX('Objetivos y procesos'!$E$6:$E$35,MATCH(C40,'Objetivos y procesos'!$C$6:$C$35,0))),"ID no encontrado"))</f>
        <v>Gestión comercial, cotizaciones y órdenes de venta</v>
      </c>
      <c r="F40" s="4" t="s">
        <v>410</v>
      </c>
      <c r="G40" s="4" t="s">
        <v>411</v>
      </c>
      <c r="H40" s="4" t="s">
        <v>336</v>
      </c>
      <c r="I40" s="8" t="s">
        <v>301</v>
      </c>
      <c r="J40" s="4" t="s">
        <v>412</v>
      </c>
      <c r="K40" s="8" t="s">
        <v>303</v>
      </c>
      <c r="L40" s="4" t="s">
        <v>245</v>
      </c>
      <c r="M40" s="4" t="s">
        <v>304</v>
      </c>
    </row>
    <row r="41" spans="1:13" ht="116.1" customHeight="1">
      <c r="A41" s="10" t="s">
        <v>58</v>
      </c>
      <c r="B41" s="8" t="s">
        <v>227</v>
      </c>
      <c r="C41" s="8" t="s">
        <v>229</v>
      </c>
      <c r="D41" s="8" t="s">
        <v>297</v>
      </c>
      <c r="E41" s="5" t="str">
        <f>IF(C41="","",IFERROR(IF(INDEX('Objetivos y procesos'!$E$6:$E$35,MATCH(C41,'Objetivos y procesos'!$C$6:$C$35,0))="","",INDEX('Objetivos y procesos'!$E$6:$E$35,MATCH(C41,'Objetivos y procesos'!$C$6:$C$35,0))),"ID no encontrado"))</f>
        <v>Gestión de usuarios, roles y permisos</v>
      </c>
      <c r="F41" s="4" t="s">
        <v>413</v>
      </c>
      <c r="G41" s="4" t="s">
        <v>414</v>
      </c>
      <c r="H41" s="4" t="s">
        <v>300</v>
      </c>
      <c r="I41" s="8" t="s">
        <v>301</v>
      </c>
      <c r="J41" s="4" t="s">
        <v>415</v>
      </c>
      <c r="K41" s="8" t="s">
        <v>303</v>
      </c>
      <c r="L41" s="4" t="s">
        <v>232</v>
      </c>
      <c r="M41" s="4" t="s">
        <v>304</v>
      </c>
    </row>
    <row r="42" spans="1:13" ht="89.1" customHeight="1">
      <c r="A42" s="10" t="s">
        <v>106</v>
      </c>
      <c r="B42" s="8" t="s">
        <v>240</v>
      </c>
      <c r="C42" s="8" t="s">
        <v>242</v>
      </c>
      <c r="D42" s="8" t="s">
        <v>297</v>
      </c>
      <c r="E42" s="5" t="str">
        <f>IF(C42="","",IFERROR(IF(INDEX('Objetivos y procesos'!$E$6:$E$35,MATCH(C42,'Objetivos y procesos'!$C$6:$C$35,0))="","",INDEX('Objetivos y procesos'!$E$6:$E$35,MATCH(C42,'Objetivos y procesos'!$C$6:$C$35,0))),"ID no encontrado"))</f>
        <v>Gestión comercial, cotizaciones y órdenes de venta</v>
      </c>
      <c r="F42" s="4" t="s">
        <v>416</v>
      </c>
      <c r="G42" s="4" t="s">
        <v>417</v>
      </c>
      <c r="H42" s="4" t="s">
        <v>336</v>
      </c>
      <c r="I42" s="8" t="s">
        <v>301</v>
      </c>
      <c r="J42" s="4" t="s">
        <v>418</v>
      </c>
      <c r="K42" s="8" t="s">
        <v>303</v>
      </c>
      <c r="L42" s="4" t="s">
        <v>245</v>
      </c>
      <c r="M42" s="4" t="s">
        <v>304</v>
      </c>
    </row>
    <row r="43" spans="1:13" ht="89.1" customHeight="1">
      <c r="A43" s="10" t="s">
        <v>68</v>
      </c>
      <c r="B43" s="8" t="s">
        <v>234</v>
      </c>
      <c r="C43" s="8" t="s">
        <v>236</v>
      </c>
      <c r="D43" s="8" t="s">
        <v>297</v>
      </c>
      <c r="E43" s="5" t="str">
        <f>IF(C43="","",IFERROR(IF(INDEX('Objetivos y procesos'!$E$6:$E$35,MATCH(C43,'Objetivos y procesos'!$C$6:$C$35,0))="","",INDEX('Objetivos y procesos'!$E$6:$E$35,MATCH(C43,'Objetivos y procesos'!$C$6:$C$35,0))),"ID no encontrado"))</f>
        <v>Solicitudes y autorizaciones</v>
      </c>
      <c r="F43" s="4" t="s">
        <v>419</v>
      </c>
      <c r="G43" s="4" t="s">
        <v>420</v>
      </c>
      <c r="H43" s="4" t="s">
        <v>320</v>
      </c>
      <c r="I43" s="8" t="s">
        <v>301</v>
      </c>
      <c r="J43" s="4" t="s">
        <v>421</v>
      </c>
      <c r="K43" s="8" t="s">
        <v>303</v>
      </c>
      <c r="L43" s="4" t="s">
        <v>239</v>
      </c>
      <c r="M43" s="4" t="s">
        <v>304</v>
      </c>
    </row>
  </sheetData>
  <mergeCells count="2">
    <mergeCell ref="A4:M4"/>
    <mergeCell ref="A2:M2"/>
  </mergeCells>
  <dataValidations count="3">
    <dataValidation type="list" sqref="D6:D43" xr:uid="{00000000-0002-0000-0200-000002000000}">
      <formula1>"Funcional,No funcional,Regla de negocio,Integración,Datos"</formula1>
    </dataValidation>
    <dataValidation type="list" sqref="I6:I43" xr:uid="{00000000-0002-0000-0200-000003000000}">
      <formula1>"Crítica,Alta,Media,Baja"</formula1>
    </dataValidation>
    <dataValidation type="list" sqref="K6:K43" xr:uid="{00000000-0002-0000-0200-000004000000}">
      <formula1>"Propuesto,En análisis,Aprobado,En desarrollo,Implementado,Descartado"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'Objetivos y procesos'!$A$6:$A$35</xm:f>
          </x14:formula1>
          <xm:sqref>B6:B43</xm:sqref>
        </x14:dataValidation>
        <x14:dataValidation type="list" xr:uid="{00000000-0002-0000-0200-000001000000}">
          <x14:formula1>
            <xm:f>'Objetivos y procesos'!$C$6:$C$35</xm:f>
          </x14:formula1>
          <xm:sqref>C6:C43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C4D6"/>
  </sheetPr>
  <dimension ref="A2:P8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9" defaultRowHeight="14.25"/>
  <cols>
    <col min="1" max="1" width="12" customWidth="1"/>
    <col min="2" max="2" width="11" customWidth="1"/>
    <col min="3" max="3" width="16" customWidth="1"/>
    <col min="4" max="4" width="11" customWidth="1"/>
    <col min="5" max="5" width="22" customWidth="1"/>
    <col min="6" max="6" width="24" customWidth="1"/>
    <col min="7" max="7" width="19" customWidth="1"/>
    <col min="8" max="9" width="28" customWidth="1"/>
    <col min="10" max="10" width="42" customWidth="1"/>
    <col min="11" max="11" width="38" customWidth="1"/>
    <col min="12" max="13" width="12" customWidth="1"/>
    <col min="14" max="14" width="11" customWidth="1"/>
    <col min="15" max="15" width="16" customWidth="1"/>
    <col min="16" max="16" width="20" customWidth="1"/>
  </cols>
  <sheetData>
    <row r="2" spans="1:16" ht="27.95" customHeight="1">
      <c r="A2" s="16" t="s">
        <v>422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27.95" customHeight="1">
      <c r="A4" s="18" t="s">
        <v>423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38.1" customHeight="1">
      <c r="A5" s="3" t="s">
        <v>18</v>
      </c>
      <c r="B5" s="3" t="s">
        <v>16</v>
      </c>
      <c r="C5" s="3" t="s">
        <v>14</v>
      </c>
      <c r="D5" s="3" t="s">
        <v>424</v>
      </c>
      <c r="E5" s="3" t="s">
        <v>425</v>
      </c>
      <c r="F5" s="3" t="s">
        <v>426</v>
      </c>
      <c r="G5" s="3" t="s">
        <v>427</v>
      </c>
      <c r="H5" s="3" t="s">
        <v>428</v>
      </c>
      <c r="I5" s="3" t="s">
        <v>429</v>
      </c>
      <c r="J5" s="3" t="s">
        <v>430</v>
      </c>
      <c r="K5" s="3" t="s">
        <v>19</v>
      </c>
      <c r="L5" s="3" t="s">
        <v>294</v>
      </c>
      <c r="M5" s="3" t="s">
        <v>431</v>
      </c>
      <c r="N5" s="3" t="s">
        <v>432</v>
      </c>
      <c r="O5" s="3" t="s">
        <v>226</v>
      </c>
      <c r="P5" s="3" t="s">
        <v>225</v>
      </c>
    </row>
    <row r="6" spans="1:16" ht="62.1" customHeight="1">
      <c r="A6" s="10" t="s">
        <v>27</v>
      </c>
      <c r="B6" s="10" t="s">
        <v>433</v>
      </c>
      <c r="C6" s="8" t="s">
        <v>26</v>
      </c>
      <c r="D6" s="8" t="s">
        <v>434</v>
      </c>
      <c r="E6" s="4" t="s">
        <v>435</v>
      </c>
      <c r="F6" s="4" t="s">
        <v>436</v>
      </c>
      <c r="G6" s="11" t="s">
        <v>437</v>
      </c>
      <c r="H6" s="11" t="s">
        <v>438</v>
      </c>
      <c r="I6" s="11" t="s">
        <v>439</v>
      </c>
      <c r="J6" s="12" t="str">
        <f t="shared" ref="J6:J37" si="0">IF(OR(G6="",H6="",I6=""),"","Como "&amp;G6&amp;", quiero "&amp;H6&amp;", para "&amp;I6)</f>
        <v>Como usuario habilitado, quiero iniciar sesión de forma segura y mantener una sesión controlada, para acceder únicamente a las funciones autorizadas</v>
      </c>
      <c r="K6" s="11" t="s">
        <v>440</v>
      </c>
      <c r="L6" s="8" t="s">
        <v>301</v>
      </c>
      <c r="M6" s="8">
        <v>5</v>
      </c>
      <c r="N6" s="8" t="s">
        <v>441</v>
      </c>
      <c r="O6" s="8" t="s">
        <v>442</v>
      </c>
      <c r="P6" s="4" t="s">
        <v>232</v>
      </c>
    </row>
    <row r="7" spans="1:16" ht="62.1" customHeight="1">
      <c r="A7" s="10" t="s">
        <v>29</v>
      </c>
      <c r="B7" s="10" t="s">
        <v>433</v>
      </c>
      <c r="C7" s="8" t="s">
        <v>26</v>
      </c>
      <c r="D7" s="8" t="s">
        <v>434</v>
      </c>
      <c r="E7" s="4" t="s">
        <v>435</v>
      </c>
      <c r="F7" s="4" t="s">
        <v>436</v>
      </c>
      <c r="G7" s="11" t="s">
        <v>437</v>
      </c>
      <c r="H7" s="11" t="s">
        <v>438</v>
      </c>
      <c r="I7" s="11" t="s">
        <v>439</v>
      </c>
      <c r="J7" s="12" t="str">
        <f t="shared" si="0"/>
        <v>Como usuario habilitado, quiero iniciar sesión de forma segura y mantener una sesión controlada, para acceder únicamente a las funciones autorizadas</v>
      </c>
      <c r="K7" s="11" t="s">
        <v>443</v>
      </c>
      <c r="L7" s="8" t="s">
        <v>301</v>
      </c>
      <c r="M7" s="8">
        <v>5</v>
      </c>
      <c r="N7" s="8" t="s">
        <v>441</v>
      </c>
      <c r="O7" s="8" t="s">
        <v>442</v>
      </c>
      <c r="P7" s="4" t="s">
        <v>232</v>
      </c>
    </row>
    <row r="8" spans="1:16" ht="62.1" customHeight="1">
      <c r="A8" s="10" t="s">
        <v>31</v>
      </c>
      <c r="B8" s="10" t="s">
        <v>433</v>
      </c>
      <c r="C8" s="8" t="s">
        <v>26</v>
      </c>
      <c r="D8" s="8" t="s">
        <v>434</v>
      </c>
      <c r="E8" s="4" t="s">
        <v>435</v>
      </c>
      <c r="F8" s="4" t="s">
        <v>436</v>
      </c>
      <c r="G8" s="11" t="s">
        <v>437</v>
      </c>
      <c r="H8" s="11" t="s">
        <v>438</v>
      </c>
      <c r="I8" s="11" t="s">
        <v>439</v>
      </c>
      <c r="J8" s="12" t="str">
        <f t="shared" si="0"/>
        <v>Como usuario habilitado, quiero iniciar sesión de forma segura y mantener una sesión controlada, para acceder únicamente a las funciones autorizadas</v>
      </c>
      <c r="K8" s="11" t="s">
        <v>444</v>
      </c>
      <c r="L8" s="8" t="s">
        <v>301</v>
      </c>
      <c r="M8" s="8">
        <v>5</v>
      </c>
      <c r="N8" s="8" t="s">
        <v>441</v>
      </c>
      <c r="O8" s="8" t="s">
        <v>442</v>
      </c>
      <c r="P8" s="4" t="s">
        <v>232</v>
      </c>
    </row>
    <row r="9" spans="1:16" ht="62.1" customHeight="1">
      <c r="A9" s="10" t="s">
        <v>34</v>
      </c>
      <c r="B9" s="10" t="s">
        <v>445</v>
      </c>
      <c r="C9" s="8" t="s">
        <v>33</v>
      </c>
      <c r="D9" s="8" t="s">
        <v>434</v>
      </c>
      <c r="E9" s="4" t="s">
        <v>311</v>
      </c>
      <c r="F9" s="4" t="s">
        <v>446</v>
      </c>
      <c r="G9" s="11" t="s">
        <v>447</v>
      </c>
      <c r="H9" s="11" t="s">
        <v>448</v>
      </c>
      <c r="I9" s="11" t="s">
        <v>449</v>
      </c>
      <c r="J9" s="12" t="str">
        <f t="shared" si="0"/>
        <v>Como administrador, quiero crear, editar, desactivar y reactivar usuarios asignándoles área, cargo y rol, para mantener los accesos alineados con las responsabilidades de cada trabajador</v>
      </c>
      <c r="K9" s="11" t="s">
        <v>450</v>
      </c>
      <c r="L9" s="8" t="s">
        <v>301</v>
      </c>
      <c r="M9" s="8">
        <v>8</v>
      </c>
      <c r="N9" s="8" t="s">
        <v>441</v>
      </c>
      <c r="O9" s="8" t="s">
        <v>442</v>
      </c>
      <c r="P9" s="4" t="s">
        <v>232</v>
      </c>
    </row>
    <row r="10" spans="1:16" ht="62.1" customHeight="1">
      <c r="A10" s="10" t="s">
        <v>37</v>
      </c>
      <c r="B10" s="10" t="s">
        <v>445</v>
      </c>
      <c r="C10" s="8" t="s">
        <v>36</v>
      </c>
      <c r="D10" s="8" t="s">
        <v>434</v>
      </c>
      <c r="E10" s="4" t="s">
        <v>311</v>
      </c>
      <c r="F10" s="4" t="s">
        <v>446</v>
      </c>
      <c r="G10" s="11" t="s">
        <v>447</v>
      </c>
      <c r="H10" s="11" t="s">
        <v>448</v>
      </c>
      <c r="I10" s="11" t="s">
        <v>449</v>
      </c>
      <c r="J10" s="12" t="str">
        <f t="shared" si="0"/>
        <v>Como administrador, quiero crear, editar, desactivar y reactivar usuarios asignándoles área, cargo y rol, para mantener los accesos alineados con las responsabilidades de cada trabajador</v>
      </c>
      <c r="K10" s="11" t="s">
        <v>451</v>
      </c>
      <c r="L10" s="8" t="s">
        <v>301</v>
      </c>
      <c r="M10" s="8">
        <v>8</v>
      </c>
      <c r="N10" s="8" t="s">
        <v>441</v>
      </c>
      <c r="O10" s="8" t="s">
        <v>442</v>
      </c>
      <c r="P10" s="4" t="s">
        <v>232</v>
      </c>
    </row>
    <row r="11" spans="1:16" ht="62.1" customHeight="1">
      <c r="A11" s="10" t="s">
        <v>39</v>
      </c>
      <c r="B11" s="10" t="s">
        <v>445</v>
      </c>
      <c r="C11" s="8" t="s">
        <v>36</v>
      </c>
      <c r="D11" s="8" t="s">
        <v>434</v>
      </c>
      <c r="E11" s="4" t="s">
        <v>311</v>
      </c>
      <c r="F11" s="4" t="s">
        <v>446</v>
      </c>
      <c r="G11" s="11" t="s">
        <v>447</v>
      </c>
      <c r="H11" s="11" t="s">
        <v>448</v>
      </c>
      <c r="I11" s="11" t="s">
        <v>449</v>
      </c>
      <c r="J11" s="12" t="str">
        <f t="shared" si="0"/>
        <v>Como administrador, quiero crear, editar, desactivar y reactivar usuarios asignándoles área, cargo y rol, para mantener los accesos alineados con las responsabilidades de cada trabajador</v>
      </c>
      <c r="K11" s="11" t="s">
        <v>452</v>
      </c>
      <c r="L11" s="8" t="s">
        <v>301</v>
      </c>
      <c r="M11" s="8">
        <v>8</v>
      </c>
      <c r="N11" s="8" t="s">
        <v>441</v>
      </c>
      <c r="O11" s="8" t="s">
        <v>442</v>
      </c>
      <c r="P11" s="4" t="s">
        <v>232</v>
      </c>
    </row>
    <row r="12" spans="1:16" ht="75.599999999999994" customHeight="1">
      <c r="A12" s="10" t="s">
        <v>42</v>
      </c>
      <c r="B12" s="10" t="s">
        <v>453</v>
      </c>
      <c r="C12" s="8" t="s">
        <v>41</v>
      </c>
      <c r="D12" s="8" t="s">
        <v>434</v>
      </c>
      <c r="E12" s="4" t="s">
        <v>454</v>
      </c>
      <c r="F12" s="4" t="s">
        <v>455</v>
      </c>
      <c r="G12" s="11" t="s">
        <v>447</v>
      </c>
      <c r="H12" s="11" t="s">
        <v>456</v>
      </c>
      <c r="I12" s="11" t="s">
        <v>457</v>
      </c>
      <c r="J12" s="12" t="str">
        <f t="shared" si="0"/>
        <v>Como administrador, quiero definir permisos por rol, área y cargo, además de grupos autorizadores por tipo de solicitud, para controlar qué funciones, datos y decisiones corresponden a cada usuario</v>
      </c>
      <c r="K12" s="11" t="s">
        <v>458</v>
      </c>
      <c r="L12" s="8" t="s">
        <v>301</v>
      </c>
      <c r="M12" s="8">
        <v>8</v>
      </c>
      <c r="N12" s="8" t="s">
        <v>441</v>
      </c>
      <c r="O12" s="8" t="s">
        <v>442</v>
      </c>
      <c r="P12" s="4" t="s">
        <v>232</v>
      </c>
    </row>
    <row r="13" spans="1:16" ht="75.599999999999994" customHeight="1">
      <c r="A13" s="10" t="s">
        <v>44</v>
      </c>
      <c r="B13" s="10" t="s">
        <v>453</v>
      </c>
      <c r="C13" s="8" t="s">
        <v>41</v>
      </c>
      <c r="D13" s="8" t="s">
        <v>434</v>
      </c>
      <c r="E13" s="4" t="s">
        <v>454</v>
      </c>
      <c r="F13" s="4" t="s">
        <v>455</v>
      </c>
      <c r="G13" s="11" t="s">
        <v>447</v>
      </c>
      <c r="H13" s="11" t="s">
        <v>456</v>
      </c>
      <c r="I13" s="11" t="s">
        <v>457</v>
      </c>
      <c r="J13" s="12" t="str">
        <f t="shared" si="0"/>
        <v>Como administrador, quiero definir permisos por rol, área y cargo, además de grupos autorizadores por tipo de solicitud, para controlar qué funciones, datos y decisiones corresponden a cada usuario</v>
      </c>
      <c r="K13" s="11" t="s">
        <v>459</v>
      </c>
      <c r="L13" s="8" t="s">
        <v>301</v>
      </c>
      <c r="M13" s="8">
        <v>8</v>
      </c>
      <c r="N13" s="8" t="s">
        <v>441</v>
      </c>
      <c r="O13" s="8" t="s">
        <v>442</v>
      </c>
      <c r="P13" s="4" t="s">
        <v>232</v>
      </c>
    </row>
    <row r="14" spans="1:16" ht="75.599999999999994" customHeight="1">
      <c r="A14" s="10" t="s">
        <v>47</v>
      </c>
      <c r="B14" s="10" t="s">
        <v>453</v>
      </c>
      <c r="C14" s="8" t="s">
        <v>46</v>
      </c>
      <c r="D14" s="8" t="s">
        <v>434</v>
      </c>
      <c r="E14" s="4" t="s">
        <v>454</v>
      </c>
      <c r="F14" s="4" t="s">
        <v>455</v>
      </c>
      <c r="G14" s="11" t="s">
        <v>447</v>
      </c>
      <c r="H14" s="11" t="s">
        <v>456</v>
      </c>
      <c r="I14" s="11" t="s">
        <v>457</v>
      </c>
      <c r="J14" s="12" t="str">
        <f t="shared" si="0"/>
        <v>Como administrador, quiero definir permisos por rol, área y cargo, además de grupos autorizadores por tipo de solicitud, para controlar qué funciones, datos y decisiones corresponden a cada usuario</v>
      </c>
      <c r="K14" s="11" t="s">
        <v>460</v>
      </c>
      <c r="L14" s="8" t="s">
        <v>301</v>
      </c>
      <c r="M14" s="8">
        <v>8</v>
      </c>
      <c r="N14" s="8" t="s">
        <v>441</v>
      </c>
      <c r="O14" s="8" t="s">
        <v>442</v>
      </c>
      <c r="P14" s="4" t="s">
        <v>232</v>
      </c>
    </row>
    <row r="15" spans="1:16" ht="75.599999999999994" customHeight="1">
      <c r="A15" s="10" t="s">
        <v>50</v>
      </c>
      <c r="B15" s="10" t="s">
        <v>453</v>
      </c>
      <c r="C15" s="8" t="s">
        <v>49</v>
      </c>
      <c r="D15" s="8" t="s">
        <v>434</v>
      </c>
      <c r="E15" s="4" t="s">
        <v>454</v>
      </c>
      <c r="F15" s="4" t="s">
        <v>455</v>
      </c>
      <c r="G15" s="11" t="s">
        <v>447</v>
      </c>
      <c r="H15" s="11" t="s">
        <v>456</v>
      </c>
      <c r="I15" s="11" t="s">
        <v>457</v>
      </c>
      <c r="J15" s="12" t="str">
        <f t="shared" si="0"/>
        <v>Como administrador, quiero definir permisos por rol, área y cargo, además de grupos autorizadores por tipo de solicitud, para controlar qué funciones, datos y decisiones corresponden a cada usuario</v>
      </c>
      <c r="K15" s="11" t="s">
        <v>461</v>
      </c>
      <c r="L15" s="8" t="s">
        <v>301</v>
      </c>
      <c r="M15" s="8">
        <v>8</v>
      </c>
      <c r="N15" s="8" t="s">
        <v>441</v>
      </c>
      <c r="O15" s="8" t="s">
        <v>442</v>
      </c>
      <c r="P15" s="4" t="s">
        <v>232</v>
      </c>
    </row>
    <row r="16" spans="1:16" ht="62.1" customHeight="1">
      <c r="A16" s="10" t="s">
        <v>53</v>
      </c>
      <c r="B16" s="10" t="s">
        <v>462</v>
      </c>
      <c r="C16" s="8" t="s">
        <v>52</v>
      </c>
      <c r="D16" s="8" t="s">
        <v>434</v>
      </c>
      <c r="E16" s="4" t="s">
        <v>463</v>
      </c>
      <c r="F16" s="4" t="s">
        <v>464</v>
      </c>
      <c r="G16" s="11" t="s">
        <v>447</v>
      </c>
      <c r="H16" s="11" t="s">
        <v>465</v>
      </c>
      <c r="I16" s="11" t="s">
        <v>466</v>
      </c>
      <c r="J16" s="12" t="str">
        <f t="shared" si="0"/>
        <v>Como administrador, quiero asociar SlpCode y escala de comisión por empresa a vendedores y asistentes, para asegurar que cada operación use la empresa y el vendedor correctos</v>
      </c>
      <c r="K16" s="11" t="s">
        <v>467</v>
      </c>
      <c r="L16" s="8" t="s">
        <v>301</v>
      </c>
      <c r="M16" s="8">
        <v>8</v>
      </c>
      <c r="N16" s="8" t="s">
        <v>441</v>
      </c>
      <c r="O16" s="8" t="s">
        <v>442</v>
      </c>
      <c r="P16" s="4" t="s">
        <v>232</v>
      </c>
    </row>
    <row r="17" spans="1:16" ht="62.1" customHeight="1">
      <c r="A17" s="10" t="s">
        <v>56</v>
      </c>
      <c r="B17" s="10" t="s">
        <v>462</v>
      </c>
      <c r="C17" s="8" t="s">
        <v>55</v>
      </c>
      <c r="D17" s="8" t="s">
        <v>434</v>
      </c>
      <c r="E17" s="4" t="s">
        <v>463</v>
      </c>
      <c r="F17" s="4" t="s">
        <v>464</v>
      </c>
      <c r="G17" s="11" t="s">
        <v>447</v>
      </c>
      <c r="H17" s="11" t="s">
        <v>465</v>
      </c>
      <c r="I17" s="11" t="s">
        <v>466</v>
      </c>
      <c r="J17" s="12" t="str">
        <f t="shared" si="0"/>
        <v>Como administrador, quiero asociar SlpCode y escala de comisión por empresa a vendedores y asistentes, para asegurar que cada operación use la empresa y el vendedor correctos</v>
      </c>
      <c r="K17" s="11" t="s">
        <v>468</v>
      </c>
      <c r="L17" s="8" t="s">
        <v>301</v>
      </c>
      <c r="M17" s="8">
        <v>8</v>
      </c>
      <c r="N17" s="8" t="s">
        <v>441</v>
      </c>
      <c r="O17" s="8" t="s">
        <v>442</v>
      </c>
      <c r="P17" s="4" t="s">
        <v>232</v>
      </c>
    </row>
    <row r="18" spans="1:16" ht="62.1" customHeight="1">
      <c r="A18" s="10" t="s">
        <v>59</v>
      </c>
      <c r="B18" s="10" t="s">
        <v>462</v>
      </c>
      <c r="C18" s="8" t="s">
        <v>58</v>
      </c>
      <c r="D18" s="8" t="s">
        <v>434</v>
      </c>
      <c r="E18" s="4" t="s">
        <v>463</v>
      </c>
      <c r="F18" s="4" t="s">
        <v>464</v>
      </c>
      <c r="G18" s="11" t="s">
        <v>447</v>
      </c>
      <c r="H18" s="11" t="s">
        <v>465</v>
      </c>
      <c r="I18" s="11" t="s">
        <v>466</v>
      </c>
      <c r="J18" s="12" t="str">
        <f t="shared" si="0"/>
        <v>Como administrador, quiero asociar SlpCode y escala de comisión por empresa a vendedores y asistentes, para asegurar que cada operación use la empresa y el vendedor correctos</v>
      </c>
      <c r="K18" s="11" t="s">
        <v>469</v>
      </c>
      <c r="L18" s="8" t="s">
        <v>301</v>
      </c>
      <c r="M18" s="8">
        <v>8</v>
      </c>
      <c r="N18" s="8" t="s">
        <v>441</v>
      </c>
      <c r="O18" s="8" t="s">
        <v>442</v>
      </c>
      <c r="P18" s="4" t="s">
        <v>232</v>
      </c>
    </row>
    <row r="19" spans="1:16" ht="62.1" customHeight="1">
      <c r="A19" s="10" t="s">
        <v>61</v>
      </c>
      <c r="B19" s="10" t="s">
        <v>462</v>
      </c>
      <c r="C19" s="8" t="s">
        <v>58</v>
      </c>
      <c r="D19" s="8" t="s">
        <v>434</v>
      </c>
      <c r="E19" s="4" t="s">
        <v>463</v>
      </c>
      <c r="F19" s="4" t="s">
        <v>464</v>
      </c>
      <c r="G19" s="11" t="s">
        <v>447</v>
      </c>
      <c r="H19" s="11" t="s">
        <v>465</v>
      </c>
      <c r="I19" s="11" t="s">
        <v>466</v>
      </c>
      <c r="J19" s="12" t="str">
        <f t="shared" si="0"/>
        <v>Como administrador, quiero asociar SlpCode y escala de comisión por empresa a vendedores y asistentes, para asegurar que cada operación use la empresa y el vendedor correctos</v>
      </c>
      <c r="K19" s="11" t="s">
        <v>470</v>
      </c>
      <c r="L19" s="8" t="s">
        <v>301</v>
      </c>
      <c r="M19" s="8">
        <v>8</v>
      </c>
      <c r="N19" s="8" t="s">
        <v>441</v>
      </c>
      <c r="O19" s="8" t="s">
        <v>442</v>
      </c>
      <c r="P19" s="4" t="s">
        <v>232</v>
      </c>
    </row>
    <row r="20" spans="1:16" ht="62.1" customHeight="1">
      <c r="A20" s="10" t="s">
        <v>64</v>
      </c>
      <c r="B20" s="10" t="s">
        <v>471</v>
      </c>
      <c r="C20" s="8" t="s">
        <v>63</v>
      </c>
      <c r="D20" s="8" t="s">
        <v>472</v>
      </c>
      <c r="E20" s="4" t="s">
        <v>473</v>
      </c>
      <c r="F20" s="4" t="s">
        <v>474</v>
      </c>
      <c r="G20" s="11" t="s">
        <v>475</v>
      </c>
      <c r="H20" s="11" t="s">
        <v>476</v>
      </c>
      <c r="I20" s="11" t="s">
        <v>477</v>
      </c>
      <c r="J20" s="12" t="str">
        <f t="shared" si="0"/>
        <v>Como vendedor autorizado, quiero crear solicitudes de creación, activación o modificación de artículos con sus respaldos, para enviar información completa al grupo autorizador correspondiente</v>
      </c>
      <c r="K20" s="11" t="s">
        <v>478</v>
      </c>
      <c r="L20" s="8" t="s">
        <v>301</v>
      </c>
      <c r="M20" s="8">
        <v>8</v>
      </c>
      <c r="N20" s="8" t="s">
        <v>479</v>
      </c>
      <c r="O20" s="8" t="s">
        <v>442</v>
      </c>
      <c r="P20" s="4" t="s">
        <v>239</v>
      </c>
    </row>
    <row r="21" spans="1:16" ht="62.1" customHeight="1">
      <c r="A21" s="10" t="s">
        <v>66</v>
      </c>
      <c r="B21" s="10" t="s">
        <v>471</v>
      </c>
      <c r="C21" s="8" t="s">
        <v>63</v>
      </c>
      <c r="D21" s="8" t="s">
        <v>472</v>
      </c>
      <c r="E21" s="4" t="s">
        <v>473</v>
      </c>
      <c r="F21" s="4" t="s">
        <v>474</v>
      </c>
      <c r="G21" s="11" t="s">
        <v>475</v>
      </c>
      <c r="H21" s="11" t="s">
        <v>476</v>
      </c>
      <c r="I21" s="11" t="s">
        <v>477</v>
      </c>
      <c r="J21" s="12" t="str">
        <f t="shared" si="0"/>
        <v>Como vendedor autorizado, quiero crear solicitudes de creación, activación o modificación de artículos con sus respaldos, para enviar información completa al grupo autorizador correspondiente</v>
      </c>
      <c r="K21" s="11" t="s">
        <v>480</v>
      </c>
      <c r="L21" s="8" t="s">
        <v>301</v>
      </c>
      <c r="M21" s="8">
        <v>8</v>
      </c>
      <c r="N21" s="8" t="s">
        <v>479</v>
      </c>
      <c r="O21" s="8" t="s">
        <v>442</v>
      </c>
      <c r="P21" s="4" t="s">
        <v>239</v>
      </c>
    </row>
    <row r="22" spans="1:16" ht="62.1" customHeight="1">
      <c r="A22" s="10" t="s">
        <v>69</v>
      </c>
      <c r="B22" s="10" t="s">
        <v>471</v>
      </c>
      <c r="C22" s="8" t="s">
        <v>68</v>
      </c>
      <c r="D22" s="8" t="s">
        <v>472</v>
      </c>
      <c r="E22" s="4" t="s">
        <v>473</v>
      </c>
      <c r="F22" s="4" t="s">
        <v>474</v>
      </c>
      <c r="G22" s="11" t="s">
        <v>475</v>
      </c>
      <c r="H22" s="11" t="s">
        <v>476</v>
      </c>
      <c r="I22" s="11" t="s">
        <v>477</v>
      </c>
      <c r="J22" s="12" t="str">
        <f t="shared" si="0"/>
        <v>Como vendedor autorizado, quiero crear solicitudes de creación, activación o modificación de artículos con sus respaldos, para enviar información completa al grupo autorizador correspondiente</v>
      </c>
      <c r="K22" s="11" t="s">
        <v>481</v>
      </c>
      <c r="L22" s="8" t="s">
        <v>301</v>
      </c>
      <c r="M22" s="8">
        <v>8</v>
      </c>
      <c r="N22" s="8" t="s">
        <v>479</v>
      </c>
      <c r="O22" s="8" t="s">
        <v>442</v>
      </c>
      <c r="P22" s="4" t="s">
        <v>239</v>
      </c>
    </row>
    <row r="23" spans="1:16" ht="62.1" customHeight="1">
      <c r="A23" s="10" t="s">
        <v>71</v>
      </c>
      <c r="B23" s="10" t="s">
        <v>471</v>
      </c>
      <c r="C23" s="8" t="s">
        <v>63</v>
      </c>
      <c r="D23" s="8" t="s">
        <v>472</v>
      </c>
      <c r="E23" s="4" t="s">
        <v>473</v>
      </c>
      <c r="F23" s="4" t="s">
        <v>474</v>
      </c>
      <c r="G23" s="11" t="s">
        <v>475</v>
      </c>
      <c r="H23" s="11" t="s">
        <v>476</v>
      </c>
      <c r="I23" s="11" t="s">
        <v>477</v>
      </c>
      <c r="J23" s="12" t="str">
        <f t="shared" si="0"/>
        <v>Como vendedor autorizado, quiero crear solicitudes de creación, activación o modificación de artículos con sus respaldos, para enviar información completa al grupo autorizador correspondiente</v>
      </c>
      <c r="K23" s="11" t="s">
        <v>482</v>
      </c>
      <c r="L23" s="8" t="s">
        <v>301</v>
      </c>
      <c r="M23" s="8">
        <v>8</v>
      </c>
      <c r="N23" s="8" t="s">
        <v>479</v>
      </c>
      <c r="O23" s="8" t="s">
        <v>442</v>
      </c>
      <c r="P23" s="4" t="s">
        <v>239</v>
      </c>
    </row>
    <row r="24" spans="1:16" ht="57.95" customHeight="1">
      <c r="A24" s="10" t="s">
        <v>74</v>
      </c>
      <c r="B24" s="10" t="s">
        <v>483</v>
      </c>
      <c r="C24" s="8" t="s">
        <v>73</v>
      </c>
      <c r="D24" s="8" t="s">
        <v>472</v>
      </c>
      <c r="E24" s="4" t="s">
        <v>484</v>
      </c>
      <c r="F24" s="4" t="s">
        <v>485</v>
      </c>
      <c r="G24" s="11" t="s">
        <v>486</v>
      </c>
      <c r="H24" s="11" t="s">
        <v>487</v>
      </c>
      <c r="I24" s="11" t="s">
        <v>488</v>
      </c>
      <c r="J24" s="12" t="str">
        <f t="shared" si="0"/>
        <v>Como autorizador, quiero tomar una solicitud de la bandeja y aprobarla o rechazarla, para resolverla con un responsable y una decisión trazable</v>
      </c>
      <c r="K24" s="11" t="s">
        <v>489</v>
      </c>
      <c r="L24" s="8" t="s">
        <v>301</v>
      </c>
      <c r="M24" s="8">
        <v>5</v>
      </c>
      <c r="N24" s="8" t="s">
        <v>479</v>
      </c>
      <c r="O24" s="8" t="s">
        <v>442</v>
      </c>
      <c r="P24" s="4" t="s">
        <v>239</v>
      </c>
    </row>
    <row r="25" spans="1:16" ht="57.95" customHeight="1">
      <c r="A25" s="10" t="s">
        <v>76</v>
      </c>
      <c r="B25" s="10" t="s">
        <v>483</v>
      </c>
      <c r="C25" s="8" t="s">
        <v>73</v>
      </c>
      <c r="D25" s="8" t="s">
        <v>472</v>
      </c>
      <c r="E25" s="4" t="s">
        <v>484</v>
      </c>
      <c r="F25" s="4" t="s">
        <v>485</v>
      </c>
      <c r="G25" s="11" t="s">
        <v>486</v>
      </c>
      <c r="H25" s="11" t="s">
        <v>487</v>
      </c>
      <c r="I25" s="11" t="s">
        <v>488</v>
      </c>
      <c r="J25" s="12" t="str">
        <f t="shared" si="0"/>
        <v>Como autorizador, quiero tomar una solicitud de la bandeja y aprobarla o rechazarla, para resolverla con un responsable y una decisión trazable</v>
      </c>
      <c r="K25" s="11" t="s">
        <v>490</v>
      </c>
      <c r="L25" s="8" t="s">
        <v>301</v>
      </c>
      <c r="M25" s="8">
        <v>5</v>
      </c>
      <c r="N25" s="8" t="s">
        <v>479</v>
      </c>
      <c r="O25" s="8" t="s">
        <v>442</v>
      </c>
      <c r="P25" s="4" t="s">
        <v>239</v>
      </c>
    </row>
    <row r="26" spans="1:16" ht="57.95" customHeight="1">
      <c r="A26" s="10" t="s">
        <v>78</v>
      </c>
      <c r="B26" s="10" t="s">
        <v>483</v>
      </c>
      <c r="C26" s="8" t="s">
        <v>73</v>
      </c>
      <c r="D26" s="8" t="s">
        <v>472</v>
      </c>
      <c r="E26" s="4" t="s">
        <v>484</v>
      </c>
      <c r="F26" s="4" t="s">
        <v>485</v>
      </c>
      <c r="G26" s="11" t="s">
        <v>486</v>
      </c>
      <c r="H26" s="11" t="s">
        <v>487</v>
      </c>
      <c r="I26" s="11" t="s">
        <v>488</v>
      </c>
      <c r="J26" s="12" t="str">
        <f t="shared" si="0"/>
        <v>Como autorizador, quiero tomar una solicitud de la bandeja y aprobarla o rechazarla, para resolverla con un responsable y una decisión trazable</v>
      </c>
      <c r="K26" s="11" t="s">
        <v>491</v>
      </c>
      <c r="L26" s="8" t="s">
        <v>301</v>
      </c>
      <c r="M26" s="8">
        <v>5</v>
      </c>
      <c r="N26" s="8" t="s">
        <v>479</v>
      </c>
      <c r="O26" s="8" t="s">
        <v>442</v>
      </c>
      <c r="P26" s="4" t="s">
        <v>239</v>
      </c>
    </row>
    <row r="27" spans="1:16" ht="57.95" customHeight="1">
      <c r="A27" s="10" t="s">
        <v>80</v>
      </c>
      <c r="B27" s="10" t="s">
        <v>483</v>
      </c>
      <c r="C27" s="8" t="s">
        <v>73</v>
      </c>
      <c r="D27" s="8" t="s">
        <v>472</v>
      </c>
      <c r="E27" s="4" t="s">
        <v>484</v>
      </c>
      <c r="F27" s="4" t="s">
        <v>485</v>
      </c>
      <c r="G27" s="11" t="s">
        <v>486</v>
      </c>
      <c r="H27" s="11" t="s">
        <v>487</v>
      </c>
      <c r="I27" s="11" t="s">
        <v>488</v>
      </c>
      <c r="J27" s="12" t="str">
        <f t="shared" si="0"/>
        <v>Como autorizador, quiero tomar una solicitud de la bandeja y aprobarla o rechazarla, para resolverla con un responsable y una decisión trazable</v>
      </c>
      <c r="K27" s="11" t="s">
        <v>492</v>
      </c>
      <c r="L27" s="8" t="s">
        <v>301</v>
      </c>
      <c r="M27" s="8">
        <v>5</v>
      </c>
      <c r="N27" s="8" t="s">
        <v>479</v>
      </c>
      <c r="O27" s="8" t="s">
        <v>442</v>
      </c>
      <c r="P27" s="4" t="s">
        <v>239</v>
      </c>
    </row>
    <row r="28" spans="1:16" ht="62.1" customHeight="1">
      <c r="A28" s="10" t="s">
        <v>83</v>
      </c>
      <c r="B28" s="10" t="s">
        <v>493</v>
      </c>
      <c r="C28" s="8" t="s">
        <v>82</v>
      </c>
      <c r="D28" s="8" t="s">
        <v>472</v>
      </c>
      <c r="E28" s="4" t="s">
        <v>494</v>
      </c>
      <c r="F28" s="4" t="s">
        <v>495</v>
      </c>
      <c r="G28" s="11" t="s">
        <v>496</v>
      </c>
      <c r="H28" s="11" t="s">
        <v>497</v>
      </c>
      <c r="I28" s="11" t="s">
        <v>498</v>
      </c>
      <c r="J28" s="12" t="str">
        <f t="shared" si="0"/>
        <v>Como vendedor solicitante, quiero corregir y reenviar solicitudes rechazadas, además de consultar y filtrar su seguimiento, para resolver observaciones y conocer el estado de cada gestión</v>
      </c>
      <c r="K28" s="11" t="s">
        <v>499</v>
      </c>
      <c r="L28" s="8" t="s">
        <v>301</v>
      </c>
      <c r="M28" s="8">
        <v>8</v>
      </c>
      <c r="N28" s="8" t="s">
        <v>479</v>
      </c>
      <c r="O28" s="8" t="s">
        <v>442</v>
      </c>
      <c r="P28" s="4" t="s">
        <v>239</v>
      </c>
    </row>
    <row r="29" spans="1:16" ht="62.1" customHeight="1">
      <c r="A29" s="10" t="s">
        <v>85</v>
      </c>
      <c r="B29" s="10" t="s">
        <v>493</v>
      </c>
      <c r="C29" s="8" t="s">
        <v>82</v>
      </c>
      <c r="D29" s="8" t="s">
        <v>472</v>
      </c>
      <c r="E29" s="4" t="s">
        <v>494</v>
      </c>
      <c r="F29" s="4" t="s">
        <v>495</v>
      </c>
      <c r="G29" s="11" t="s">
        <v>496</v>
      </c>
      <c r="H29" s="11" t="s">
        <v>497</v>
      </c>
      <c r="I29" s="11" t="s">
        <v>498</v>
      </c>
      <c r="J29" s="12" t="str">
        <f t="shared" si="0"/>
        <v>Como vendedor solicitante, quiero corregir y reenviar solicitudes rechazadas, además de consultar y filtrar su seguimiento, para resolver observaciones y conocer el estado de cada gestión</v>
      </c>
      <c r="K29" s="11" t="s">
        <v>500</v>
      </c>
      <c r="L29" s="8" t="s">
        <v>301</v>
      </c>
      <c r="M29" s="8">
        <v>8</v>
      </c>
      <c r="N29" s="8" t="s">
        <v>479</v>
      </c>
      <c r="O29" s="8" t="s">
        <v>442</v>
      </c>
      <c r="P29" s="4" t="s">
        <v>239</v>
      </c>
    </row>
    <row r="30" spans="1:16" ht="62.1" customHeight="1">
      <c r="A30" s="10" t="s">
        <v>88</v>
      </c>
      <c r="B30" s="10" t="s">
        <v>493</v>
      </c>
      <c r="C30" s="8" t="s">
        <v>87</v>
      </c>
      <c r="D30" s="8" t="s">
        <v>472</v>
      </c>
      <c r="E30" s="4" t="s">
        <v>494</v>
      </c>
      <c r="F30" s="4" t="s">
        <v>495</v>
      </c>
      <c r="G30" s="11" t="s">
        <v>496</v>
      </c>
      <c r="H30" s="11" t="s">
        <v>497</v>
      </c>
      <c r="I30" s="11" t="s">
        <v>498</v>
      </c>
      <c r="J30" s="12" t="str">
        <f t="shared" si="0"/>
        <v>Como vendedor solicitante, quiero corregir y reenviar solicitudes rechazadas, además de consultar y filtrar su seguimiento, para resolver observaciones y conocer el estado de cada gestión</v>
      </c>
      <c r="K30" s="11" t="s">
        <v>501</v>
      </c>
      <c r="L30" s="8" t="s">
        <v>301</v>
      </c>
      <c r="M30" s="8">
        <v>8</v>
      </c>
      <c r="N30" s="8" t="s">
        <v>479</v>
      </c>
      <c r="O30" s="8" t="s">
        <v>442</v>
      </c>
      <c r="P30" s="4" t="s">
        <v>239</v>
      </c>
    </row>
    <row r="31" spans="1:16" ht="62.1" customHeight="1">
      <c r="A31" s="10" t="s">
        <v>91</v>
      </c>
      <c r="B31" s="10" t="s">
        <v>493</v>
      </c>
      <c r="C31" s="8" t="s">
        <v>90</v>
      </c>
      <c r="D31" s="8" t="s">
        <v>472</v>
      </c>
      <c r="E31" s="4" t="s">
        <v>494</v>
      </c>
      <c r="F31" s="4" t="s">
        <v>495</v>
      </c>
      <c r="G31" s="11" t="s">
        <v>496</v>
      </c>
      <c r="H31" s="11" t="s">
        <v>497</v>
      </c>
      <c r="I31" s="11" t="s">
        <v>498</v>
      </c>
      <c r="J31" s="12" t="str">
        <f t="shared" si="0"/>
        <v>Como vendedor solicitante, quiero corregir y reenviar solicitudes rechazadas, además de consultar y filtrar su seguimiento, para resolver observaciones y conocer el estado de cada gestión</v>
      </c>
      <c r="K31" s="11" t="s">
        <v>502</v>
      </c>
      <c r="L31" s="8" t="s">
        <v>301</v>
      </c>
      <c r="M31" s="8">
        <v>8</v>
      </c>
      <c r="N31" s="8" t="s">
        <v>479</v>
      </c>
      <c r="O31" s="8" t="s">
        <v>442</v>
      </c>
      <c r="P31" s="4" t="s">
        <v>239</v>
      </c>
    </row>
    <row r="32" spans="1:16" ht="62.1" customHeight="1">
      <c r="A32" s="10" t="s">
        <v>94</v>
      </c>
      <c r="B32" s="10" t="s">
        <v>503</v>
      </c>
      <c r="C32" s="8" t="s">
        <v>93</v>
      </c>
      <c r="D32" s="8" t="s">
        <v>504</v>
      </c>
      <c r="E32" s="4" t="s">
        <v>505</v>
      </c>
      <c r="F32" s="4" t="s">
        <v>506</v>
      </c>
      <c r="G32" s="11" t="s">
        <v>507</v>
      </c>
      <c r="H32" s="11" t="s">
        <v>508</v>
      </c>
      <c r="I32" s="11" t="s">
        <v>509</v>
      </c>
      <c r="J32" s="12" t="str">
        <f t="shared" si="0"/>
        <v>Como vendedor o asistente de vendedor, quiero consultar productos, stock, clientes, crédito y bloqueo en la empresa activa, para tomar decisiones comerciales con información vigente del ERP</v>
      </c>
      <c r="K32" s="11" t="s">
        <v>510</v>
      </c>
      <c r="L32" s="8" t="s">
        <v>301</v>
      </c>
      <c r="M32" s="8">
        <v>8</v>
      </c>
      <c r="N32" s="8" t="s">
        <v>511</v>
      </c>
      <c r="O32" s="8" t="s">
        <v>442</v>
      </c>
      <c r="P32" s="4" t="s">
        <v>245</v>
      </c>
    </row>
    <row r="33" spans="1:16" ht="62.1" customHeight="1">
      <c r="A33" s="10" t="s">
        <v>97</v>
      </c>
      <c r="B33" s="10" t="s">
        <v>503</v>
      </c>
      <c r="C33" s="8" t="s">
        <v>96</v>
      </c>
      <c r="D33" s="8" t="s">
        <v>504</v>
      </c>
      <c r="E33" s="4" t="s">
        <v>505</v>
      </c>
      <c r="F33" s="4" t="s">
        <v>506</v>
      </c>
      <c r="G33" s="11" t="s">
        <v>507</v>
      </c>
      <c r="H33" s="11" t="s">
        <v>508</v>
      </c>
      <c r="I33" s="11" t="s">
        <v>509</v>
      </c>
      <c r="J33" s="12" t="str">
        <f t="shared" si="0"/>
        <v>Como vendedor o asistente de vendedor, quiero consultar productos, stock, clientes, crédito y bloqueo en la empresa activa, para tomar decisiones comerciales con información vigente del ERP</v>
      </c>
      <c r="K33" s="11" t="s">
        <v>512</v>
      </c>
      <c r="L33" s="8" t="s">
        <v>301</v>
      </c>
      <c r="M33" s="8">
        <v>8</v>
      </c>
      <c r="N33" s="8" t="s">
        <v>511</v>
      </c>
      <c r="O33" s="8" t="s">
        <v>442</v>
      </c>
      <c r="P33" s="4" t="s">
        <v>245</v>
      </c>
    </row>
    <row r="34" spans="1:16" ht="62.1" customHeight="1">
      <c r="A34" s="10" t="s">
        <v>99</v>
      </c>
      <c r="B34" s="10" t="s">
        <v>503</v>
      </c>
      <c r="C34" s="8" t="s">
        <v>93</v>
      </c>
      <c r="D34" s="8" t="s">
        <v>504</v>
      </c>
      <c r="E34" s="4" t="s">
        <v>505</v>
      </c>
      <c r="F34" s="4" t="s">
        <v>506</v>
      </c>
      <c r="G34" s="11" t="s">
        <v>507</v>
      </c>
      <c r="H34" s="11" t="s">
        <v>508</v>
      </c>
      <c r="I34" s="11" t="s">
        <v>509</v>
      </c>
      <c r="J34" s="12" t="str">
        <f t="shared" si="0"/>
        <v>Como vendedor o asistente de vendedor, quiero consultar productos, stock, clientes, crédito y bloqueo en la empresa activa, para tomar decisiones comerciales con información vigente del ERP</v>
      </c>
      <c r="K34" s="11" t="s">
        <v>513</v>
      </c>
      <c r="L34" s="8" t="s">
        <v>301</v>
      </c>
      <c r="M34" s="8">
        <v>8</v>
      </c>
      <c r="N34" s="8" t="s">
        <v>511</v>
      </c>
      <c r="O34" s="8" t="s">
        <v>442</v>
      </c>
      <c r="P34" s="4" t="s">
        <v>245</v>
      </c>
    </row>
    <row r="35" spans="1:16" ht="62.1" customHeight="1">
      <c r="A35" s="10" t="s">
        <v>101</v>
      </c>
      <c r="B35" s="10" t="s">
        <v>503</v>
      </c>
      <c r="C35" s="8" t="s">
        <v>96</v>
      </c>
      <c r="D35" s="8" t="s">
        <v>504</v>
      </c>
      <c r="E35" s="4" t="s">
        <v>505</v>
      </c>
      <c r="F35" s="4" t="s">
        <v>506</v>
      </c>
      <c r="G35" s="11" t="s">
        <v>507</v>
      </c>
      <c r="H35" s="11" t="s">
        <v>508</v>
      </c>
      <c r="I35" s="11" t="s">
        <v>509</v>
      </c>
      <c r="J35" s="12" t="str">
        <f t="shared" si="0"/>
        <v>Como vendedor o asistente de vendedor, quiero consultar productos, stock, clientes, crédito y bloqueo en la empresa activa, para tomar decisiones comerciales con información vigente del ERP</v>
      </c>
      <c r="K35" s="11" t="s">
        <v>514</v>
      </c>
      <c r="L35" s="8" t="s">
        <v>301</v>
      </c>
      <c r="M35" s="8">
        <v>8</v>
      </c>
      <c r="N35" s="8" t="s">
        <v>511</v>
      </c>
      <c r="O35" s="8" t="s">
        <v>442</v>
      </c>
      <c r="P35" s="4" t="s">
        <v>245</v>
      </c>
    </row>
    <row r="36" spans="1:16" ht="62.1" customHeight="1">
      <c r="A36" s="10" t="s">
        <v>104</v>
      </c>
      <c r="B36" s="10" t="s">
        <v>515</v>
      </c>
      <c r="C36" s="8" t="s">
        <v>103</v>
      </c>
      <c r="D36" s="8" t="s">
        <v>504</v>
      </c>
      <c r="E36" s="4" t="s">
        <v>516</v>
      </c>
      <c r="F36" s="4" t="s">
        <v>517</v>
      </c>
      <c r="G36" s="11" t="s">
        <v>507</v>
      </c>
      <c r="H36" s="11" t="s">
        <v>518</v>
      </c>
      <c r="I36" s="11" t="s">
        <v>519</v>
      </c>
      <c r="J36" s="12" t="str">
        <f t="shared" si="0"/>
        <v>Como vendedor o asistente de vendedor, quiero crear cotizaciones con varias líneas y el vendedor correspondiente, para presentar una oferta comercial consistente con la empresa activa</v>
      </c>
      <c r="K36" s="11" t="s">
        <v>520</v>
      </c>
      <c r="L36" s="8" t="s">
        <v>301</v>
      </c>
      <c r="M36" s="8">
        <v>8</v>
      </c>
      <c r="N36" s="8" t="s">
        <v>511</v>
      </c>
      <c r="O36" s="8" t="s">
        <v>442</v>
      </c>
      <c r="P36" s="4" t="s">
        <v>262</v>
      </c>
    </row>
    <row r="37" spans="1:16" ht="62.1" customHeight="1">
      <c r="A37" s="10" t="s">
        <v>107</v>
      </c>
      <c r="B37" s="10" t="s">
        <v>515</v>
      </c>
      <c r="C37" s="8" t="s">
        <v>106</v>
      </c>
      <c r="D37" s="8" t="s">
        <v>504</v>
      </c>
      <c r="E37" s="4" t="s">
        <v>516</v>
      </c>
      <c r="F37" s="4" t="s">
        <v>517</v>
      </c>
      <c r="G37" s="11" t="s">
        <v>507</v>
      </c>
      <c r="H37" s="11" t="s">
        <v>518</v>
      </c>
      <c r="I37" s="11" t="s">
        <v>519</v>
      </c>
      <c r="J37" s="12" t="str">
        <f t="shared" si="0"/>
        <v>Como vendedor o asistente de vendedor, quiero crear cotizaciones con varias líneas y el vendedor correspondiente, para presentar una oferta comercial consistente con la empresa activa</v>
      </c>
      <c r="K37" s="11" t="s">
        <v>521</v>
      </c>
      <c r="L37" s="8" t="s">
        <v>301</v>
      </c>
      <c r="M37" s="8">
        <v>8</v>
      </c>
      <c r="N37" s="8" t="s">
        <v>511</v>
      </c>
      <c r="O37" s="8" t="s">
        <v>442</v>
      </c>
      <c r="P37" s="4" t="s">
        <v>262</v>
      </c>
    </row>
    <row r="38" spans="1:16" ht="62.1" customHeight="1">
      <c r="A38" s="10" t="s">
        <v>109</v>
      </c>
      <c r="B38" s="10" t="s">
        <v>515</v>
      </c>
      <c r="C38" s="8" t="s">
        <v>106</v>
      </c>
      <c r="D38" s="8" t="s">
        <v>504</v>
      </c>
      <c r="E38" s="4" t="s">
        <v>516</v>
      </c>
      <c r="F38" s="4" t="s">
        <v>517</v>
      </c>
      <c r="G38" s="11" t="s">
        <v>507</v>
      </c>
      <c r="H38" s="11" t="s">
        <v>518</v>
      </c>
      <c r="I38" s="11" t="s">
        <v>519</v>
      </c>
      <c r="J38" s="12" t="str">
        <f t="shared" ref="J38:J69" si="1">IF(OR(G38="",H38="",I38=""),"","Como "&amp;G38&amp;", quiero "&amp;H38&amp;", para "&amp;I38)</f>
        <v>Como vendedor o asistente de vendedor, quiero crear cotizaciones con varias líneas y el vendedor correspondiente, para presentar una oferta comercial consistente con la empresa activa</v>
      </c>
      <c r="K38" s="11" t="s">
        <v>522</v>
      </c>
      <c r="L38" s="8" t="s">
        <v>301</v>
      </c>
      <c r="M38" s="8">
        <v>8</v>
      </c>
      <c r="N38" s="8" t="s">
        <v>511</v>
      </c>
      <c r="O38" s="8" t="s">
        <v>442</v>
      </c>
      <c r="P38" s="4" t="s">
        <v>262</v>
      </c>
    </row>
    <row r="39" spans="1:16" ht="62.1" customHeight="1">
      <c r="A39" s="10" t="s">
        <v>111</v>
      </c>
      <c r="B39" s="10" t="s">
        <v>515</v>
      </c>
      <c r="C39" s="8" t="s">
        <v>106</v>
      </c>
      <c r="D39" s="8" t="s">
        <v>504</v>
      </c>
      <c r="E39" s="4" t="s">
        <v>516</v>
      </c>
      <c r="F39" s="4" t="s">
        <v>517</v>
      </c>
      <c r="G39" s="11" t="s">
        <v>507</v>
      </c>
      <c r="H39" s="11" t="s">
        <v>518</v>
      </c>
      <c r="I39" s="11" t="s">
        <v>519</v>
      </c>
      <c r="J39" s="12" t="str">
        <f t="shared" si="1"/>
        <v>Como vendedor o asistente de vendedor, quiero crear cotizaciones con varias líneas y el vendedor correspondiente, para presentar una oferta comercial consistente con la empresa activa</v>
      </c>
      <c r="K39" s="11" t="s">
        <v>523</v>
      </c>
      <c r="L39" s="8" t="s">
        <v>301</v>
      </c>
      <c r="M39" s="8">
        <v>8</v>
      </c>
      <c r="N39" s="8" t="s">
        <v>511</v>
      </c>
      <c r="O39" s="8" t="s">
        <v>442</v>
      </c>
      <c r="P39" s="4" t="s">
        <v>262</v>
      </c>
    </row>
    <row r="40" spans="1:16" ht="62.1" customHeight="1">
      <c r="A40" s="10" t="s">
        <v>114</v>
      </c>
      <c r="B40" s="10" t="s">
        <v>524</v>
      </c>
      <c r="C40" s="8" t="s">
        <v>113</v>
      </c>
      <c r="D40" s="8" t="s">
        <v>504</v>
      </c>
      <c r="E40" s="4" t="s">
        <v>525</v>
      </c>
      <c r="F40" s="4" t="s">
        <v>526</v>
      </c>
      <c r="G40" s="11" t="s">
        <v>527</v>
      </c>
      <c r="H40" s="11" t="s">
        <v>528</v>
      </c>
      <c r="I40" s="11" t="s">
        <v>529</v>
      </c>
      <c r="J40" s="12" t="str">
        <f t="shared" si="1"/>
        <v>Como vendedor, quiero descargar la cotización y convertir una cotización aceptada en solicitud de orden de venta, para continuar el proceso comercial sin volver a ingresar sus datos</v>
      </c>
      <c r="K40" s="11" t="s">
        <v>530</v>
      </c>
      <c r="L40" s="8" t="s">
        <v>301</v>
      </c>
      <c r="M40" s="8">
        <v>5</v>
      </c>
      <c r="N40" s="8" t="s">
        <v>531</v>
      </c>
      <c r="O40" s="8" t="s">
        <v>442</v>
      </c>
      <c r="P40" s="4" t="s">
        <v>262</v>
      </c>
    </row>
    <row r="41" spans="1:16" ht="62.1" customHeight="1">
      <c r="A41" s="10" t="s">
        <v>117</v>
      </c>
      <c r="B41" s="10" t="s">
        <v>524</v>
      </c>
      <c r="C41" s="8" t="s">
        <v>116</v>
      </c>
      <c r="D41" s="8" t="s">
        <v>504</v>
      </c>
      <c r="E41" s="4" t="s">
        <v>525</v>
      </c>
      <c r="F41" s="4" t="s">
        <v>526</v>
      </c>
      <c r="G41" s="11" t="s">
        <v>527</v>
      </c>
      <c r="H41" s="11" t="s">
        <v>528</v>
      </c>
      <c r="I41" s="11" t="s">
        <v>529</v>
      </c>
      <c r="J41" s="12" t="str">
        <f t="shared" si="1"/>
        <v>Como vendedor, quiero descargar la cotización y convertir una cotización aceptada en solicitud de orden de venta, para continuar el proceso comercial sin volver a ingresar sus datos</v>
      </c>
      <c r="K41" s="11" t="s">
        <v>532</v>
      </c>
      <c r="L41" s="8" t="s">
        <v>301</v>
      </c>
      <c r="M41" s="8">
        <v>5</v>
      </c>
      <c r="N41" s="8" t="s">
        <v>531</v>
      </c>
      <c r="O41" s="8" t="s">
        <v>442</v>
      </c>
      <c r="P41" s="4" t="s">
        <v>262</v>
      </c>
    </row>
    <row r="42" spans="1:16" ht="62.1" customHeight="1">
      <c r="A42" s="10" t="s">
        <v>119</v>
      </c>
      <c r="B42" s="10" t="s">
        <v>524</v>
      </c>
      <c r="C42" s="8" t="s">
        <v>116</v>
      </c>
      <c r="D42" s="8" t="s">
        <v>504</v>
      </c>
      <c r="E42" s="4" t="s">
        <v>525</v>
      </c>
      <c r="F42" s="4" t="s">
        <v>526</v>
      </c>
      <c r="G42" s="11" t="s">
        <v>527</v>
      </c>
      <c r="H42" s="11" t="s">
        <v>528</v>
      </c>
      <c r="I42" s="11" t="s">
        <v>529</v>
      </c>
      <c r="J42" s="12" t="str">
        <f t="shared" si="1"/>
        <v>Como vendedor, quiero descargar la cotización y convertir una cotización aceptada en solicitud de orden de venta, para continuar el proceso comercial sin volver a ingresar sus datos</v>
      </c>
      <c r="K42" s="11" t="s">
        <v>533</v>
      </c>
      <c r="L42" s="8" t="s">
        <v>301</v>
      </c>
      <c r="M42" s="8">
        <v>5</v>
      </c>
      <c r="N42" s="8" t="s">
        <v>531</v>
      </c>
      <c r="O42" s="8" t="s">
        <v>442</v>
      </c>
      <c r="P42" s="4" t="s">
        <v>262</v>
      </c>
    </row>
    <row r="43" spans="1:16" ht="62.1" customHeight="1">
      <c r="A43" s="10" t="s">
        <v>121</v>
      </c>
      <c r="B43" s="10" t="s">
        <v>524</v>
      </c>
      <c r="C43" s="8" t="s">
        <v>116</v>
      </c>
      <c r="D43" s="8" t="s">
        <v>504</v>
      </c>
      <c r="E43" s="4" t="s">
        <v>525</v>
      </c>
      <c r="F43" s="4" t="s">
        <v>526</v>
      </c>
      <c r="G43" s="11" t="s">
        <v>527</v>
      </c>
      <c r="H43" s="11" t="s">
        <v>528</v>
      </c>
      <c r="I43" s="11" t="s">
        <v>529</v>
      </c>
      <c r="J43" s="12" t="str">
        <f t="shared" si="1"/>
        <v>Como vendedor, quiero descargar la cotización y convertir una cotización aceptada en solicitud de orden de venta, para continuar el proceso comercial sin volver a ingresar sus datos</v>
      </c>
      <c r="K43" s="11" t="s">
        <v>534</v>
      </c>
      <c r="L43" s="8" t="s">
        <v>301</v>
      </c>
      <c r="M43" s="8">
        <v>5</v>
      </c>
      <c r="N43" s="8" t="s">
        <v>531</v>
      </c>
      <c r="O43" s="8" t="s">
        <v>442</v>
      </c>
      <c r="P43" s="4" t="s">
        <v>262</v>
      </c>
    </row>
    <row r="44" spans="1:16" ht="62.1" customHeight="1">
      <c r="A44" s="10" t="s">
        <v>124</v>
      </c>
      <c r="B44" s="10" t="s">
        <v>535</v>
      </c>
      <c r="C44" s="8" t="s">
        <v>123</v>
      </c>
      <c r="D44" s="8" t="s">
        <v>504</v>
      </c>
      <c r="E44" s="4" t="s">
        <v>536</v>
      </c>
      <c r="F44" s="4" t="s">
        <v>537</v>
      </c>
      <c r="G44" s="11" t="s">
        <v>538</v>
      </c>
      <c r="H44" s="11" t="s">
        <v>539</v>
      </c>
      <c r="I44" s="11" t="s">
        <v>540</v>
      </c>
      <c r="J44" s="12" t="str">
        <f t="shared" si="1"/>
        <v>Como autorizador comercial, quiero aprobar las solicitudes que correspondan y enviar la orden de venta al ERP, para crear únicamente documentos validados y mantener su trazabilidad</v>
      </c>
      <c r="K44" s="11" t="s">
        <v>541</v>
      </c>
      <c r="L44" s="8" t="s">
        <v>301</v>
      </c>
      <c r="M44" s="8">
        <v>8</v>
      </c>
      <c r="N44" s="8" t="s">
        <v>531</v>
      </c>
      <c r="O44" s="8" t="s">
        <v>442</v>
      </c>
      <c r="P44" s="4" t="s">
        <v>256</v>
      </c>
    </row>
    <row r="45" spans="1:16" ht="62.1" customHeight="1">
      <c r="A45" s="10" t="s">
        <v>126</v>
      </c>
      <c r="B45" s="10" t="s">
        <v>535</v>
      </c>
      <c r="C45" s="8" t="s">
        <v>123</v>
      </c>
      <c r="D45" s="8" t="s">
        <v>504</v>
      </c>
      <c r="E45" s="4" t="s">
        <v>536</v>
      </c>
      <c r="F45" s="4" t="s">
        <v>537</v>
      </c>
      <c r="G45" s="11" t="s">
        <v>538</v>
      </c>
      <c r="H45" s="11" t="s">
        <v>539</v>
      </c>
      <c r="I45" s="11" t="s">
        <v>540</v>
      </c>
      <c r="J45" s="12" t="str">
        <f t="shared" si="1"/>
        <v>Como autorizador comercial, quiero aprobar las solicitudes que correspondan y enviar la orden de venta al ERP, para crear únicamente documentos validados y mantener su trazabilidad</v>
      </c>
      <c r="K45" s="11" t="s">
        <v>542</v>
      </c>
      <c r="L45" s="8" t="s">
        <v>301</v>
      </c>
      <c r="M45" s="8">
        <v>8</v>
      </c>
      <c r="N45" s="8" t="s">
        <v>531</v>
      </c>
      <c r="O45" s="8" t="s">
        <v>442</v>
      </c>
      <c r="P45" s="4" t="s">
        <v>256</v>
      </c>
    </row>
    <row r="46" spans="1:16" ht="62.1" customHeight="1">
      <c r="A46" s="10" t="s">
        <v>128</v>
      </c>
      <c r="B46" s="10" t="s">
        <v>535</v>
      </c>
      <c r="C46" s="8" t="s">
        <v>123</v>
      </c>
      <c r="D46" s="8" t="s">
        <v>504</v>
      </c>
      <c r="E46" s="4" t="s">
        <v>536</v>
      </c>
      <c r="F46" s="4" t="s">
        <v>537</v>
      </c>
      <c r="G46" s="11" t="s">
        <v>538</v>
      </c>
      <c r="H46" s="11" t="s">
        <v>539</v>
      </c>
      <c r="I46" s="11" t="s">
        <v>540</v>
      </c>
      <c r="J46" s="12" t="str">
        <f t="shared" si="1"/>
        <v>Como autorizador comercial, quiero aprobar las solicitudes que correspondan y enviar la orden de venta al ERP, para crear únicamente documentos validados y mantener su trazabilidad</v>
      </c>
      <c r="K46" s="11" t="s">
        <v>543</v>
      </c>
      <c r="L46" s="8" t="s">
        <v>301</v>
      </c>
      <c r="M46" s="8">
        <v>8</v>
      </c>
      <c r="N46" s="8" t="s">
        <v>531</v>
      </c>
      <c r="O46" s="8" t="s">
        <v>442</v>
      </c>
      <c r="P46" s="4" t="s">
        <v>256</v>
      </c>
    </row>
    <row r="47" spans="1:16" ht="62.1" customHeight="1">
      <c r="A47" s="10" t="s">
        <v>131</v>
      </c>
      <c r="B47" s="10" t="s">
        <v>535</v>
      </c>
      <c r="C47" s="8" t="s">
        <v>130</v>
      </c>
      <c r="D47" s="8" t="s">
        <v>504</v>
      </c>
      <c r="E47" s="4" t="s">
        <v>536</v>
      </c>
      <c r="F47" s="4" t="s">
        <v>537</v>
      </c>
      <c r="G47" s="11" t="s">
        <v>538</v>
      </c>
      <c r="H47" s="11" t="s">
        <v>539</v>
      </c>
      <c r="I47" s="11" t="s">
        <v>540</v>
      </c>
      <c r="J47" s="12" t="str">
        <f t="shared" si="1"/>
        <v>Como autorizador comercial, quiero aprobar las solicitudes que correspondan y enviar la orden de venta al ERP, para crear únicamente documentos validados y mantener su trazabilidad</v>
      </c>
      <c r="K47" s="11" t="s">
        <v>544</v>
      </c>
      <c r="L47" s="8" t="s">
        <v>301</v>
      </c>
      <c r="M47" s="8">
        <v>8</v>
      </c>
      <c r="N47" s="8" t="s">
        <v>531</v>
      </c>
      <c r="O47" s="8" t="s">
        <v>442</v>
      </c>
      <c r="P47" s="4" t="s">
        <v>256</v>
      </c>
    </row>
    <row r="48" spans="1:16" ht="62.1" customHeight="1">
      <c r="A48" s="10" t="s">
        <v>134</v>
      </c>
      <c r="B48" s="10" t="s">
        <v>545</v>
      </c>
      <c r="C48" s="8" t="s">
        <v>133</v>
      </c>
      <c r="D48" s="8" t="s">
        <v>546</v>
      </c>
      <c r="E48" s="4" t="s">
        <v>547</v>
      </c>
      <c r="F48" s="4" t="s">
        <v>548</v>
      </c>
      <c r="G48" s="11" t="s">
        <v>486</v>
      </c>
      <c r="H48" s="11" t="s">
        <v>549</v>
      </c>
      <c r="I48" s="11" t="s">
        <v>550</v>
      </c>
      <c r="J48" s="12" t="str">
        <f t="shared" si="1"/>
        <v>Como autorizador, quiero recibir avisos de los procesos pendientes y recordatorios cuando superen una hora, para atender oportunamente las decisiones que me corresponden</v>
      </c>
      <c r="K48" s="11" t="s">
        <v>551</v>
      </c>
      <c r="L48" s="8" t="s">
        <v>301</v>
      </c>
      <c r="M48" s="8">
        <v>5</v>
      </c>
      <c r="N48" s="8" t="s">
        <v>479</v>
      </c>
      <c r="O48" s="8" t="s">
        <v>442</v>
      </c>
      <c r="P48" s="4" t="s">
        <v>239</v>
      </c>
    </row>
    <row r="49" spans="1:16" ht="62.1" customHeight="1">
      <c r="A49" s="10" t="s">
        <v>136</v>
      </c>
      <c r="B49" s="10" t="s">
        <v>545</v>
      </c>
      <c r="C49" s="8" t="s">
        <v>133</v>
      </c>
      <c r="D49" s="8" t="s">
        <v>546</v>
      </c>
      <c r="E49" s="4" t="s">
        <v>547</v>
      </c>
      <c r="F49" s="4" t="s">
        <v>548</v>
      </c>
      <c r="G49" s="11" t="s">
        <v>486</v>
      </c>
      <c r="H49" s="11" t="s">
        <v>549</v>
      </c>
      <c r="I49" s="11" t="s">
        <v>550</v>
      </c>
      <c r="J49" s="12" t="str">
        <f t="shared" si="1"/>
        <v>Como autorizador, quiero recibir avisos de los procesos pendientes y recordatorios cuando superen una hora, para atender oportunamente las decisiones que me corresponden</v>
      </c>
      <c r="K49" s="11" t="s">
        <v>552</v>
      </c>
      <c r="L49" s="8" t="s">
        <v>301</v>
      </c>
      <c r="M49" s="8">
        <v>5</v>
      </c>
      <c r="N49" s="8" t="s">
        <v>479</v>
      </c>
      <c r="O49" s="8" t="s">
        <v>442</v>
      </c>
      <c r="P49" s="4" t="s">
        <v>239</v>
      </c>
    </row>
    <row r="50" spans="1:16" ht="62.1" customHeight="1">
      <c r="A50" s="10" t="s">
        <v>138</v>
      </c>
      <c r="B50" s="10" t="s">
        <v>545</v>
      </c>
      <c r="C50" s="8" t="s">
        <v>133</v>
      </c>
      <c r="D50" s="8" t="s">
        <v>546</v>
      </c>
      <c r="E50" s="4" t="s">
        <v>547</v>
      </c>
      <c r="F50" s="4" t="s">
        <v>548</v>
      </c>
      <c r="G50" s="11" t="s">
        <v>486</v>
      </c>
      <c r="H50" s="11" t="s">
        <v>549</v>
      </c>
      <c r="I50" s="11" t="s">
        <v>550</v>
      </c>
      <c r="J50" s="12" t="str">
        <f t="shared" si="1"/>
        <v>Como autorizador, quiero recibir avisos de los procesos pendientes y recordatorios cuando superen una hora, para atender oportunamente las decisiones que me corresponden</v>
      </c>
      <c r="K50" s="11" t="s">
        <v>553</v>
      </c>
      <c r="L50" s="8" t="s">
        <v>301</v>
      </c>
      <c r="M50" s="8">
        <v>5</v>
      </c>
      <c r="N50" s="8" t="s">
        <v>479</v>
      </c>
      <c r="O50" s="8" t="s">
        <v>442</v>
      </c>
      <c r="P50" s="4" t="s">
        <v>239</v>
      </c>
    </row>
    <row r="51" spans="1:16" ht="62.1" customHeight="1">
      <c r="A51" s="10" t="s">
        <v>140</v>
      </c>
      <c r="B51" s="10" t="s">
        <v>545</v>
      </c>
      <c r="C51" s="8" t="s">
        <v>133</v>
      </c>
      <c r="D51" s="8" t="s">
        <v>546</v>
      </c>
      <c r="E51" s="4" t="s">
        <v>547</v>
      </c>
      <c r="F51" s="4" t="s">
        <v>548</v>
      </c>
      <c r="G51" s="11" t="s">
        <v>486</v>
      </c>
      <c r="H51" s="11" t="s">
        <v>549</v>
      </c>
      <c r="I51" s="11" t="s">
        <v>550</v>
      </c>
      <c r="J51" s="12" t="str">
        <f t="shared" si="1"/>
        <v>Como autorizador, quiero recibir avisos de los procesos pendientes y recordatorios cuando superen una hora, para atender oportunamente las decisiones que me corresponden</v>
      </c>
      <c r="K51" s="11" t="s">
        <v>554</v>
      </c>
      <c r="L51" s="8" t="s">
        <v>301</v>
      </c>
      <c r="M51" s="8">
        <v>5</v>
      </c>
      <c r="N51" s="8" t="s">
        <v>479</v>
      </c>
      <c r="O51" s="8" t="s">
        <v>442</v>
      </c>
      <c r="P51" s="4" t="s">
        <v>239</v>
      </c>
    </row>
    <row r="52" spans="1:16" ht="75.599999999999994" customHeight="1">
      <c r="A52" s="10" t="s">
        <v>143</v>
      </c>
      <c r="B52" s="10" t="s">
        <v>555</v>
      </c>
      <c r="C52" s="8" t="s">
        <v>142</v>
      </c>
      <c r="D52" s="8" t="s">
        <v>546</v>
      </c>
      <c r="E52" s="4" t="s">
        <v>556</v>
      </c>
      <c r="F52" s="4" t="s">
        <v>557</v>
      </c>
      <c r="G52" s="11" t="s">
        <v>558</v>
      </c>
      <c r="H52" s="11" t="s">
        <v>559</v>
      </c>
      <c r="I52" s="11" t="s">
        <v>560</v>
      </c>
      <c r="J52" s="12" t="str">
        <f t="shared" si="1"/>
        <v>Como participante de un proceso, quiero recibir y administrar notificaciones de aprobaciones, rechazos, observaciones y cambios de estado, para saber cuándo debo actuar y acceder directamente al proceso</v>
      </c>
      <c r="K52" s="11" t="s">
        <v>561</v>
      </c>
      <c r="L52" s="8" t="s">
        <v>301</v>
      </c>
      <c r="M52" s="8">
        <v>5</v>
      </c>
      <c r="N52" s="8" t="s">
        <v>511</v>
      </c>
      <c r="O52" s="8" t="s">
        <v>442</v>
      </c>
      <c r="P52" s="4" t="s">
        <v>239</v>
      </c>
    </row>
    <row r="53" spans="1:16" ht="75.599999999999994" customHeight="1">
      <c r="A53" s="10" t="s">
        <v>145</v>
      </c>
      <c r="B53" s="10" t="s">
        <v>555</v>
      </c>
      <c r="C53" s="8" t="s">
        <v>142</v>
      </c>
      <c r="D53" s="8" t="s">
        <v>546</v>
      </c>
      <c r="E53" s="4" t="s">
        <v>556</v>
      </c>
      <c r="F53" s="4" t="s">
        <v>557</v>
      </c>
      <c r="G53" s="11" t="s">
        <v>558</v>
      </c>
      <c r="H53" s="11" t="s">
        <v>559</v>
      </c>
      <c r="I53" s="11" t="s">
        <v>560</v>
      </c>
      <c r="J53" s="12" t="str">
        <f t="shared" si="1"/>
        <v>Como participante de un proceso, quiero recibir y administrar notificaciones de aprobaciones, rechazos, observaciones y cambios de estado, para saber cuándo debo actuar y acceder directamente al proceso</v>
      </c>
      <c r="K53" s="11" t="s">
        <v>562</v>
      </c>
      <c r="L53" s="8" t="s">
        <v>301</v>
      </c>
      <c r="M53" s="8">
        <v>5</v>
      </c>
      <c r="N53" s="8" t="s">
        <v>511</v>
      </c>
      <c r="O53" s="8" t="s">
        <v>442</v>
      </c>
      <c r="P53" s="4" t="s">
        <v>239</v>
      </c>
    </row>
    <row r="54" spans="1:16" ht="75.599999999999994" customHeight="1">
      <c r="A54" s="10" t="s">
        <v>147</v>
      </c>
      <c r="B54" s="10" t="s">
        <v>555</v>
      </c>
      <c r="C54" s="8" t="s">
        <v>142</v>
      </c>
      <c r="D54" s="8" t="s">
        <v>546</v>
      </c>
      <c r="E54" s="4" t="s">
        <v>556</v>
      </c>
      <c r="F54" s="4" t="s">
        <v>557</v>
      </c>
      <c r="G54" s="11" t="s">
        <v>558</v>
      </c>
      <c r="H54" s="11" t="s">
        <v>559</v>
      </c>
      <c r="I54" s="11" t="s">
        <v>560</v>
      </c>
      <c r="J54" s="12" t="str">
        <f t="shared" si="1"/>
        <v>Como participante de un proceso, quiero recibir y administrar notificaciones de aprobaciones, rechazos, observaciones y cambios de estado, para saber cuándo debo actuar y acceder directamente al proceso</v>
      </c>
      <c r="K54" s="11" t="s">
        <v>563</v>
      </c>
      <c r="L54" s="8" t="s">
        <v>301</v>
      </c>
      <c r="M54" s="8">
        <v>5</v>
      </c>
      <c r="N54" s="8" t="s">
        <v>511</v>
      </c>
      <c r="O54" s="8" t="s">
        <v>442</v>
      </c>
      <c r="P54" s="4" t="s">
        <v>239</v>
      </c>
    </row>
    <row r="55" spans="1:16" ht="75.599999999999994" customHeight="1">
      <c r="A55" s="10" t="s">
        <v>149</v>
      </c>
      <c r="B55" s="10" t="s">
        <v>555</v>
      </c>
      <c r="C55" s="8" t="s">
        <v>142</v>
      </c>
      <c r="D55" s="8" t="s">
        <v>546</v>
      </c>
      <c r="E55" s="4" t="s">
        <v>556</v>
      </c>
      <c r="F55" s="4" t="s">
        <v>557</v>
      </c>
      <c r="G55" s="11" t="s">
        <v>558</v>
      </c>
      <c r="H55" s="11" t="s">
        <v>559</v>
      </c>
      <c r="I55" s="11" t="s">
        <v>560</v>
      </c>
      <c r="J55" s="12" t="str">
        <f t="shared" si="1"/>
        <v>Como participante de un proceso, quiero recibir y administrar notificaciones de aprobaciones, rechazos, observaciones y cambios de estado, para saber cuándo debo actuar y acceder directamente al proceso</v>
      </c>
      <c r="K55" s="11" t="s">
        <v>564</v>
      </c>
      <c r="L55" s="8" t="s">
        <v>301</v>
      </c>
      <c r="M55" s="8">
        <v>5</v>
      </c>
      <c r="N55" s="8" t="s">
        <v>511</v>
      </c>
      <c r="O55" s="8" t="s">
        <v>442</v>
      </c>
      <c r="P55" s="4" t="s">
        <v>239</v>
      </c>
    </row>
    <row r="56" spans="1:16" ht="62.1" customHeight="1">
      <c r="A56" s="10" t="s">
        <v>152</v>
      </c>
      <c r="B56" s="10" t="s">
        <v>565</v>
      </c>
      <c r="C56" s="8" t="s">
        <v>151</v>
      </c>
      <c r="D56" s="8" t="s">
        <v>546</v>
      </c>
      <c r="E56" s="4" t="s">
        <v>566</v>
      </c>
      <c r="F56" s="4" t="s">
        <v>567</v>
      </c>
      <c r="G56" s="11" t="s">
        <v>568</v>
      </c>
      <c r="H56" s="11" t="s">
        <v>569</v>
      </c>
      <c r="I56" s="11" t="s">
        <v>570</v>
      </c>
      <c r="J56" s="12" t="str">
        <f t="shared" si="1"/>
        <v>Como usuario participante o jefatura autorizada, quiero consultar el estado y el historial de cada proceso, para conocer quién realizó cada acción, cuándo y con qué resultado</v>
      </c>
      <c r="K56" s="11" t="s">
        <v>571</v>
      </c>
      <c r="L56" s="8" t="s">
        <v>301</v>
      </c>
      <c r="M56" s="8">
        <v>8</v>
      </c>
      <c r="N56" s="8" t="s">
        <v>572</v>
      </c>
      <c r="O56" s="8" t="s">
        <v>442</v>
      </c>
      <c r="P56" s="4" t="s">
        <v>239</v>
      </c>
    </row>
    <row r="57" spans="1:16" ht="62.1" customHeight="1">
      <c r="A57" s="10" t="s">
        <v>155</v>
      </c>
      <c r="B57" s="10" t="s">
        <v>565</v>
      </c>
      <c r="C57" s="8" t="s">
        <v>154</v>
      </c>
      <c r="D57" s="8" t="s">
        <v>546</v>
      </c>
      <c r="E57" s="4" t="s">
        <v>566</v>
      </c>
      <c r="F57" s="4" t="s">
        <v>567</v>
      </c>
      <c r="G57" s="11" t="s">
        <v>568</v>
      </c>
      <c r="H57" s="11" t="s">
        <v>569</v>
      </c>
      <c r="I57" s="11" t="s">
        <v>570</v>
      </c>
      <c r="J57" s="12" t="str">
        <f t="shared" si="1"/>
        <v>Como usuario participante o jefatura autorizada, quiero consultar el estado y el historial de cada proceso, para conocer quién realizó cada acción, cuándo y con qué resultado</v>
      </c>
      <c r="K57" s="11" t="s">
        <v>573</v>
      </c>
      <c r="L57" s="8" t="s">
        <v>301</v>
      </c>
      <c r="M57" s="8">
        <v>8</v>
      </c>
      <c r="N57" s="8" t="s">
        <v>572</v>
      </c>
      <c r="O57" s="8" t="s">
        <v>442</v>
      </c>
      <c r="P57" s="4" t="s">
        <v>239</v>
      </c>
    </row>
    <row r="58" spans="1:16" ht="62.1" customHeight="1">
      <c r="A58" s="10" t="s">
        <v>157</v>
      </c>
      <c r="B58" s="10" t="s">
        <v>565</v>
      </c>
      <c r="C58" s="8" t="s">
        <v>151</v>
      </c>
      <c r="D58" s="8" t="s">
        <v>546</v>
      </c>
      <c r="E58" s="4" t="s">
        <v>566</v>
      </c>
      <c r="F58" s="4" t="s">
        <v>567</v>
      </c>
      <c r="G58" s="11" t="s">
        <v>568</v>
      </c>
      <c r="H58" s="11" t="s">
        <v>569</v>
      </c>
      <c r="I58" s="11" t="s">
        <v>570</v>
      </c>
      <c r="J58" s="12" t="str">
        <f t="shared" si="1"/>
        <v>Como usuario participante o jefatura autorizada, quiero consultar el estado y el historial de cada proceso, para conocer quién realizó cada acción, cuándo y con qué resultado</v>
      </c>
      <c r="K58" s="11" t="s">
        <v>574</v>
      </c>
      <c r="L58" s="8" t="s">
        <v>301</v>
      </c>
      <c r="M58" s="8">
        <v>8</v>
      </c>
      <c r="N58" s="8" t="s">
        <v>572</v>
      </c>
      <c r="O58" s="8" t="s">
        <v>442</v>
      </c>
      <c r="P58" s="4" t="s">
        <v>239</v>
      </c>
    </row>
    <row r="59" spans="1:16" ht="62.1" customHeight="1">
      <c r="A59" s="10" t="s">
        <v>159</v>
      </c>
      <c r="B59" s="10" t="s">
        <v>565</v>
      </c>
      <c r="C59" s="8" t="s">
        <v>154</v>
      </c>
      <c r="D59" s="8" t="s">
        <v>546</v>
      </c>
      <c r="E59" s="4" t="s">
        <v>566</v>
      </c>
      <c r="F59" s="4" t="s">
        <v>567</v>
      </c>
      <c r="G59" s="11" t="s">
        <v>568</v>
      </c>
      <c r="H59" s="11" t="s">
        <v>569</v>
      </c>
      <c r="I59" s="11" t="s">
        <v>570</v>
      </c>
      <c r="J59" s="12" t="str">
        <f t="shared" si="1"/>
        <v>Como usuario participante o jefatura autorizada, quiero consultar el estado y el historial de cada proceso, para conocer quién realizó cada acción, cuándo y con qué resultado</v>
      </c>
      <c r="K59" s="11" t="s">
        <v>575</v>
      </c>
      <c r="L59" s="8" t="s">
        <v>301</v>
      </c>
      <c r="M59" s="8">
        <v>8</v>
      </c>
      <c r="N59" s="8" t="s">
        <v>572</v>
      </c>
      <c r="O59" s="8" t="s">
        <v>442</v>
      </c>
      <c r="P59" s="4" t="s">
        <v>239</v>
      </c>
    </row>
    <row r="60" spans="1:16" ht="75.599999999999994" customHeight="1">
      <c r="A60" s="10" t="s">
        <v>162</v>
      </c>
      <c r="B60" s="10" t="s">
        <v>576</v>
      </c>
      <c r="C60" s="8" t="s">
        <v>161</v>
      </c>
      <c r="D60" s="8" t="s">
        <v>577</v>
      </c>
      <c r="E60" s="4" t="s">
        <v>578</v>
      </c>
      <c r="F60" s="4" t="s">
        <v>579</v>
      </c>
      <c r="G60" s="11" t="s">
        <v>580</v>
      </c>
      <c r="H60" s="11" t="s">
        <v>581</v>
      </c>
      <c r="I60" s="11" t="s">
        <v>582</v>
      </c>
      <c r="J60" s="12" t="str">
        <f t="shared" si="1"/>
        <v>Como usuario autorizado de la plataforma, quiero obtener productos, clientes, stock y datos permitidos mediante la API de lectura, para trabajar desde la web sin modificar directamente la información oficial del ERP</v>
      </c>
      <c r="K60" s="11" t="s">
        <v>583</v>
      </c>
      <c r="L60" s="8" t="s">
        <v>301</v>
      </c>
      <c r="M60" s="8">
        <v>8</v>
      </c>
      <c r="N60" s="8" t="s">
        <v>511</v>
      </c>
      <c r="O60" s="8" t="s">
        <v>442</v>
      </c>
      <c r="P60" s="4" t="s">
        <v>256</v>
      </c>
    </row>
    <row r="61" spans="1:16" ht="75.599999999999994" customHeight="1">
      <c r="A61" s="10" t="s">
        <v>164</v>
      </c>
      <c r="B61" s="10" t="s">
        <v>576</v>
      </c>
      <c r="C61" s="8" t="s">
        <v>161</v>
      </c>
      <c r="D61" s="8" t="s">
        <v>577</v>
      </c>
      <c r="E61" s="4" t="s">
        <v>578</v>
      </c>
      <c r="F61" s="4" t="s">
        <v>579</v>
      </c>
      <c r="G61" s="11" t="s">
        <v>580</v>
      </c>
      <c r="H61" s="11" t="s">
        <v>581</v>
      </c>
      <c r="I61" s="11" t="s">
        <v>582</v>
      </c>
      <c r="J61" s="12" t="str">
        <f t="shared" si="1"/>
        <v>Como usuario autorizado de la plataforma, quiero obtener productos, clientes, stock y datos permitidos mediante la API de lectura, para trabajar desde la web sin modificar directamente la información oficial del ERP</v>
      </c>
      <c r="K61" s="11" t="s">
        <v>584</v>
      </c>
      <c r="L61" s="8" t="s">
        <v>301</v>
      </c>
      <c r="M61" s="8">
        <v>8</v>
      </c>
      <c r="N61" s="8" t="s">
        <v>511</v>
      </c>
      <c r="O61" s="8" t="s">
        <v>442</v>
      </c>
      <c r="P61" s="4" t="s">
        <v>256</v>
      </c>
    </row>
    <row r="62" spans="1:16" ht="75.599999999999994" customHeight="1">
      <c r="A62" s="10" t="s">
        <v>166</v>
      </c>
      <c r="B62" s="10" t="s">
        <v>576</v>
      </c>
      <c r="C62" s="8" t="s">
        <v>161</v>
      </c>
      <c r="D62" s="8" t="s">
        <v>577</v>
      </c>
      <c r="E62" s="4" t="s">
        <v>578</v>
      </c>
      <c r="F62" s="4" t="s">
        <v>579</v>
      </c>
      <c r="G62" s="11" t="s">
        <v>580</v>
      </c>
      <c r="H62" s="11" t="s">
        <v>581</v>
      </c>
      <c r="I62" s="11" t="s">
        <v>582</v>
      </c>
      <c r="J62" s="12" t="str">
        <f t="shared" si="1"/>
        <v>Como usuario autorizado de la plataforma, quiero obtener productos, clientes, stock y datos permitidos mediante la API de lectura, para trabajar desde la web sin modificar directamente la información oficial del ERP</v>
      </c>
      <c r="K62" s="11" t="s">
        <v>585</v>
      </c>
      <c r="L62" s="8" t="s">
        <v>301</v>
      </c>
      <c r="M62" s="8">
        <v>8</v>
      </c>
      <c r="N62" s="8" t="s">
        <v>511</v>
      </c>
      <c r="O62" s="8" t="s">
        <v>442</v>
      </c>
      <c r="P62" s="4" t="s">
        <v>256</v>
      </c>
    </row>
    <row r="63" spans="1:16" ht="75.599999999999994" customHeight="1">
      <c r="A63" s="10" t="s">
        <v>168</v>
      </c>
      <c r="B63" s="10" t="s">
        <v>576</v>
      </c>
      <c r="C63" s="8" t="s">
        <v>161</v>
      </c>
      <c r="D63" s="8" t="s">
        <v>577</v>
      </c>
      <c r="E63" s="4" t="s">
        <v>578</v>
      </c>
      <c r="F63" s="4" t="s">
        <v>579</v>
      </c>
      <c r="G63" s="11" t="s">
        <v>580</v>
      </c>
      <c r="H63" s="11" t="s">
        <v>581</v>
      </c>
      <c r="I63" s="11" t="s">
        <v>582</v>
      </c>
      <c r="J63" s="12" t="str">
        <f t="shared" si="1"/>
        <v>Como usuario autorizado de la plataforma, quiero obtener productos, clientes, stock y datos permitidos mediante la API de lectura, para trabajar desde la web sin modificar directamente la información oficial del ERP</v>
      </c>
      <c r="K63" s="11" t="s">
        <v>586</v>
      </c>
      <c r="L63" s="8" t="s">
        <v>301</v>
      </c>
      <c r="M63" s="8">
        <v>8</v>
      </c>
      <c r="N63" s="8" t="s">
        <v>511</v>
      </c>
      <c r="O63" s="8" t="s">
        <v>442</v>
      </c>
      <c r="P63" s="4" t="s">
        <v>256</v>
      </c>
    </row>
    <row r="64" spans="1:16" ht="62.1" customHeight="1">
      <c r="A64" s="10" t="s">
        <v>171</v>
      </c>
      <c r="B64" s="10" t="s">
        <v>587</v>
      </c>
      <c r="C64" s="8" t="s">
        <v>170</v>
      </c>
      <c r="D64" s="8" t="s">
        <v>577</v>
      </c>
      <c r="E64" s="4" t="s">
        <v>588</v>
      </c>
      <c r="F64" s="4" t="s">
        <v>589</v>
      </c>
      <c r="G64" s="11" t="s">
        <v>590</v>
      </c>
      <c r="H64" s="11" t="s">
        <v>591</v>
      </c>
      <c r="I64" s="11" t="s">
        <v>592</v>
      </c>
      <c r="J64" s="12" t="str">
        <f t="shared" si="1"/>
        <v>Como usuario autorizado, quiero enviar al ERP solo operaciones previamente validadas mediante Service Layer, para mantener la integridad y las reglas oficiales de SAP Business One</v>
      </c>
      <c r="K64" s="11" t="s">
        <v>593</v>
      </c>
      <c r="L64" s="8" t="s">
        <v>301</v>
      </c>
      <c r="M64" s="8">
        <v>8</v>
      </c>
      <c r="N64" s="8" t="s">
        <v>531</v>
      </c>
      <c r="O64" s="8" t="s">
        <v>442</v>
      </c>
      <c r="P64" s="4" t="s">
        <v>256</v>
      </c>
    </row>
    <row r="65" spans="1:16" ht="62.1" customHeight="1">
      <c r="A65" s="10" t="s">
        <v>173</v>
      </c>
      <c r="B65" s="10" t="s">
        <v>587</v>
      </c>
      <c r="C65" s="8" t="s">
        <v>170</v>
      </c>
      <c r="D65" s="8" t="s">
        <v>577</v>
      </c>
      <c r="E65" s="4" t="s">
        <v>588</v>
      </c>
      <c r="F65" s="4" t="s">
        <v>589</v>
      </c>
      <c r="G65" s="11" t="s">
        <v>590</v>
      </c>
      <c r="H65" s="11" t="s">
        <v>591</v>
      </c>
      <c r="I65" s="11" t="s">
        <v>592</v>
      </c>
      <c r="J65" s="12" t="str">
        <f t="shared" si="1"/>
        <v>Como usuario autorizado, quiero enviar al ERP solo operaciones previamente validadas mediante Service Layer, para mantener la integridad y las reglas oficiales de SAP Business One</v>
      </c>
      <c r="K65" s="11" t="s">
        <v>594</v>
      </c>
      <c r="L65" s="8" t="s">
        <v>301</v>
      </c>
      <c r="M65" s="8">
        <v>8</v>
      </c>
      <c r="N65" s="8" t="s">
        <v>531</v>
      </c>
      <c r="O65" s="8" t="s">
        <v>442</v>
      </c>
      <c r="P65" s="4" t="s">
        <v>256</v>
      </c>
    </row>
    <row r="66" spans="1:16" ht="62.1" customHeight="1">
      <c r="A66" s="10" t="s">
        <v>175</v>
      </c>
      <c r="B66" s="10" t="s">
        <v>587</v>
      </c>
      <c r="C66" s="8" t="s">
        <v>170</v>
      </c>
      <c r="D66" s="8" t="s">
        <v>577</v>
      </c>
      <c r="E66" s="4" t="s">
        <v>588</v>
      </c>
      <c r="F66" s="4" t="s">
        <v>589</v>
      </c>
      <c r="G66" s="11" t="s">
        <v>590</v>
      </c>
      <c r="H66" s="11" t="s">
        <v>591</v>
      </c>
      <c r="I66" s="11" t="s">
        <v>592</v>
      </c>
      <c r="J66" s="12" t="str">
        <f t="shared" si="1"/>
        <v>Como usuario autorizado, quiero enviar al ERP solo operaciones previamente validadas mediante Service Layer, para mantener la integridad y las reglas oficiales de SAP Business One</v>
      </c>
      <c r="K66" s="11" t="s">
        <v>595</v>
      </c>
      <c r="L66" s="8" t="s">
        <v>301</v>
      </c>
      <c r="M66" s="8">
        <v>8</v>
      </c>
      <c r="N66" s="8" t="s">
        <v>531</v>
      </c>
      <c r="O66" s="8" t="s">
        <v>442</v>
      </c>
      <c r="P66" s="4" t="s">
        <v>256</v>
      </c>
    </row>
    <row r="67" spans="1:16" ht="62.1" customHeight="1">
      <c r="A67" s="10" t="s">
        <v>177</v>
      </c>
      <c r="B67" s="10" t="s">
        <v>587</v>
      </c>
      <c r="C67" s="8" t="s">
        <v>170</v>
      </c>
      <c r="D67" s="8" t="s">
        <v>577</v>
      </c>
      <c r="E67" s="4" t="s">
        <v>588</v>
      </c>
      <c r="F67" s="4" t="s">
        <v>589</v>
      </c>
      <c r="G67" s="11" t="s">
        <v>590</v>
      </c>
      <c r="H67" s="11" t="s">
        <v>591</v>
      </c>
      <c r="I67" s="11" t="s">
        <v>592</v>
      </c>
      <c r="J67" s="12" t="str">
        <f t="shared" si="1"/>
        <v>Como usuario autorizado, quiero enviar al ERP solo operaciones previamente validadas mediante Service Layer, para mantener la integridad y las reglas oficiales de SAP Business One</v>
      </c>
      <c r="K67" s="11" t="s">
        <v>596</v>
      </c>
      <c r="L67" s="8" t="s">
        <v>301</v>
      </c>
      <c r="M67" s="8">
        <v>8</v>
      </c>
      <c r="N67" s="8" t="s">
        <v>531</v>
      </c>
      <c r="O67" s="8" t="s">
        <v>442</v>
      </c>
      <c r="P67" s="4" t="s">
        <v>256</v>
      </c>
    </row>
    <row r="68" spans="1:16" ht="62.1" customHeight="1">
      <c r="A68" s="10" t="s">
        <v>180</v>
      </c>
      <c r="B68" s="10" t="s">
        <v>597</v>
      </c>
      <c r="C68" s="8" t="s">
        <v>179</v>
      </c>
      <c r="D68" s="8" t="s">
        <v>577</v>
      </c>
      <c r="E68" s="4" t="s">
        <v>598</v>
      </c>
      <c r="F68" s="4" t="s">
        <v>599</v>
      </c>
      <c r="G68" s="11" t="s">
        <v>600</v>
      </c>
      <c r="H68" s="11" t="s">
        <v>601</v>
      </c>
      <c r="I68" s="11" t="s">
        <v>602</v>
      </c>
      <c r="J68" s="12" t="str">
        <f t="shared" si="1"/>
        <v>Como responsable de operación, quiero consultar el resultado de cada envío y reintentar los fallidos de forma segura, para resolver errores sin duplicar documentos ni líneas en el ERP</v>
      </c>
      <c r="K68" s="11" t="s">
        <v>603</v>
      </c>
      <c r="L68" s="8" t="s">
        <v>301</v>
      </c>
      <c r="M68" s="8">
        <v>8</v>
      </c>
      <c r="N68" s="8" t="s">
        <v>531</v>
      </c>
      <c r="O68" s="8" t="s">
        <v>442</v>
      </c>
      <c r="P68" s="4" t="s">
        <v>256</v>
      </c>
    </row>
    <row r="69" spans="1:16" ht="62.1" customHeight="1">
      <c r="A69" s="10" t="s">
        <v>182</v>
      </c>
      <c r="B69" s="10" t="s">
        <v>597</v>
      </c>
      <c r="C69" s="8" t="s">
        <v>179</v>
      </c>
      <c r="D69" s="8" t="s">
        <v>577</v>
      </c>
      <c r="E69" s="4" t="s">
        <v>598</v>
      </c>
      <c r="F69" s="4" t="s">
        <v>599</v>
      </c>
      <c r="G69" s="11" t="s">
        <v>600</v>
      </c>
      <c r="H69" s="11" t="s">
        <v>601</v>
      </c>
      <c r="I69" s="11" t="s">
        <v>602</v>
      </c>
      <c r="J69" s="12" t="str">
        <f t="shared" si="1"/>
        <v>Como responsable de operación, quiero consultar el resultado de cada envío y reintentar los fallidos de forma segura, para resolver errores sin duplicar documentos ni líneas en el ERP</v>
      </c>
      <c r="K69" s="11" t="s">
        <v>604</v>
      </c>
      <c r="L69" s="8" t="s">
        <v>301</v>
      </c>
      <c r="M69" s="8">
        <v>8</v>
      </c>
      <c r="N69" s="8" t="s">
        <v>531</v>
      </c>
      <c r="O69" s="8" t="s">
        <v>442</v>
      </c>
      <c r="P69" s="4" t="s">
        <v>256</v>
      </c>
    </row>
    <row r="70" spans="1:16" ht="62.1" customHeight="1">
      <c r="A70" s="10" t="s">
        <v>185</v>
      </c>
      <c r="B70" s="10" t="s">
        <v>597</v>
      </c>
      <c r="C70" s="8" t="s">
        <v>184</v>
      </c>
      <c r="D70" s="8" t="s">
        <v>577</v>
      </c>
      <c r="E70" s="4" t="s">
        <v>598</v>
      </c>
      <c r="F70" s="4" t="s">
        <v>599</v>
      </c>
      <c r="G70" s="11" t="s">
        <v>600</v>
      </c>
      <c r="H70" s="11" t="s">
        <v>601</v>
      </c>
      <c r="I70" s="11" t="s">
        <v>602</v>
      </c>
      <c r="J70" s="12" t="str">
        <f t="shared" ref="J70:J101" si="2">IF(OR(G70="",H70="",I70=""),"","Como "&amp;G70&amp;", quiero "&amp;H70&amp;", para "&amp;I70)</f>
        <v>Como responsable de operación, quiero consultar el resultado de cada envío y reintentar los fallidos de forma segura, para resolver errores sin duplicar documentos ni líneas en el ERP</v>
      </c>
      <c r="K70" s="11" t="s">
        <v>605</v>
      </c>
      <c r="L70" s="8" t="s">
        <v>301</v>
      </c>
      <c r="M70" s="8">
        <v>8</v>
      </c>
      <c r="N70" s="8" t="s">
        <v>531</v>
      </c>
      <c r="O70" s="8" t="s">
        <v>442</v>
      </c>
      <c r="P70" s="4" t="s">
        <v>256</v>
      </c>
    </row>
    <row r="71" spans="1:16" ht="62.1" customHeight="1">
      <c r="A71" s="10" t="s">
        <v>187</v>
      </c>
      <c r="B71" s="10" t="s">
        <v>597</v>
      </c>
      <c r="C71" s="8" t="s">
        <v>184</v>
      </c>
      <c r="D71" s="8" t="s">
        <v>577</v>
      </c>
      <c r="E71" s="4" t="s">
        <v>598</v>
      </c>
      <c r="F71" s="4" t="s">
        <v>599</v>
      </c>
      <c r="G71" s="11" t="s">
        <v>600</v>
      </c>
      <c r="H71" s="11" t="s">
        <v>601</v>
      </c>
      <c r="I71" s="11" t="s">
        <v>602</v>
      </c>
      <c r="J71" s="12" t="str">
        <f t="shared" si="2"/>
        <v>Como responsable de operación, quiero consultar el resultado de cada envío y reintentar los fallidos de forma segura, para resolver errores sin duplicar documentos ni líneas en el ERP</v>
      </c>
      <c r="K71" s="11" t="s">
        <v>606</v>
      </c>
      <c r="L71" s="8" t="s">
        <v>301</v>
      </c>
      <c r="M71" s="8">
        <v>8</v>
      </c>
      <c r="N71" s="8" t="s">
        <v>531</v>
      </c>
      <c r="O71" s="8" t="s">
        <v>442</v>
      </c>
      <c r="P71" s="4" t="s">
        <v>256</v>
      </c>
    </row>
    <row r="72" spans="1:16" ht="62.1" customHeight="1">
      <c r="A72" s="10" t="s">
        <v>190</v>
      </c>
      <c r="B72" s="10" t="s">
        <v>607</v>
      </c>
      <c r="C72" s="8" t="s">
        <v>189</v>
      </c>
      <c r="D72" s="8" t="s">
        <v>608</v>
      </c>
      <c r="E72" s="4" t="s">
        <v>609</v>
      </c>
      <c r="F72" s="4" t="s">
        <v>610</v>
      </c>
      <c r="G72" s="11" t="s">
        <v>507</v>
      </c>
      <c r="H72" s="11" t="s">
        <v>611</v>
      </c>
      <c r="I72" s="11" t="s">
        <v>612</v>
      </c>
      <c r="J72" s="12" t="str">
        <f t="shared" si="2"/>
        <v>Como vendedor o asistente de vendedor, quiero registrar un caso de posventa con cliente, productos, respaldo y evidencias, para iniciar formalmente su evaluación y seguimiento</v>
      </c>
      <c r="K72" s="11" t="s">
        <v>613</v>
      </c>
      <c r="L72" s="8" t="s">
        <v>301</v>
      </c>
      <c r="M72" s="8">
        <v>8</v>
      </c>
      <c r="N72" s="8" t="s">
        <v>572</v>
      </c>
      <c r="O72" s="8" t="s">
        <v>442</v>
      </c>
      <c r="P72" s="4" t="s">
        <v>262</v>
      </c>
    </row>
    <row r="73" spans="1:16" ht="62.1" customHeight="1">
      <c r="A73" s="10" t="s">
        <v>192</v>
      </c>
      <c r="B73" s="10" t="s">
        <v>607</v>
      </c>
      <c r="C73" s="8" t="s">
        <v>189</v>
      </c>
      <c r="D73" s="8" t="s">
        <v>608</v>
      </c>
      <c r="E73" s="4" t="s">
        <v>609</v>
      </c>
      <c r="F73" s="4" t="s">
        <v>610</v>
      </c>
      <c r="G73" s="11" t="s">
        <v>507</v>
      </c>
      <c r="H73" s="11" t="s">
        <v>611</v>
      </c>
      <c r="I73" s="11" t="s">
        <v>612</v>
      </c>
      <c r="J73" s="12" t="str">
        <f t="shared" si="2"/>
        <v>Como vendedor o asistente de vendedor, quiero registrar un caso de posventa con cliente, productos, respaldo y evidencias, para iniciar formalmente su evaluación y seguimiento</v>
      </c>
      <c r="K73" s="11" t="s">
        <v>614</v>
      </c>
      <c r="L73" s="8" t="s">
        <v>301</v>
      </c>
      <c r="M73" s="8">
        <v>8</v>
      </c>
      <c r="N73" s="8" t="s">
        <v>572</v>
      </c>
      <c r="O73" s="8" t="s">
        <v>442</v>
      </c>
      <c r="P73" s="4" t="s">
        <v>262</v>
      </c>
    </row>
    <row r="74" spans="1:16" ht="62.1" customHeight="1">
      <c r="A74" s="10" t="s">
        <v>195</v>
      </c>
      <c r="B74" s="10" t="s">
        <v>607</v>
      </c>
      <c r="C74" s="8" t="s">
        <v>194</v>
      </c>
      <c r="D74" s="8" t="s">
        <v>608</v>
      </c>
      <c r="E74" s="4" t="s">
        <v>609</v>
      </c>
      <c r="F74" s="4" t="s">
        <v>610</v>
      </c>
      <c r="G74" s="11" t="s">
        <v>507</v>
      </c>
      <c r="H74" s="11" t="s">
        <v>611</v>
      </c>
      <c r="I74" s="11" t="s">
        <v>612</v>
      </c>
      <c r="J74" s="12" t="str">
        <f t="shared" si="2"/>
        <v>Como vendedor o asistente de vendedor, quiero registrar un caso de posventa con cliente, productos, respaldo y evidencias, para iniciar formalmente su evaluación y seguimiento</v>
      </c>
      <c r="K74" s="11" t="s">
        <v>615</v>
      </c>
      <c r="L74" s="8" t="s">
        <v>301</v>
      </c>
      <c r="M74" s="8">
        <v>8</v>
      </c>
      <c r="N74" s="8" t="s">
        <v>572</v>
      </c>
      <c r="O74" s="8" t="s">
        <v>442</v>
      </c>
      <c r="P74" s="4" t="s">
        <v>262</v>
      </c>
    </row>
    <row r="75" spans="1:16" ht="62.1" customHeight="1">
      <c r="A75" s="10" t="s">
        <v>197</v>
      </c>
      <c r="B75" s="10" t="s">
        <v>607</v>
      </c>
      <c r="C75" s="8" t="s">
        <v>194</v>
      </c>
      <c r="D75" s="8" t="s">
        <v>608</v>
      </c>
      <c r="E75" s="4" t="s">
        <v>609</v>
      </c>
      <c r="F75" s="4" t="s">
        <v>610</v>
      </c>
      <c r="G75" s="11" t="s">
        <v>507</v>
      </c>
      <c r="H75" s="11" t="s">
        <v>611</v>
      </c>
      <c r="I75" s="11" t="s">
        <v>612</v>
      </c>
      <c r="J75" s="12" t="str">
        <f t="shared" si="2"/>
        <v>Como vendedor o asistente de vendedor, quiero registrar un caso de posventa con cliente, productos, respaldo y evidencias, para iniciar formalmente su evaluación y seguimiento</v>
      </c>
      <c r="K75" s="11" t="s">
        <v>616</v>
      </c>
      <c r="L75" s="8" t="s">
        <v>301</v>
      </c>
      <c r="M75" s="8">
        <v>8</v>
      </c>
      <c r="N75" s="8" t="s">
        <v>572</v>
      </c>
      <c r="O75" s="8" t="s">
        <v>442</v>
      </c>
      <c r="P75" s="4" t="s">
        <v>262</v>
      </c>
    </row>
    <row r="76" spans="1:16" ht="62.1" customHeight="1">
      <c r="A76" s="10" t="s">
        <v>200</v>
      </c>
      <c r="B76" s="10" t="s">
        <v>617</v>
      </c>
      <c r="C76" s="8" t="s">
        <v>199</v>
      </c>
      <c r="D76" s="8" t="s">
        <v>608</v>
      </c>
      <c r="E76" s="4" t="s">
        <v>618</v>
      </c>
      <c r="F76" s="4" t="s">
        <v>619</v>
      </c>
      <c r="G76" s="11" t="s">
        <v>620</v>
      </c>
      <c r="H76" s="11" t="s">
        <v>621</v>
      </c>
      <c r="I76" s="11" t="s">
        <v>622</v>
      </c>
      <c r="J76" s="12" t="str">
        <f t="shared" si="2"/>
        <v>Como autorizador de posventa, quiero evaluar las condiciones, aprobar o rechazar el caso y liberar su comprobante QR, para respaldar la decisión y continuar el flujo con el cliente</v>
      </c>
      <c r="K76" s="11" t="s">
        <v>623</v>
      </c>
      <c r="L76" s="8" t="s">
        <v>301</v>
      </c>
      <c r="M76" s="8">
        <v>8</v>
      </c>
      <c r="N76" s="8" t="s">
        <v>572</v>
      </c>
      <c r="O76" s="8" t="s">
        <v>442</v>
      </c>
      <c r="P76" s="4" t="s">
        <v>239</v>
      </c>
    </row>
    <row r="77" spans="1:16" ht="62.1" customHeight="1">
      <c r="A77" s="10" t="s">
        <v>203</v>
      </c>
      <c r="B77" s="10" t="s">
        <v>617</v>
      </c>
      <c r="C77" s="8" t="s">
        <v>202</v>
      </c>
      <c r="D77" s="8" t="s">
        <v>608</v>
      </c>
      <c r="E77" s="4" t="s">
        <v>618</v>
      </c>
      <c r="F77" s="4" t="s">
        <v>619</v>
      </c>
      <c r="G77" s="11" t="s">
        <v>620</v>
      </c>
      <c r="H77" s="11" t="s">
        <v>621</v>
      </c>
      <c r="I77" s="11" t="s">
        <v>622</v>
      </c>
      <c r="J77" s="12" t="str">
        <f t="shared" si="2"/>
        <v>Como autorizador de posventa, quiero evaluar las condiciones, aprobar o rechazar el caso y liberar su comprobante QR, para respaldar la decisión y continuar el flujo con el cliente</v>
      </c>
      <c r="K77" s="11" t="s">
        <v>624</v>
      </c>
      <c r="L77" s="8" t="s">
        <v>301</v>
      </c>
      <c r="M77" s="8">
        <v>8</v>
      </c>
      <c r="N77" s="8" t="s">
        <v>572</v>
      </c>
      <c r="O77" s="8" t="s">
        <v>442</v>
      </c>
      <c r="P77" s="4" t="s">
        <v>239</v>
      </c>
    </row>
    <row r="78" spans="1:16" ht="62.1" customHeight="1">
      <c r="A78" s="10" t="s">
        <v>206</v>
      </c>
      <c r="B78" s="10" t="s">
        <v>617</v>
      </c>
      <c r="C78" s="8" t="s">
        <v>205</v>
      </c>
      <c r="D78" s="8" t="s">
        <v>608</v>
      </c>
      <c r="E78" s="4" t="s">
        <v>618</v>
      </c>
      <c r="F78" s="4" t="s">
        <v>619</v>
      </c>
      <c r="G78" s="11" t="s">
        <v>620</v>
      </c>
      <c r="H78" s="11" t="s">
        <v>621</v>
      </c>
      <c r="I78" s="11" t="s">
        <v>622</v>
      </c>
      <c r="J78" s="12" t="str">
        <f t="shared" si="2"/>
        <v>Como autorizador de posventa, quiero evaluar las condiciones, aprobar o rechazar el caso y liberar su comprobante QR, para respaldar la decisión y continuar el flujo con el cliente</v>
      </c>
      <c r="K78" s="11" t="s">
        <v>625</v>
      </c>
      <c r="L78" s="8" t="s">
        <v>301</v>
      </c>
      <c r="M78" s="8">
        <v>8</v>
      </c>
      <c r="N78" s="8" t="s">
        <v>572</v>
      </c>
      <c r="O78" s="8" t="s">
        <v>442</v>
      </c>
      <c r="P78" s="4" t="s">
        <v>239</v>
      </c>
    </row>
    <row r="79" spans="1:16" ht="62.1" customHeight="1">
      <c r="A79" s="10" t="s">
        <v>208</v>
      </c>
      <c r="B79" s="10" t="s">
        <v>617</v>
      </c>
      <c r="C79" s="8" t="s">
        <v>205</v>
      </c>
      <c r="D79" s="8" t="s">
        <v>608</v>
      </c>
      <c r="E79" s="4" t="s">
        <v>618</v>
      </c>
      <c r="F79" s="4" t="s">
        <v>619</v>
      </c>
      <c r="G79" s="11" t="s">
        <v>620</v>
      </c>
      <c r="H79" s="11" t="s">
        <v>621</v>
      </c>
      <c r="I79" s="11" t="s">
        <v>622</v>
      </c>
      <c r="J79" s="12" t="str">
        <f t="shared" si="2"/>
        <v>Como autorizador de posventa, quiero evaluar las condiciones, aprobar o rechazar el caso y liberar su comprobante QR, para respaldar la decisión y continuar el flujo con el cliente</v>
      </c>
      <c r="K79" s="11" t="s">
        <v>626</v>
      </c>
      <c r="L79" s="8" t="s">
        <v>301</v>
      </c>
      <c r="M79" s="8">
        <v>8</v>
      </c>
      <c r="N79" s="8" t="s">
        <v>572</v>
      </c>
      <c r="O79" s="8" t="s">
        <v>442</v>
      </c>
      <c r="P79" s="4" t="s">
        <v>239</v>
      </c>
    </row>
    <row r="80" spans="1:16" ht="62.1" customHeight="1">
      <c r="A80" s="10" t="s">
        <v>211</v>
      </c>
      <c r="B80" s="10" t="s">
        <v>627</v>
      </c>
      <c r="C80" s="8" t="s">
        <v>210</v>
      </c>
      <c r="D80" s="8" t="s">
        <v>608</v>
      </c>
      <c r="E80" s="4" t="s">
        <v>628</v>
      </c>
      <c r="F80" s="4" t="s">
        <v>629</v>
      </c>
      <c r="G80" s="11" t="s">
        <v>620</v>
      </c>
      <c r="H80" s="11" t="s">
        <v>630</v>
      </c>
      <c r="I80" s="11" t="s">
        <v>631</v>
      </c>
      <c r="J80" s="12" t="str">
        <f t="shared" si="2"/>
        <v>Como autorizador de posventa, quiero actualizar el caso por sus estados y registrar su resolución final, para mantener el seguimiento hasta un cierre controlado</v>
      </c>
      <c r="K80" s="11" t="s">
        <v>632</v>
      </c>
      <c r="L80" s="8" t="s">
        <v>301</v>
      </c>
      <c r="M80" s="8">
        <v>8</v>
      </c>
      <c r="N80" s="8" t="s">
        <v>633</v>
      </c>
      <c r="O80" s="8" t="s">
        <v>442</v>
      </c>
      <c r="P80" s="4" t="s">
        <v>262</v>
      </c>
    </row>
    <row r="81" spans="1:16" ht="62.1" customHeight="1">
      <c r="A81" s="10" t="s">
        <v>213</v>
      </c>
      <c r="B81" s="10" t="s">
        <v>627</v>
      </c>
      <c r="C81" s="8" t="s">
        <v>210</v>
      </c>
      <c r="D81" s="8" t="s">
        <v>608</v>
      </c>
      <c r="E81" s="4" t="s">
        <v>628</v>
      </c>
      <c r="F81" s="4" t="s">
        <v>629</v>
      </c>
      <c r="G81" s="11" t="s">
        <v>620</v>
      </c>
      <c r="H81" s="11" t="s">
        <v>630</v>
      </c>
      <c r="I81" s="11" t="s">
        <v>631</v>
      </c>
      <c r="J81" s="12" t="str">
        <f t="shared" si="2"/>
        <v>Como autorizador de posventa, quiero actualizar el caso por sus estados y registrar su resolución final, para mantener el seguimiento hasta un cierre controlado</v>
      </c>
      <c r="K81" s="11" t="s">
        <v>634</v>
      </c>
      <c r="L81" s="8" t="s">
        <v>301</v>
      </c>
      <c r="M81" s="8">
        <v>8</v>
      </c>
      <c r="N81" s="8" t="s">
        <v>633</v>
      </c>
      <c r="O81" s="8" t="s">
        <v>442</v>
      </c>
      <c r="P81" s="4" t="s">
        <v>262</v>
      </c>
    </row>
    <row r="82" spans="1:16" ht="62.1" customHeight="1">
      <c r="A82" s="10" t="s">
        <v>215</v>
      </c>
      <c r="B82" s="10" t="s">
        <v>627</v>
      </c>
      <c r="C82" s="8" t="s">
        <v>210</v>
      </c>
      <c r="D82" s="8" t="s">
        <v>608</v>
      </c>
      <c r="E82" s="4" t="s">
        <v>628</v>
      </c>
      <c r="F82" s="4" t="s">
        <v>629</v>
      </c>
      <c r="G82" s="11" t="s">
        <v>620</v>
      </c>
      <c r="H82" s="11" t="s">
        <v>630</v>
      </c>
      <c r="I82" s="11" t="s">
        <v>631</v>
      </c>
      <c r="J82" s="12" t="str">
        <f t="shared" si="2"/>
        <v>Como autorizador de posventa, quiero actualizar el caso por sus estados y registrar su resolución final, para mantener el seguimiento hasta un cierre controlado</v>
      </c>
      <c r="K82" s="11" t="s">
        <v>635</v>
      </c>
      <c r="L82" s="8" t="s">
        <v>301</v>
      </c>
      <c r="M82" s="8">
        <v>8</v>
      </c>
      <c r="N82" s="8" t="s">
        <v>633</v>
      </c>
      <c r="O82" s="8" t="s">
        <v>442</v>
      </c>
      <c r="P82" s="4" t="s">
        <v>262</v>
      </c>
    </row>
    <row r="83" spans="1:16" ht="62.1" customHeight="1">
      <c r="A83" s="10" t="s">
        <v>218</v>
      </c>
      <c r="B83" s="10" t="s">
        <v>627</v>
      </c>
      <c r="C83" s="8" t="s">
        <v>217</v>
      </c>
      <c r="D83" s="8" t="s">
        <v>608</v>
      </c>
      <c r="E83" s="4" t="s">
        <v>628</v>
      </c>
      <c r="F83" s="4" t="s">
        <v>629</v>
      </c>
      <c r="G83" s="11" t="s">
        <v>620</v>
      </c>
      <c r="H83" s="11" t="s">
        <v>630</v>
      </c>
      <c r="I83" s="11" t="s">
        <v>631</v>
      </c>
      <c r="J83" s="12" t="str">
        <f t="shared" si="2"/>
        <v>Como autorizador de posventa, quiero actualizar el caso por sus estados y registrar su resolución final, para mantener el seguimiento hasta un cierre controlado</v>
      </c>
      <c r="K83" s="11" t="s">
        <v>636</v>
      </c>
      <c r="L83" s="8" t="s">
        <v>301</v>
      </c>
      <c r="M83" s="8">
        <v>8</v>
      </c>
      <c r="N83" s="8" t="s">
        <v>633</v>
      </c>
      <c r="O83" s="8" t="s">
        <v>442</v>
      </c>
      <c r="P83" s="4" t="s">
        <v>262</v>
      </c>
    </row>
  </sheetData>
  <mergeCells count="2">
    <mergeCell ref="A4:P4"/>
    <mergeCell ref="A2:P2"/>
  </mergeCells>
  <dataValidations count="3">
    <dataValidation type="list" sqref="L6:L83" xr:uid="{00000000-0002-0000-0300-000001000000}">
      <formula1>"Crítica,Alta,Media,Baja"</formula1>
    </dataValidation>
    <dataValidation type="whole" sqref="M6:M83" xr:uid="{00000000-0002-0000-0300-000002000000}">
      <formula1>0</formula1>
      <formula2>100</formula2>
    </dataValidation>
    <dataValidation type="list" sqref="O6:O83" xr:uid="{00000000-0002-0000-0300-000003000000}">
      <formula1>"Propuesto,En refinamiento,Listo,En Sprint,En curso,En pruebas,Terminado,Bloqueado"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Requerimientos!$A$6:$A$43</xm:f>
          </x14:formula1>
          <xm:sqref>C6:C83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E0B4"/>
  </sheetPr>
  <dimension ref="A2:O8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5" customWidth="1"/>
    <col min="2" max="2" width="12" customWidth="1"/>
    <col min="3" max="3" width="11" customWidth="1"/>
    <col min="4" max="4" width="16" customWidth="1"/>
    <col min="5" max="6" width="28" customWidth="1"/>
    <col min="7" max="7" width="38" customWidth="1"/>
    <col min="8" max="9" width="32" customWidth="1"/>
    <col min="10" max="10" width="16" customWidth="1"/>
    <col min="11" max="11" width="13" customWidth="1"/>
    <col min="12" max="12" width="30" customWidth="1"/>
    <col min="13" max="13" width="13" customWidth="1"/>
    <col min="14" max="14" width="20" customWidth="1"/>
    <col min="15" max="15" width="28" customWidth="1"/>
  </cols>
  <sheetData>
    <row r="2" spans="1:15" ht="27.95" customHeight="1">
      <c r="A2" s="16" t="s">
        <v>637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7.95" customHeight="1">
      <c r="A4" s="18" t="s">
        <v>638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38.1" customHeight="1">
      <c r="A5" s="3" t="s">
        <v>639</v>
      </c>
      <c r="B5" s="3" t="s">
        <v>18</v>
      </c>
      <c r="C5" s="3" t="s">
        <v>16</v>
      </c>
      <c r="D5" s="3" t="s">
        <v>14</v>
      </c>
      <c r="E5" s="3" t="s">
        <v>21</v>
      </c>
      <c r="F5" s="3" t="s">
        <v>640</v>
      </c>
      <c r="G5" s="3" t="s">
        <v>641</v>
      </c>
      <c r="H5" s="3" t="s">
        <v>642</v>
      </c>
      <c r="I5" s="3" t="s">
        <v>643</v>
      </c>
      <c r="J5" s="3" t="s">
        <v>22</v>
      </c>
      <c r="K5" s="3" t="s">
        <v>23</v>
      </c>
      <c r="L5" s="3" t="s">
        <v>644</v>
      </c>
      <c r="M5" s="3" t="s">
        <v>645</v>
      </c>
      <c r="N5" s="3" t="s">
        <v>225</v>
      </c>
      <c r="O5" s="3" t="s">
        <v>25</v>
      </c>
    </row>
    <row r="6" spans="1:15" ht="62.1" customHeight="1">
      <c r="A6" s="10" t="s">
        <v>28</v>
      </c>
      <c r="B6" s="8" t="s">
        <v>27</v>
      </c>
      <c r="C6" s="7" t="str">
        <f>IF($B6="","",IFERROR(IF(VLOOKUP($B6,'Historias y criterios'!$A$6:$P$83,2,FALSE)="","",VLOOKUP($B6,'Historias y criterios'!$A$6:$P$83,2,FALSE)),"ID no encontrado"))</f>
        <v>HU-001</v>
      </c>
      <c r="D6" s="7" t="str">
        <f>IF($B6="","",IFERROR(IF(VLOOKUP($B6,'Historias y criterios'!$A$6:$P$83,3,FALSE)="","",VLOOKUP($B6,'Historias y criterios'!$A$6:$P$83,3,FALSE)),"ID no encontrado"))</f>
        <v>RF-01</v>
      </c>
      <c r="E6" s="11" t="s">
        <v>646</v>
      </c>
      <c r="F6" s="11" t="s">
        <v>647</v>
      </c>
      <c r="G6" s="11" t="s">
        <v>648</v>
      </c>
      <c r="H6" s="11" t="s">
        <v>649</v>
      </c>
      <c r="I6" s="11"/>
      <c r="J6" s="8" t="s">
        <v>650</v>
      </c>
      <c r="K6" s="8"/>
      <c r="L6" s="4"/>
      <c r="M6" s="13"/>
      <c r="N6" s="4" t="s">
        <v>232</v>
      </c>
      <c r="O6" s="4"/>
    </row>
    <row r="7" spans="1:15" ht="62.1" customHeight="1">
      <c r="A7" s="10" t="s">
        <v>30</v>
      </c>
      <c r="B7" s="8" t="s">
        <v>29</v>
      </c>
      <c r="C7" s="7" t="str">
        <f>IF($B7="","",IFERROR(IF(VLOOKUP($B7,'Historias y criterios'!$A$6:$P$83,2,FALSE)="","",VLOOKUP($B7,'Historias y criterios'!$A$6:$P$83,2,FALSE)),"ID no encontrado"))</f>
        <v>HU-001</v>
      </c>
      <c r="D7" s="7" t="str">
        <f>IF($B7="","",IFERROR(IF(VLOOKUP($B7,'Historias y criterios'!$A$6:$P$83,3,FALSE)="","",VLOOKUP($B7,'Historias y criterios'!$A$6:$P$83,3,FALSE)),"ID no encontrado"))</f>
        <v>RF-01</v>
      </c>
      <c r="E7" s="11" t="s">
        <v>651</v>
      </c>
      <c r="F7" s="11" t="s">
        <v>652</v>
      </c>
      <c r="G7" s="11" t="s">
        <v>653</v>
      </c>
      <c r="H7" s="11" t="s">
        <v>654</v>
      </c>
      <c r="I7" s="11"/>
      <c r="J7" s="8" t="s">
        <v>650</v>
      </c>
      <c r="K7" s="8"/>
      <c r="L7" s="4"/>
      <c r="M7" s="13"/>
      <c r="N7" s="4" t="s">
        <v>232</v>
      </c>
      <c r="O7" s="4"/>
    </row>
    <row r="8" spans="1:15" ht="89.1" customHeight="1">
      <c r="A8" s="10" t="s">
        <v>32</v>
      </c>
      <c r="B8" s="8" t="s">
        <v>31</v>
      </c>
      <c r="C8" s="7" t="str">
        <f>IF($B8="","",IFERROR(IF(VLOOKUP($B8,'Historias y criterios'!$A$6:$P$83,2,FALSE)="","",VLOOKUP($B8,'Historias y criterios'!$A$6:$P$83,2,FALSE)),"ID no encontrado"))</f>
        <v>HU-001</v>
      </c>
      <c r="D8" s="7" t="str">
        <f>IF($B8="","",IFERROR(IF(VLOOKUP($B8,'Historias y criterios'!$A$6:$P$83,3,FALSE)="","",VLOOKUP($B8,'Historias y criterios'!$A$6:$P$83,3,FALSE)),"ID no encontrado"))</f>
        <v>RF-01</v>
      </c>
      <c r="E8" s="11" t="s">
        <v>655</v>
      </c>
      <c r="F8" s="11" t="s">
        <v>656</v>
      </c>
      <c r="G8" s="11" t="s">
        <v>657</v>
      </c>
      <c r="H8" s="11" t="s">
        <v>658</v>
      </c>
      <c r="I8" s="11"/>
      <c r="J8" s="8" t="s">
        <v>650</v>
      </c>
      <c r="K8" s="8"/>
      <c r="L8" s="4"/>
      <c r="M8" s="13"/>
      <c r="N8" s="4" t="s">
        <v>232</v>
      </c>
      <c r="O8" s="4"/>
    </row>
    <row r="9" spans="1:15" ht="62.1" customHeight="1">
      <c r="A9" s="10" t="s">
        <v>35</v>
      </c>
      <c r="B9" s="8" t="s">
        <v>34</v>
      </c>
      <c r="C9" s="7" t="str">
        <f>IF($B9="","",IFERROR(IF(VLOOKUP($B9,'Historias y criterios'!$A$6:$P$83,2,FALSE)="","",VLOOKUP($B9,'Historias y criterios'!$A$6:$P$83,2,FALSE)),"ID no encontrado"))</f>
        <v>HU-002</v>
      </c>
      <c r="D9" s="7" t="str">
        <f>IF($B9="","",IFERROR(IF(VLOOKUP($B9,'Historias y criterios'!$A$6:$P$83,3,FALSE)="","",VLOOKUP($B9,'Historias y criterios'!$A$6:$P$83,3,FALSE)),"ID no encontrado"))</f>
        <v>RF-02</v>
      </c>
      <c r="E9" s="11" t="s">
        <v>659</v>
      </c>
      <c r="F9" s="11" t="s">
        <v>660</v>
      </c>
      <c r="G9" s="11" t="s">
        <v>661</v>
      </c>
      <c r="H9" s="11" t="s">
        <v>662</v>
      </c>
      <c r="I9" s="11"/>
      <c r="J9" s="8" t="s">
        <v>650</v>
      </c>
      <c r="K9" s="8"/>
      <c r="L9" s="4"/>
      <c r="M9" s="13"/>
      <c r="N9" s="4" t="s">
        <v>232</v>
      </c>
      <c r="O9" s="4"/>
    </row>
    <row r="10" spans="1:15" ht="62.1" customHeight="1">
      <c r="A10" s="10" t="s">
        <v>38</v>
      </c>
      <c r="B10" s="8" t="s">
        <v>37</v>
      </c>
      <c r="C10" s="7" t="str">
        <f>IF($B10="","",IFERROR(IF(VLOOKUP($B10,'Historias y criterios'!$A$6:$P$83,2,FALSE)="","",VLOOKUP($B10,'Historias y criterios'!$A$6:$P$83,2,FALSE)),"ID no encontrado"))</f>
        <v>HU-002</v>
      </c>
      <c r="D10" s="7" t="str">
        <f>IF($B10="","",IFERROR(IF(VLOOKUP($B10,'Historias y criterios'!$A$6:$P$83,3,FALSE)="","",VLOOKUP($B10,'Historias y criterios'!$A$6:$P$83,3,FALSE)),"ID no encontrado"))</f>
        <v>RF-04</v>
      </c>
      <c r="E10" s="11" t="s">
        <v>663</v>
      </c>
      <c r="F10" s="11" t="s">
        <v>664</v>
      </c>
      <c r="G10" s="11" t="s">
        <v>665</v>
      </c>
      <c r="H10" s="11" t="s">
        <v>666</v>
      </c>
      <c r="I10" s="11"/>
      <c r="J10" s="8" t="s">
        <v>650</v>
      </c>
      <c r="K10" s="8"/>
      <c r="L10" s="4"/>
      <c r="M10" s="13"/>
      <c r="N10" s="4" t="s">
        <v>232</v>
      </c>
      <c r="O10" s="4"/>
    </row>
    <row r="11" spans="1:15" ht="75.599999999999994" customHeight="1">
      <c r="A11" s="10" t="s">
        <v>40</v>
      </c>
      <c r="B11" s="8" t="s">
        <v>39</v>
      </c>
      <c r="C11" s="7" t="str">
        <f>IF($B11="","",IFERROR(IF(VLOOKUP($B11,'Historias y criterios'!$A$6:$P$83,2,FALSE)="","",VLOOKUP($B11,'Historias y criterios'!$A$6:$P$83,2,FALSE)),"ID no encontrado"))</f>
        <v>HU-002</v>
      </c>
      <c r="D11" s="7" t="str">
        <f>IF($B11="","",IFERROR(IF(VLOOKUP($B11,'Historias y criterios'!$A$6:$P$83,3,FALSE)="","",VLOOKUP($B11,'Historias y criterios'!$A$6:$P$83,3,FALSE)),"ID no encontrado"))</f>
        <v>RF-04</v>
      </c>
      <c r="E11" s="11" t="s">
        <v>667</v>
      </c>
      <c r="F11" s="11" t="s">
        <v>668</v>
      </c>
      <c r="G11" s="11" t="s">
        <v>669</v>
      </c>
      <c r="H11" s="11" t="s">
        <v>670</v>
      </c>
      <c r="I11" s="11"/>
      <c r="J11" s="8" t="s">
        <v>650</v>
      </c>
      <c r="K11" s="8"/>
      <c r="L11" s="4"/>
      <c r="M11" s="13"/>
      <c r="N11" s="4" t="s">
        <v>232</v>
      </c>
      <c r="O11" s="4"/>
    </row>
    <row r="12" spans="1:15" ht="62.1" customHeight="1">
      <c r="A12" s="10" t="s">
        <v>43</v>
      </c>
      <c r="B12" s="8" t="s">
        <v>42</v>
      </c>
      <c r="C12" s="7" t="str">
        <f>IF($B12="","",IFERROR(IF(VLOOKUP($B12,'Historias y criterios'!$A$6:$P$83,2,FALSE)="","",VLOOKUP($B12,'Historias y criterios'!$A$6:$P$83,2,FALSE)),"ID no encontrado"))</f>
        <v>HU-003</v>
      </c>
      <c r="D12" s="7" t="str">
        <f>IF($B12="","",IFERROR(IF(VLOOKUP($B12,'Historias y criterios'!$A$6:$P$83,3,FALSE)="","",VLOOKUP($B12,'Historias y criterios'!$A$6:$P$83,3,FALSE)),"ID no encontrado"))</f>
        <v>RF-03</v>
      </c>
      <c r="E12" s="11" t="s">
        <v>671</v>
      </c>
      <c r="F12" s="11" t="s">
        <v>672</v>
      </c>
      <c r="G12" s="11" t="s">
        <v>673</v>
      </c>
      <c r="H12" s="11" t="s">
        <v>674</v>
      </c>
      <c r="I12" s="11"/>
      <c r="J12" s="8" t="s">
        <v>650</v>
      </c>
      <c r="K12" s="8"/>
      <c r="L12" s="4"/>
      <c r="M12" s="13"/>
      <c r="N12" s="4" t="s">
        <v>232</v>
      </c>
      <c r="O12" s="4"/>
    </row>
    <row r="13" spans="1:15" ht="62.1" customHeight="1">
      <c r="A13" s="10" t="s">
        <v>45</v>
      </c>
      <c r="B13" s="8" t="s">
        <v>44</v>
      </c>
      <c r="C13" s="7" t="str">
        <f>IF($B13="","",IFERROR(IF(VLOOKUP($B13,'Historias y criterios'!$A$6:$P$83,2,FALSE)="","",VLOOKUP($B13,'Historias y criterios'!$A$6:$P$83,2,FALSE)),"ID no encontrado"))</f>
        <v>HU-003</v>
      </c>
      <c r="D13" s="7" t="str">
        <f>IF($B13="","",IFERROR(IF(VLOOKUP($B13,'Historias y criterios'!$A$6:$P$83,3,FALSE)="","",VLOOKUP($B13,'Historias y criterios'!$A$6:$P$83,3,FALSE)),"ID no encontrado"))</f>
        <v>RF-03</v>
      </c>
      <c r="E13" s="11" t="s">
        <v>675</v>
      </c>
      <c r="F13" s="11" t="s">
        <v>676</v>
      </c>
      <c r="G13" s="11" t="s">
        <v>677</v>
      </c>
      <c r="H13" s="11" t="s">
        <v>678</v>
      </c>
      <c r="I13" s="11"/>
      <c r="J13" s="8" t="s">
        <v>650</v>
      </c>
      <c r="K13" s="8"/>
      <c r="L13" s="4"/>
      <c r="M13" s="13"/>
      <c r="N13" s="4" t="s">
        <v>232</v>
      </c>
      <c r="O13" s="4"/>
    </row>
    <row r="14" spans="1:15" ht="75.599999999999994" customHeight="1">
      <c r="A14" s="10" t="s">
        <v>48</v>
      </c>
      <c r="B14" s="8" t="s">
        <v>47</v>
      </c>
      <c r="C14" s="7" t="str">
        <f>IF($B14="","",IFERROR(IF(VLOOKUP($B14,'Historias y criterios'!$A$6:$P$83,2,FALSE)="","",VLOOKUP($B14,'Historias y criterios'!$A$6:$P$83,2,FALSE)),"ID no encontrado"))</f>
        <v>HU-003</v>
      </c>
      <c r="D14" s="7" t="str">
        <f>IF($B14="","",IFERROR(IF(VLOOKUP($B14,'Historias y criterios'!$A$6:$P$83,3,FALSE)="","",VLOOKUP($B14,'Historias y criterios'!$A$6:$P$83,3,FALSE)),"ID no encontrado"))</f>
        <v>RF-29</v>
      </c>
      <c r="E14" s="11" t="s">
        <v>679</v>
      </c>
      <c r="F14" s="11" t="s">
        <v>680</v>
      </c>
      <c r="G14" s="11" t="s">
        <v>681</v>
      </c>
      <c r="H14" s="11" t="s">
        <v>682</v>
      </c>
      <c r="I14" s="11"/>
      <c r="J14" s="8" t="s">
        <v>650</v>
      </c>
      <c r="K14" s="8"/>
      <c r="L14" s="4"/>
      <c r="M14" s="13"/>
      <c r="N14" s="4" t="s">
        <v>232</v>
      </c>
      <c r="O14" s="4"/>
    </row>
    <row r="15" spans="1:15" ht="62.1" customHeight="1">
      <c r="A15" s="10" t="s">
        <v>51</v>
      </c>
      <c r="B15" s="8" t="s">
        <v>50</v>
      </c>
      <c r="C15" s="7" t="str">
        <f>IF($B15="","",IFERROR(IF(VLOOKUP($B15,'Historias y criterios'!$A$6:$P$83,2,FALSE)="","",VLOOKUP($B15,'Historias y criterios'!$A$6:$P$83,2,FALSE)),"ID no encontrado"))</f>
        <v>HU-003</v>
      </c>
      <c r="D15" s="7" t="str">
        <f>IF($B15="","",IFERROR(IF(VLOOKUP($B15,'Historias y criterios'!$A$6:$P$83,3,FALSE)="","",VLOOKUP($B15,'Historias y criterios'!$A$6:$P$83,3,FALSE)),"ID no encontrado"))</f>
        <v>RF-05</v>
      </c>
      <c r="E15" s="11" t="s">
        <v>683</v>
      </c>
      <c r="F15" s="11" t="s">
        <v>684</v>
      </c>
      <c r="G15" s="11" t="s">
        <v>685</v>
      </c>
      <c r="H15" s="11" t="s">
        <v>686</v>
      </c>
      <c r="I15" s="11"/>
      <c r="J15" s="8" t="s">
        <v>650</v>
      </c>
      <c r="K15" s="8"/>
      <c r="L15" s="4"/>
      <c r="M15" s="13"/>
      <c r="N15" s="4" t="s">
        <v>232</v>
      </c>
      <c r="O15" s="4"/>
    </row>
    <row r="16" spans="1:15" ht="62.1" customHeight="1">
      <c r="A16" s="10" t="s">
        <v>54</v>
      </c>
      <c r="B16" s="8" t="s">
        <v>53</v>
      </c>
      <c r="C16" s="7" t="str">
        <f>IF($B16="","",IFERROR(IF(VLOOKUP($B16,'Historias y criterios'!$A$6:$P$83,2,FALSE)="","",VLOOKUP($B16,'Historias y criterios'!$A$6:$P$83,2,FALSE)),"ID no encontrado"))</f>
        <v>HU-004</v>
      </c>
      <c r="D16" s="7" t="str">
        <f>IF($B16="","",IFERROR(IF(VLOOKUP($B16,'Historias y criterios'!$A$6:$P$83,3,FALSE)="","",VLOOKUP($B16,'Historias y criterios'!$A$6:$P$83,3,FALSE)),"ID no encontrado"))</f>
        <v>RF-35</v>
      </c>
      <c r="E16" s="11" t="s">
        <v>687</v>
      </c>
      <c r="F16" s="11" t="s">
        <v>688</v>
      </c>
      <c r="G16" s="11" t="s">
        <v>689</v>
      </c>
      <c r="H16" s="11" t="s">
        <v>690</v>
      </c>
      <c r="I16" s="11"/>
      <c r="J16" s="8" t="s">
        <v>650</v>
      </c>
      <c r="K16" s="8"/>
      <c r="L16" s="4"/>
      <c r="M16" s="13"/>
      <c r="N16" s="4" t="s">
        <v>232</v>
      </c>
      <c r="O16" s="4"/>
    </row>
    <row r="17" spans="1:15" ht="62.1" customHeight="1">
      <c r="A17" s="10" t="s">
        <v>57</v>
      </c>
      <c r="B17" s="8" t="s">
        <v>56</v>
      </c>
      <c r="C17" s="7" t="str">
        <f>IF($B17="","",IFERROR(IF(VLOOKUP($B17,'Historias y criterios'!$A$6:$P$83,2,FALSE)="","",VLOOKUP($B17,'Historias y criterios'!$A$6:$P$83,2,FALSE)),"ID no encontrado"))</f>
        <v>HU-004</v>
      </c>
      <c r="D17" s="7" t="str">
        <f>IF($B17="","",IFERROR(IF(VLOOKUP($B17,'Historias y criterios'!$A$6:$P$83,3,FALSE)="","",VLOOKUP($B17,'Historias y criterios'!$A$6:$P$83,3,FALSE)),"ID no encontrado"))</f>
        <v>RF-36</v>
      </c>
      <c r="E17" s="11" t="s">
        <v>691</v>
      </c>
      <c r="F17" s="11" t="s">
        <v>692</v>
      </c>
      <c r="G17" s="11" t="s">
        <v>693</v>
      </c>
      <c r="H17" s="11" t="s">
        <v>694</v>
      </c>
      <c r="I17" s="11"/>
      <c r="J17" s="8" t="s">
        <v>650</v>
      </c>
      <c r="K17" s="8"/>
      <c r="L17" s="4"/>
      <c r="M17" s="13"/>
      <c r="N17" s="4" t="s">
        <v>232</v>
      </c>
      <c r="O17" s="4"/>
    </row>
    <row r="18" spans="1:15" ht="62.1" customHeight="1">
      <c r="A18" s="10" t="s">
        <v>60</v>
      </c>
      <c r="B18" s="8" t="s">
        <v>59</v>
      </c>
      <c r="C18" s="7" t="str">
        <f>IF($B18="","",IFERROR(IF(VLOOKUP($B18,'Historias y criterios'!$A$6:$P$83,2,FALSE)="","",VLOOKUP($B18,'Historias y criterios'!$A$6:$P$83,2,FALSE)),"ID no encontrado"))</f>
        <v>HU-004</v>
      </c>
      <c r="D18" s="7" t="str">
        <f>IF($B18="","",IFERROR(IF(VLOOKUP($B18,'Historias y criterios'!$A$6:$P$83,3,FALSE)="","",VLOOKUP($B18,'Historias y criterios'!$A$6:$P$83,3,FALSE)),"ID no encontrado"))</f>
        <v>RF-37</v>
      </c>
      <c r="E18" s="11" t="s">
        <v>695</v>
      </c>
      <c r="F18" s="11" t="s">
        <v>696</v>
      </c>
      <c r="G18" s="11" t="s">
        <v>697</v>
      </c>
      <c r="H18" s="11" t="s">
        <v>698</v>
      </c>
      <c r="I18" s="11"/>
      <c r="J18" s="8" t="s">
        <v>650</v>
      </c>
      <c r="K18" s="8"/>
      <c r="L18" s="4"/>
      <c r="M18" s="13"/>
      <c r="N18" s="4" t="s">
        <v>232</v>
      </c>
      <c r="O18" s="4"/>
    </row>
    <row r="19" spans="1:15" ht="62.1" customHeight="1">
      <c r="A19" s="10" t="s">
        <v>62</v>
      </c>
      <c r="B19" s="8" t="s">
        <v>61</v>
      </c>
      <c r="C19" s="7" t="str">
        <f>IF($B19="","",IFERROR(IF(VLOOKUP($B19,'Historias y criterios'!$A$6:$P$83,2,FALSE)="","",VLOOKUP($B19,'Historias y criterios'!$A$6:$P$83,2,FALSE)),"ID no encontrado"))</f>
        <v>HU-004</v>
      </c>
      <c r="D19" s="7" t="str">
        <f>IF($B19="","",IFERROR(IF(VLOOKUP($B19,'Historias y criterios'!$A$6:$P$83,3,FALSE)="","",VLOOKUP($B19,'Historias y criterios'!$A$6:$P$83,3,FALSE)),"ID no encontrado"))</f>
        <v>RF-37</v>
      </c>
      <c r="E19" s="11" t="s">
        <v>699</v>
      </c>
      <c r="F19" s="11" t="s">
        <v>700</v>
      </c>
      <c r="G19" s="11" t="s">
        <v>701</v>
      </c>
      <c r="H19" s="11" t="s">
        <v>702</v>
      </c>
      <c r="I19" s="11"/>
      <c r="J19" s="8" t="s">
        <v>650</v>
      </c>
      <c r="K19" s="8"/>
      <c r="L19" s="4"/>
      <c r="M19" s="13"/>
      <c r="N19" s="4" t="s">
        <v>232</v>
      </c>
      <c r="O19" s="4"/>
    </row>
    <row r="20" spans="1:15" ht="62.1" customHeight="1">
      <c r="A20" s="10" t="s">
        <v>65</v>
      </c>
      <c r="B20" s="8" t="s">
        <v>64</v>
      </c>
      <c r="C20" s="7" t="str">
        <f>IF($B20="","",IFERROR(IF(VLOOKUP($B20,'Historias y criterios'!$A$6:$P$83,2,FALSE)="","",VLOOKUP($B20,'Historias y criterios'!$A$6:$P$83,2,FALSE)),"ID no encontrado"))</f>
        <v>HU-005</v>
      </c>
      <c r="D20" s="7" t="str">
        <f>IF($B20="","",IFERROR(IF(VLOOKUP($B20,'Historias y criterios'!$A$6:$P$83,3,FALSE)="","",VLOOKUP($B20,'Historias y criterios'!$A$6:$P$83,3,FALSE)),"ID no encontrado"))</f>
        <v>RF-06</v>
      </c>
      <c r="E20" s="11" t="s">
        <v>703</v>
      </c>
      <c r="F20" s="11" t="s">
        <v>704</v>
      </c>
      <c r="G20" s="11" t="s">
        <v>705</v>
      </c>
      <c r="H20" s="11" t="s">
        <v>706</v>
      </c>
      <c r="I20" s="11"/>
      <c r="J20" s="8" t="s">
        <v>650</v>
      </c>
      <c r="K20" s="8"/>
      <c r="L20" s="4"/>
      <c r="M20" s="13"/>
      <c r="N20" s="4" t="s">
        <v>239</v>
      </c>
      <c r="O20" s="4"/>
    </row>
    <row r="21" spans="1:15" ht="62.1" customHeight="1">
      <c r="A21" s="10" t="s">
        <v>67</v>
      </c>
      <c r="B21" s="8" t="s">
        <v>66</v>
      </c>
      <c r="C21" s="7" t="str">
        <f>IF($B21="","",IFERROR(IF(VLOOKUP($B21,'Historias y criterios'!$A$6:$P$83,2,FALSE)="","",VLOOKUP($B21,'Historias y criterios'!$A$6:$P$83,2,FALSE)),"ID no encontrado"))</f>
        <v>HU-005</v>
      </c>
      <c r="D21" s="7" t="str">
        <f>IF($B21="","",IFERROR(IF(VLOOKUP($B21,'Historias y criterios'!$A$6:$P$83,3,FALSE)="","",VLOOKUP($B21,'Historias y criterios'!$A$6:$P$83,3,FALSE)),"ID no encontrado"))</f>
        <v>RF-06</v>
      </c>
      <c r="E21" s="11" t="s">
        <v>707</v>
      </c>
      <c r="F21" s="11" t="s">
        <v>708</v>
      </c>
      <c r="G21" s="11" t="s">
        <v>709</v>
      </c>
      <c r="H21" s="11" t="s">
        <v>710</v>
      </c>
      <c r="I21" s="11"/>
      <c r="J21" s="8" t="s">
        <v>650</v>
      </c>
      <c r="K21" s="8"/>
      <c r="L21" s="4"/>
      <c r="M21" s="13"/>
      <c r="N21" s="4" t="s">
        <v>239</v>
      </c>
      <c r="O21" s="4"/>
    </row>
    <row r="22" spans="1:15" ht="89.1" customHeight="1">
      <c r="A22" s="10" t="s">
        <v>70</v>
      </c>
      <c r="B22" s="8" t="s">
        <v>69</v>
      </c>
      <c r="C22" s="7" t="str">
        <f>IF($B22="","",IFERROR(IF(VLOOKUP($B22,'Historias y criterios'!$A$6:$P$83,2,FALSE)="","",VLOOKUP($B22,'Historias y criterios'!$A$6:$P$83,2,FALSE)),"ID no encontrado"))</f>
        <v>HU-005</v>
      </c>
      <c r="D22" s="7" t="str">
        <f>IF($B22="","",IFERROR(IF(VLOOKUP($B22,'Historias y criterios'!$A$6:$P$83,3,FALSE)="","",VLOOKUP($B22,'Historias y criterios'!$A$6:$P$83,3,FALSE)),"ID no encontrado"))</f>
        <v>RF-39</v>
      </c>
      <c r="E22" s="11" t="s">
        <v>711</v>
      </c>
      <c r="F22" s="11" t="s">
        <v>712</v>
      </c>
      <c r="G22" s="11" t="s">
        <v>713</v>
      </c>
      <c r="H22" s="11" t="s">
        <v>714</v>
      </c>
      <c r="I22" s="11"/>
      <c r="J22" s="8" t="s">
        <v>650</v>
      </c>
      <c r="K22" s="8"/>
      <c r="L22" s="4"/>
      <c r="M22" s="13"/>
      <c r="N22" s="4" t="s">
        <v>239</v>
      </c>
      <c r="O22" s="4"/>
    </row>
    <row r="23" spans="1:15" ht="62.1" customHeight="1">
      <c r="A23" s="10" t="s">
        <v>72</v>
      </c>
      <c r="B23" s="8" t="s">
        <v>71</v>
      </c>
      <c r="C23" s="7" t="str">
        <f>IF($B23="","",IFERROR(IF(VLOOKUP($B23,'Historias y criterios'!$A$6:$P$83,2,FALSE)="","",VLOOKUP($B23,'Historias y criterios'!$A$6:$P$83,2,FALSE)),"ID no encontrado"))</f>
        <v>HU-005</v>
      </c>
      <c r="D23" s="7" t="str">
        <f>IF($B23="","",IFERROR(IF(VLOOKUP($B23,'Historias y criterios'!$A$6:$P$83,3,FALSE)="","",VLOOKUP($B23,'Historias y criterios'!$A$6:$P$83,3,FALSE)),"ID no encontrado"))</f>
        <v>RF-06</v>
      </c>
      <c r="E23" s="11" t="s">
        <v>715</v>
      </c>
      <c r="F23" s="11" t="s">
        <v>716</v>
      </c>
      <c r="G23" s="11" t="s">
        <v>717</v>
      </c>
      <c r="H23" s="11" t="s">
        <v>718</v>
      </c>
      <c r="I23" s="11"/>
      <c r="J23" s="8" t="s">
        <v>650</v>
      </c>
      <c r="K23" s="8"/>
      <c r="L23" s="4"/>
      <c r="M23" s="13"/>
      <c r="N23" s="4" t="s">
        <v>239</v>
      </c>
      <c r="O23" s="4"/>
    </row>
    <row r="24" spans="1:15" ht="62.1" customHeight="1">
      <c r="A24" s="10" t="s">
        <v>75</v>
      </c>
      <c r="B24" s="8" t="s">
        <v>74</v>
      </c>
      <c r="C24" s="7" t="str">
        <f>IF($B24="","",IFERROR(IF(VLOOKUP($B24,'Historias y criterios'!$A$6:$P$83,2,FALSE)="","",VLOOKUP($B24,'Historias y criterios'!$A$6:$P$83,2,FALSE)),"ID no encontrado"))</f>
        <v>HU-006</v>
      </c>
      <c r="D24" s="7" t="str">
        <f>IF($B24="","",IFERROR(IF(VLOOKUP($B24,'Historias y criterios'!$A$6:$P$83,3,FALSE)="","",VLOOKUP($B24,'Historias y criterios'!$A$6:$P$83,3,FALSE)),"ID no encontrado"))</f>
        <v>RF-07</v>
      </c>
      <c r="E24" s="11" t="s">
        <v>719</v>
      </c>
      <c r="F24" s="11" t="s">
        <v>720</v>
      </c>
      <c r="G24" s="11" t="s">
        <v>721</v>
      </c>
      <c r="H24" s="11" t="s">
        <v>722</v>
      </c>
      <c r="I24" s="11"/>
      <c r="J24" s="8" t="s">
        <v>650</v>
      </c>
      <c r="K24" s="8"/>
      <c r="L24" s="4"/>
      <c r="M24" s="13"/>
      <c r="N24" s="4" t="s">
        <v>239</v>
      </c>
      <c r="O24" s="4"/>
    </row>
    <row r="25" spans="1:15" ht="62.1" customHeight="1">
      <c r="A25" s="10" t="s">
        <v>77</v>
      </c>
      <c r="B25" s="8" t="s">
        <v>76</v>
      </c>
      <c r="C25" s="7" t="str">
        <f>IF($B25="","",IFERROR(IF(VLOOKUP($B25,'Historias y criterios'!$A$6:$P$83,2,FALSE)="","",VLOOKUP($B25,'Historias y criterios'!$A$6:$P$83,2,FALSE)),"ID no encontrado"))</f>
        <v>HU-006</v>
      </c>
      <c r="D25" s="7" t="str">
        <f>IF($B25="","",IFERROR(IF(VLOOKUP($B25,'Historias y criterios'!$A$6:$P$83,3,FALSE)="","",VLOOKUP($B25,'Historias y criterios'!$A$6:$P$83,3,FALSE)),"ID no encontrado"))</f>
        <v>RF-07</v>
      </c>
      <c r="E25" s="11" t="s">
        <v>723</v>
      </c>
      <c r="F25" s="11" t="s">
        <v>724</v>
      </c>
      <c r="G25" s="11" t="s">
        <v>725</v>
      </c>
      <c r="H25" s="11" t="s">
        <v>726</v>
      </c>
      <c r="I25" s="11"/>
      <c r="J25" s="8" t="s">
        <v>650</v>
      </c>
      <c r="K25" s="8"/>
      <c r="L25" s="4"/>
      <c r="M25" s="13"/>
      <c r="N25" s="4" t="s">
        <v>239</v>
      </c>
      <c r="O25" s="4"/>
    </row>
    <row r="26" spans="1:15" ht="62.1" customHeight="1">
      <c r="A26" s="10" t="s">
        <v>79</v>
      </c>
      <c r="B26" s="8" t="s">
        <v>78</v>
      </c>
      <c r="C26" s="7" t="str">
        <f>IF($B26="","",IFERROR(IF(VLOOKUP($B26,'Historias y criterios'!$A$6:$P$83,2,FALSE)="","",VLOOKUP($B26,'Historias y criterios'!$A$6:$P$83,2,FALSE)),"ID no encontrado"))</f>
        <v>HU-006</v>
      </c>
      <c r="D26" s="7" t="str">
        <f>IF($B26="","",IFERROR(IF(VLOOKUP($B26,'Historias y criterios'!$A$6:$P$83,3,FALSE)="","",VLOOKUP($B26,'Historias y criterios'!$A$6:$P$83,3,FALSE)),"ID no encontrado"))</f>
        <v>RF-07</v>
      </c>
      <c r="E26" s="11" t="s">
        <v>727</v>
      </c>
      <c r="F26" s="11" t="s">
        <v>728</v>
      </c>
      <c r="G26" s="11" t="s">
        <v>729</v>
      </c>
      <c r="H26" s="11" t="s">
        <v>730</v>
      </c>
      <c r="I26" s="11"/>
      <c r="J26" s="8" t="s">
        <v>650</v>
      </c>
      <c r="K26" s="8"/>
      <c r="L26" s="4"/>
      <c r="M26" s="13"/>
      <c r="N26" s="4" t="s">
        <v>239</v>
      </c>
      <c r="O26" s="4"/>
    </row>
    <row r="27" spans="1:15" ht="62.1" customHeight="1">
      <c r="A27" s="10" t="s">
        <v>81</v>
      </c>
      <c r="B27" s="8" t="s">
        <v>80</v>
      </c>
      <c r="C27" s="7" t="str">
        <f>IF($B27="","",IFERROR(IF(VLOOKUP($B27,'Historias y criterios'!$A$6:$P$83,2,FALSE)="","",VLOOKUP($B27,'Historias y criterios'!$A$6:$P$83,2,FALSE)),"ID no encontrado"))</f>
        <v>HU-006</v>
      </c>
      <c r="D27" s="7" t="str">
        <f>IF($B27="","",IFERROR(IF(VLOOKUP($B27,'Historias y criterios'!$A$6:$P$83,3,FALSE)="","",VLOOKUP($B27,'Historias y criterios'!$A$6:$P$83,3,FALSE)),"ID no encontrado"))</f>
        <v>RF-07</v>
      </c>
      <c r="E27" s="11" t="s">
        <v>731</v>
      </c>
      <c r="F27" s="11" t="s">
        <v>728</v>
      </c>
      <c r="G27" s="11" t="s">
        <v>732</v>
      </c>
      <c r="H27" s="11" t="s">
        <v>733</v>
      </c>
      <c r="I27" s="11"/>
      <c r="J27" s="8" t="s">
        <v>650</v>
      </c>
      <c r="K27" s="8"/>
      <c r="L27" s="4"/>
      <c r="M27" s="13"/>
      <c r="N27" s="4" t="s">
        <v>239</v>
      </c>
      <c r="O27" s="4"/>
    </row>
    <row r="28" spans="1:15" ht="62.1" customHeight="1">
      <c r="A28" s="10" t="s">
        <v>84</v>
      </c>
      <c r="B28" s="8" t="s">
        <v>83</v>
      </c>
      <c r="C28" s="7" t="str">
        <f>IF($B28="","",IFERROR(IF(VLOOKUP($B28,'Historias y criterios'!$A$6:$P$83,2,FALSE)="","",VLOOKUP($B28,'Historias y criterios'!$A$6:$P$83,2,FALSE)),"ID no encontrado"))</f>
        <v>HU-007</v>
      </c>
      <c r="D28" s="7" t="str">
        <f>IF($B28="","",IFERROR(IF(VLOOKUP($B28,'Historias y criterios'!$A$6:$P$83,3,FALSE)="","",VLOOKUP($B28,'Historias y criterios'!$A$6:$P$83,3,FALSE)),"ID no encontrado"))</f>
        <v>RF-08</v>
      </c>
      <c r="E28" s="11" t="s">
        <v>734</v>
      </c>
      <c r="F28" s="11" t="s">
        <v>735</v>
      </c>
      <c r="G28" s="11" t="s">
        <v>736</v>
      </c>
      <c r="H28" s="11" t="s">
        <v>737</v>
      </c>
      <c r="I28" s="11"/>
      <c r="J28" s="8" t="s">
        <v>650</v>
      </c>
      <c r="K28" s="8"/>
      <c r="L28" s="4"/>
      <c r="M28" s="13"/>
      <c r="N28" s="4" t="s">
        <v>239</v>
      </c>
      <c r="O28" s="4"/>
    </row>
    <row r="29" spans="1:15" ht="62.1" customHeight="1">
      <c r="A29" s="10" t="s">
        <v>86</v>
      </c>
      <c r="B29" s="8" t="s">
        <v>85</v>
      </c>
      <c r="C29" s="7" t="str">
        <f>IF($B29="","",IFERROR(IF(VLOOKUP($B29,'Historias y criterios'!$A$6:$P$83,2,FALSE)="","",VLOOKUP($B29,'Historias y criterios'!$A$6:$P$83,2,FALSE)),"ID no encontrado"))</f>
        <v>HU-007</v>
      </c>
      <c r="D29" s="7" t="str">
        <f>IF($B29="","",IFERROR(IF(VLOOKUP($B29,'Historias y criterios'!$A$6:$P$83,3,FALSE)="","",VLOOKUP($B29,'Historias y criterios'!$A$6:$P$83,3,FALSE)),"ID no encontrado"))</f>
        <v>RF-08</v>
      </c>
      <c r="E29" s="11" t="s">
        <v>738</v>
      </c>
      <c r="F29" s="11" t="s">
        <v>739</v>
      </c>
      <c r="G29" s="11" t="s">
        <v>740</v>
      </c>
      <c r="H29" s="11" t="s">
        <v>741</v>
      </c>
      <c r="I29" s="11"/>
      <c r="J29" s="8" t="s">
        <v>650</v>
      </c>
      <c r="K29" s="8"/>
      <c r="L29" s="4"/>
      <c r="M29" s="13"/>
      <c r="N29" s="4" t="s">
        <v>239</v>
      </c>
      <c r="O29" s="4"/>
    </row>
    <row r="30" spans="1:15" ht="62.1" customHeight="1">
      <c r="A30" s="10" t="s">
        <v>89</v>
      </c>
      <c r="B30" s="8" t="s">
        <v>88</v>
      </c>
      <c r="C30" s="7" t="str">
        <f>IF($B30="","",IFERROR(IF(VLOOKUP($B30,'Historias y criterios'!$A$6:$P$83,2,FALSE)="","",VLOOKUP($B30,'Historias y criterios'!$A$6:$P$83,2,FALSE)),"ID no encontrado"))</f>
        <v>HU-007</v>
      </c>
      <c r="D30" s="7" t="str">
        <f>IF($B30="","",IFERROR(IF(VLOOKUP($B30,'Historias y criterios'!$A$6:$P$83,3,FALSE)="","",VLOOKUP($B30,'Historias y criterios'!$A$6:$P$83,3,FALSE)),"ID no encontrado"))</f>
        <v>RF-09</v>
      </c>
      <c r="E30" s="11" t="s">
        <v>742</v>
      </c>
      <c r="F30" s="11" t="s">
        <v>743</v>
      </c>
      <c r="G30" s="11" t="s">
        <v>744</v>
      </c>
      <c r="H30" s="11" t="s">
        <v>745</v>
      </c>
      <c r="I30" s="11"/>
      <c r="J30" s="8" t="s">
        <v>650</v>
      </c>
      <c r="K30" s="8"/>
      <c r="L30" s="4"/>
      <c r="M30" s="13"/>
      <c r="N30" s="4" t="s">
        <v>239</v>
      </c>
      <c r="O30" s="4"/>
    </row>
    <row r="31" spans="1:15" ht="62.1" customHeight="1">
      <c r="A31" s="10" t="s">
        <v>92</v>
      </c>
      <c r="B31" s="8" t="s">
        <v>91</v>
      </c>
      <c r="C31" s="7" t="str">
        <f>IF($B31="","",IFERROR(IF(VLOOKUP($B31,'Historias y criterios'!$A$6:$P$83,2,FALSE)="","",VLOOKUP($B31,'Historias y criterios'!$A$6:$P$83,2,FALSE)),"ID no encontrado"))</f>
        <v>HU-007</v>
      </c>
      <c r="D31" s="7" t="str">
        <f>IF($B31="","",IFERROR(IF(VLOOKUP($B31,'Historias y criterios'!$A$6:$P$83,3,FALSE)="","",VLOOKUP($B31,'Historias y criterios'!$A$6:$P$83,3,FALSE)),"ID no encontrado"))</f>
        <v>RF-10</v>
      </c>
      <c r="E31" s="11" t="s">
        <v>746</v>
      </c>
      <c r="F31" s="11" t="s">
        <v>747</v>
      </c>
      <c r="G31" s="11" t="s">
        <v>748</v>
      </c>
      <c r="H31" s="11" t="s">
        <v>749</v>
      </c>
      <c r="I31" s="11"/>
      <c r="J31" s="8" t="s">
        <v>650</v>
      </c>
      <c r="K31" s="8"/>
      <c r="L31" s="4"/>
      <c r="M31" s="13"/>
      <c r="N31" s="4" t="s">
        <v>239</v>
      </c>
      <c r="O31" s="4"/>
    </row>
    <row r="32" spans="1:15" ht="62.1" customHeight="1">
      <c r="A32" s="10" t="s">
        <v>95</v>
      </c>
      <c r="B32" s="8" t="s">
        <v>94</v>
      </c>
      <c r="C32" s="7" t="str">
        <f>IF($B32="","",IFERROR(IF(VLOOKUP($B32,'Historias y criterios'!$A$6:$P$83,2,FALSE)="","",VLOOKUP($B32,'Historias y criterios'!$A$6:$P$83,2,FALSE)),"ID no encontrado"))</f>
        <v>HU-008</v>
      </c>
      <c r="D32" s="7" t="str">
        <f>IF($B32="","",IFERROR(IF(VLOOKUP($B32,'Historias y criterios'!$A$6:$P$83,3,FALSE)="","",VLOOKUP($B32,'Historias y criterios'!$A$6:$P$83,3,FALSE)),"ID no encontrado"))</f>
        <v>RF-11</v>
      </c>
      <c r="E32" s="11" t="s">
        <v>750</v>
      </c>
      <c r="F32" s="11" t="s">
        <v>751</v>
      </c>
      <c r="G32" s="11" t="s">
        <v>752</v>
      </c>
      <c r="H32" s="11" t="s">
        <v>753</v>
      </c>
      <c r="I32" s="11"/>
      <c r="J32" s="8" t="s">
        <v>650</v>
      </c>
      <c r="K32" s="8"/>
      <c r="L32" s="4"/>
      <c r="M32" s="13"/>
      <c r="N32" s="4" t="s">
        <v>245</v>
      </c>
      <c r="O32" s="4"/>
    </row>
    <row r="33" spans="1:15" ht="62.1" customHeight="1">
      <c r="A33" s="10" t="s">
        <v>98</v>
      </c>
      <c r="B33" s="8" t="s">
        <v>97</v>
      </c>
      <c r="C33" s="7" t="str">
        <f>IF($B33="","",IFERROR(IF(VLOOKUP($B33,'Historias y criterios'!$A$6:$P$83,2,FALSE)="","",VLOOKUP($B33,'Historias y criterios'!$A$6:$P$83,2,FALSE)),"ID no encontrado"))</f>
        <v>HU-008</v>
      </c>
      <c r="D33" s="7" t="str">
        <f>IF($B33="","",IFERROR(IF(VLOOKUP($B33,'Historias y criterios'!$A$6:$P$83,3,FALSE)="","",VLOOKUP($B33,'Historias y criterios'!$A$6:$P$83,3,FALSE)),"ID no encontrado"))</f>
        <v>RF-12</v>
      </c>
      <c r="E33" s="11" t="s">
        <v>754</v>
      </c>
      <c r="F33" s="11" t="s">
        <v>755</v>
      </c>
      <c r="G33" s="11" t="s">
        <v>756</v>
      </c>
      <c r="H33" s="11" t="s">
        <v>757</v>
      </c>
      <c r="I33" s="11"/>
      <c r="J33" s="8" t="s">
        <v>650</v>
      </c>
      <c r="K33" s="8"/>
      <c r="L33" s="4"/>
      <c r="M33" s="13"/>
      <c r="N33" s="4" t="s">
        <v>245</v>
      </c>
      <c r="O33" s="4"/>
    </row>
    <row r="34" spans="1:15" ht="62.1" customHeight="1">
      <c r="A34" s="10" t="s">
        <v>100</v>
      </c>
      <c r="B34" s="8" t="s">
        <v>99</v>
      </c>
      <c r="C34" s="7" t="str">
        <f>IF($B34="","",IFERROR(IF(VLOOKUP($B34,'Historias y criterios'!$A$6:$P$83,2,FALSE)="","",VLOOKUP($B34,'Historias y criterios'!$A$6:$P$83,2,FALSE)),"ID no encontrado"))</f>
        <v>HU-008</v>
      </c>
      <c r="D34" s="7" t="str">
        <f>IF($B34="","",IFERROR(IF(VLOOKUP($B34,'Historias y criterios'!$A$6:$P$83,3,FALSE)="","",VLOOKUP($B34,'Historias y criterios'!$A$6:$P$83,3,FALSE)),"ID no encontrado"))</f>
        <v>RF-11</v>
      </c>
      <c r="E34" s="11" t="s">
        <v>758</v>
      </c>
      <c r="F34" s="11" t="s">
        <v>759</v>
      </c>
      <c r="G34" s="11" t="s">
        <v>760</v>
      </c>
      <c r="H34" s="11" t="s">
        <v>761</v>
      </c>
      <c r="I34" s="11"/>
      <c r="J34" s="8" t="s">
        <v>650</v>
      </c>
      <c r="K34" s="8"/>
      <c r="L34" s="4"/>
      <c r="M34" s="13"/>
      <c r="N34" s="4" t="s">
        <v>245</v>
      </c>
      <c r="O34" s="4"/>
    </row>
    <row r="35" spans="1:15" ht="62.1" customHeight="1">
      <c r="A35" s="10" t="s">
        <v>102</v>
      </c>
      <c r="B35" s="8" t="s">
        <v>101</v>
      </c>
      <c r="C35" s="7" t="str">
        <f>IF($B35="","",IFERROR(IF(VLOOKUP($B35,'Historias y criterios'!$A$6:$P$83,2,FALSE)="","",VLOOKUP($B35,'Historias y criterios'!$A$6:$P$83,2,FALSE)),"ID no encontrado"))</f>
        <v>HU-008</v>
      </c>
      <c r="D35" s="7" t="str">
        <f>IF($B35="","",IFERROR(IF(VLOOKUP($B35,'Historias y criterios'!$A$6:$P$83,3,FALSE)="","",VLOOKUP($B35,'Historias y criterios'!$A$6:$P$83,3,FALSE)),"ID no encontrado"))</f>
        <v>RF-12</v>
      </c>
      <c r="E35" s="11" t="s">
        <v>762</v>
      </c>
      <c r="F35" s="11" t="s">
        <v>763</v>
      </c>
      <c r="G35" s="11" t="s">
        <v>764</v>
      </c>
      <c r="H35" s="11" t="s">
        <v>765</v>
      </c>
      <c r="I35" s="11"/>
      <c r="J35" s="8" t="s">
        <v>650</v>
      </c>
      <c r="K35" s="8"/>
      <c r="L35" s="4"/>
      <c r="M35" s="13"/>
      <c r="N35" s="4" t="s">
        <v>245</v>
      </c>
      <c r="O35" s="4"/>
    </row>
    <row r="36" spans="1:15" ht="62.1" customHeight="1">
      <c r="A36" s="10" t="s">
        <v>105</v>
      </c>
      <c r="B36" s="8" t="s">
        <v>104</v>
      </c>
      <c r="C36" s="7" t="str">
        <f>IF($B36="","",IFERROR(IF(VLOOKUP($B36,'Historias y criterios'!$A$6:$P$83,2,FALSE)="","",VLOOKUP($B36,'Historias y criterios'!$A$6:$P$83,2,FALSE)),"ID no encontrado"))</f>
        <v>HU-009</v>
      </c>
      <c r="D36" s="7" t="str">
        <f>IF($B36="","",IFERROR(IF(VLOOKUP($B36,'Historias y criterios'!$A$6:$P$83,3,FALSE)="","",VLOOKUP($B36,'Historias y criterios'!$A$6:$P$83,3,FALSE)),"ID no encontrado"))</f>
        <v>RF-13</v>
      </c>
      <c r="E36" s="11" t="s">
        <v>766</v>
      </c>
      <c r="F36" s="11" t="s">
        <v>767</v>
      </c>
      <c r="G36" s="11" t="s">
        <v>768</v>
      </c>
      <c r="H36" s="11" t="s">
        <v>769</v>
      </c>
      <c r="I36" s="11"/>
      <c r="J36" s="8" t="s">
        <v>650</v>
      </c>
      <c r="K36" s="8"/>
      <c r="L36" s="4"/>
      <c r="M36" s="13"/>
      <c r="N36" s="4" t="s">
        <v>262</v>
      </c>
      <c r="O36" s="4"/>
    </row>
    <row r="37" spans="1:15" ht="62.1" customHeight="1">
      <c r="A37" s="10" t="s">
        <v>108</v>
      </c>
      <c r="B37" s="8" t="s">
        <v>107</v>
      </c>
      <c r="C37" s="7" t="str">
        <f>IF($B37="","",IFERROR(IF(VLOOKUP($B37,'Historias y criterios'!$A$6:$P$83,2,FALSE)="","",VLOOKUP($B37,'Historias y criterios'!$A$6:$P$83,2,FALSE)),"ID no encontrado"))</f>
        <v>HU-009</v>
      </c>
      <c r="D37" s="7" t="str">
        <f>IF($B37="","",IFERROR(IF(VLOOKUP($B37,'Historias y criterios'!$A$6:$P$83,3,FALSE)="","",VLOOKUP($B37,'Historias y criterios'!$A$6:$P$83,3,FALSE)),"ID no encontrado"))</f>
        <v>RF-38</v>
      </c>
      <c r="E37" s="11" t="s">
        <v>770</v>
      </c>
      <c r="F37" s="11" t="s">
        <v>771</v>
      </c>
      <c r="G37" s="11" t="s">
        <v>772</v>
      </c>
      <c r="H37" s="11" t="s">
        <v>773</v>
      </c>
      <c r="I37" s="11"/>
      <c r="J37" s="8" t="s">
        <v>650</v>
      </c>
      <c r="K37" s="8"/>
      <c r="L37" s="4"/>
      <c r="M37" s="13"/>
      <c r="N37" s="4" t="s">
        <v>262</v>
      </c>
      <c r="O37" s="4"/>
    </row>
    <row r="38" spans="1:15" ht="62.1" customHeight="1">
      <c r="A38" s="10" t="s">
        <v>110</v>
      </c>
      <c r="B38" s="8" t="s">
        <v>109</v>
      </c>
      <c r="C38" s="7" t="str">
        <f>IF($B38="","",IFERROR(IF(VLOOKUP($B38,'Historias y criterios'!$A$6:$P$83,2,FALSE)="","",VLOOKUP($B38,'Historias y criterios'!$A$6:$P$83,2,FALSE)),"ID no encontrado"))</f>
        <v>HU-009</v>
      </c>
      <c r="D38" s="7" t="str">
        <f>IF($B38="","",IFERROR(IF(VLOOKUP($B38,'Historias y criterios'!$A$6:$P$83,3,FALSE)="","",VLOOKUP($B38,'Historias y criterios'!$A$6:$P$83,3,FALSE)),"ID no encontrado"))</f>
        <v>RF-38</v>
      </c>
      <c r="E38" s="11" t="s">
        <v>774</v>
      </c>
      <c r="F38" s="11" t="s">
        <v>775</v>
      </c>
      <c r="G38" s="11" t="s">
        <v>776</v>
      </c>
      <c r="H38" s="11" t="s">
        <v>777</v>
      </c>
      <c r="I38" s="11"/>
      <c r="J38" s="8" t="s">
        <v>650</v>
      </c>
      <c r="K38" s="8"/>
      <c r="L38" s="4"/>
      <c r="M38" s="13"/>
      <c r="N38" s="4" t="s">
        <v>262</v>
      </c>
      <c r="O38" s="4"/>
    </row>
    <row r="39" spans="1:15" ht="62.1" customHeight="1">
      <c r="A39" s="10" t="s">
        <v>112</v>
      </c>
      <c r="B39" s="8" t="s">
        <v>111</v>
      </c>
      <c r="C39" s="7" t="str">
        <f>IF($B39="","",IFERROR(IF(VLOOKUP($B39,'Historias y criterios'!$A$6:$P$83,2,FALSE)="","",VLOOKUP($B39,'Historias y criterios'!$A$6:$P$83,2,FALSE)),"ID no encontrado"))</f>
        <v>HU-009</v>
      </c>
      <c r="D39" s="7" t="str">
        <f>IF($B39="","",IFERROR(IF(VLOOKUP($B39,'Historias y criterios'!$A$6:$P$83,3,FALSE)="","",VLOOKUP($B39,'Historias y criterios'!$A$6:$P$83,3,FALSE)),"ID no encontrado"))</f>
        <v>RF-38</v>
      </c>
      <c r="E39" s="11" t="s">
        <v>778</v>
      </c>
      <c r="F39" s="11" t="s">
        <v>779</v>
      </c>
      <c r="G39" s="11" t="s">
        <v>780</v>
      </c>
      <c r="H39" s="11" t="s">
        <v>781</v>
      </c>
      <c r="I39" s="11"/>
      <c r="J39" s="8" t="s">
        <v>650</v>
      </c>
      <c r="K39" s="8"/>
      <c r="L39" s="4"/>
      <c r="M39" s="13"/>
      <c r="N39" s="4" t="s">
        <v>262</v>
      </c>
      <c r="O39" s="4"/>
    </row>
    <row r="40" spans="1:15" ht="62.1" customHeight="1">
      <c r="A40" s="10" t="s">
        <v>115</v>
      </c>
      <c r="B40" s="8" t="s">
        <v>114</v>
      </c>
      <c r="C40" s="7" t="str">
        <f>IF($B40="","",IFERROR(IF(VLOOKUP($B40,'Historias y criterios'!$A$6:$P$83,2,FALSE)="","",VLOOKUP($B40,'Historias y criterios'!$A$6:$P$83,2,FALSE)),"ID no encontrado"))</f>
        <v>HU-010</v>
      </c>
      <c r="D40" s="7" t="str">
        <f>IF($B40="","",IFERROR(IF(VLOOKUP($B40,'Historias y criterios'!$A$6:$P$83,3,FALSE)="","",VLOOKUP($B40,'Historias y criterios'!$A$6:$P$83,3,FALSE)),"ID no encontrado"))</f>
        <v>RF-16</v>
      </c>
      <c r="E40" s="11" t="s">
        <v>782</v>
      </c>
      <c r="F40" s="11" t="s">
        <v>783</v>
      </c>
      <c r="G40" s="11" t="s">
        <v>784</v>
      </c>
      <c r="H40" s="11" t="s">
        <v>785</v>
      </c>
      <c r="I40" s="11"/>
      <c r="J40" s="8" t="s">
        <v>650</v>
      </c>
      <c r="K40" s="8"/>
      <c r="L40" s="4"/>
      <c r="M40" s="13"/>
      <c r="N40" s="4" t="s">
        <v>262</v>
      </c>
      <c r="O40" s="4"/>
    </row>
    <row r="41" spans="1:15" ht="62.1" customHeight="1">
      <c r="A41" s="10" t="s">
        <v>118</v>
      </c>
      <c r="B41" s="8" t="s">
        <v>117</v>
      </c>
      <c r="C41" s="7" t="str">
        <f>IF($B41="","",IFERROR(IF(VLOOKUP($B41,'Historias y criterios'!$A$6:$P$83,2,FALSE)="","",VLOOKUP($B41,'Historias y criterios'!$A$6:$P$83,2,FALSE)),"ID no encontrado"))</f>
        <v>HU-010</v>
      </c>
      <c r="D41" s="7" t="str">
        <f>IF($B41="","",IFERROR(IF(VLOOKUP($B41,'Historias y criterios'!$A$6:$P$83,3,FALSE)="","",VLOOKUP($B41,'Historias y criterios'!$A$6:$P$83,3,FALSE)),"ID no encontrado"))</f>
        <v>RF-14</v>
      </c>
      <c r="E41" s="11" t="s">
        <v>786</v>
      </c>
      <c r="F41" s="11" t="s">
        <v>787</v>
      </c>
      <c r="G41" s="11" t="s">
        <v>788</v>
      </c>
      <c r="H41" s="11" t="s">
        <v>789</v>
      </c>
      <c r="I41" s="11"/>
      <c r="J41" s="8" t="s">
        <v>650</v>
      </c>
      <c r="K41" s="8"/>
      <c r="L41" s="4"/>
      <c r="M41" s="13"/>
      <c r="N41" s="4" t="s">
        <v>262</v>
      </c>
      <c r="O41" s="4"/>
    </row>
    <row r="42" spans="1:15" ht="62.1" customHeight="1">
      <c r="A42" s="10" t="s">
        <v>120</v>
      </c>
      <c r="B42" s="8" t="s">
        <v>119</v>
      </c>
      <c r="C42" s="7" t="str">
        <f>IF($B42="","",IFERROR(IF(VLOOKUP($B42,'Historias y criterios'!$A$6:$P$83,2,FALSE)="","",VLOOKUP($B42,'Historias y criterios'!$A$6:$P$83,2,FALSE)),"ID no encontrado"))</f>
        <v>HU-010</v>
      </c>
      <c r="D42" s="7" t="str">
        <f>IF($B42="","",IFERROR(IF(VLOOKUP($B42,'Historias y criterios'!$A$6:$P$83,3,FALSE)="","",VLOOKUP($B42,'Historias y criterios'!$A$6:$P$83,3,FALSE)),"ID no encontrado"))</f>
        <v>RF-14</v>
      </c>
      <c r="E42" s="11" t="s">
        <v>790</v>
      </c>
      <c r="F42" s="11" t="s">
        <v>791</v>
      </c>
      <c r="G42" s="11" t="s">
        <v>792</v>
      </c>
      <c r="H42" s="11" t="s">
        <v>793</v>
      </c>
      <c r="I42" s="11"/>
      <c r="J42" s="8" t="s">
        <v>650</v>
      </c>
      <c r="K42" s="8"/>
      <c r="L42" s="4"/>
      <c r="M42" s="13"/>
      <c r="N42" s="4" t="s">
        <v>262</v>
      </c>
      <c r="O42" s="4"/>
    </row>
    <row r="43" spans="1:15" ht="62.1" customHeight="1">
      <c r="A43" s="10" t="s">
        <v>122</v>
      </c>
      <c r="B43" s="8" t="s">
        <v>121</v>
      </c>
      <c r="C43" s="7" t="str">
        <f>IF($B43="","",IFERROR(IF(VLOOKUP($B43,'Historias y criterios'!$A$6:$P$83,2,FALSE)="","",VLOOKUP($B43,'Historias y criterios'!$A$6:$P$83,2,FALSE)),"ID no encontrado"))</f>
        <v>HU-010</v>
      </c>
      <c r="D43" s="7" t="str">
        <f>IF($B43="","",IFERROR(IF(VLOOKUP($B43,'Historias y criterios'!$A$6:$P$83,3,FALSE)="","",VLOOKUP($B43,'Historias y criterios'!$A$6:$P$83,3,FALSE)),"ID no encontrado"))</f>
        <v>RF-14</v>
      </c>
      <c r="E43" s="11" t="s">
        <v>794</v>
      </c>
      <c r="F43" s="11" t="s">
        <v>795</v>
      </c>
      <c r="G43" s="11" t="s">
        <v>796</v>
      </c>
      <c r="H43" s="11" t="s">
        <v>797</v>
      </c>
      <c r="I43" s="11"/>
      <c r="J43" s="8" t="s">
        <v>650</v>
      </c>
      <c r="K43" s="8"/>
      <c r="L43" s="4"/>
      <c r="M43" s="13"/>
      <c r="N43" s="4" t="s">
        <v>262</v>
      </c>
      <c r="O43" s="4"/>
    </row>
    <row r="44" spans="1:15" ht="62.1" customHeight="1">
      <c r="A44" s="10" t="s">
        <v>125</v>
      </c>
      <c r="B44" s="8" t="s">
        <v>124</v>
      </c>
      <c r="C44" s="7" t="str">
        <f>IF($B44="","",IFERROR(IF(VLOOKUP($B44,'Historias y criterios'!$A$6:$P$83,2,FALSE)="","",VLOOKUP($B44,'Historias y criterios'!$A$6:$P$83,2,FALSE)),"ID no encontrado"))</f>
        <v>HU-011</v>
      </c>
      <c r="D44" s="7" t="str">
        <f>IF($B44="","",IFERROR(IF(VLOOKUP($B44,'Historias y criterios'!$A$6:$P$83,3,FALSE)="","",VLOOKUP($B44,'Historias y criterios'!$A$6:$P$83,3,FALSE)),"ID no encontrado"))</f>
        <v>RF-15</v>
      </c>
      <c r="E44" s="11" t="s">
        <v>798</v>
      </c>
      <c r="F44" s="11" t="s">
        <v>799</v>
      </c>
      <c r="G44" s="11" t="s">
        <v>800</v>
      </c>
      <c r="H44" s="11" t="s">
        <v>801</v>
      </c>
      <c r="I44" s="11"/>
      <c r="J44" s="8" t="s">
        <v>650</v>
      </c>
      <c r="K44" s="8"/>
      <c r="L44" s="4"/>
      <c r="M44" s="13"/>
      <c r="N44" s="4" t="s">
        <v>256</v>
      </c>
      <c r="O44" s="4"/>
    </row>
    <row r="45" spans="1:15" ht="62.1" customHeight="1">
      <c r="A45" s="10" t="s">
        <v>127</v>
      </c>
      <c r="B45" s="8" t="s">
        <v>126</v>
      </c>
      <c r="C45" s="7" t="str">
        <f>IF($B45="","",IFERROR(IF(VLOOKUP($B45,'Historias y criterios'!$A$6:$P$83,2,FALSE)="","",VLOOKUP($B45,'Historias y criterios'!$A$6:$P$83,2,FALSE)),"ID no encontrado"))</f>
        <v>HU-011</v>
      </c>
      <c r="D45" s="7" t="str">
        <f>IF($B45="","",IFERROR(IF(VLOOKUP($B45,'Historias y criterios'!$A$6:$P$83,3,FALSE)="","",VLOOKUP($B45,'Historias y criterios'!$A$6:$P$83,3,FALSE)),"ID no encontrado"))</f>
        <v>RF-15</v>
      </c>
      <c r="E45" s="11" t="s">
        <v>802</v>
      </c>
      <c r="F45" s="11" t="s">
        <v>803</v>
      </c>
      <c r="G45" s="11" t="s">
        <v>804</v>
      </c>
      <c r="H45" s="11" t="s">
        <v>805</v>
      </c>
      <c r="I45" s="11"/>
      <c r="J45" s="8" t="s">
        <v>650</v>
      </c>
      <c r="K45" s="8"/>
      <c r="L45" s="4"/>
      <c r="M45" s="13"/>
      <c r="N45" s="4" t="s">
        <v>256</v>
      </c>
      <c r="O45" s="4"/>
    </row>
    <row r="46" spans="1:15" ht="62.1" customHeight="1">
      <c r="A46" s="10" t="s">
        <v>129</v>
      </c>
      <c r="B46" s="8" t="s">
        <v>128</v>
      </c>
      <c r="C46" s="7" t="str">
        <f>IF($B46="","",IFERROR(IF(VLOOKUP($B46,'Historias y criterios'!$A$6:$P$83,2,FALSE)="","",VLOOKUP($B46,'Historias y criterios'!$A$6:$P$83,2,FALSE)),"ID no encontrado"))</f>
        <v>HU-011</v>
      </c>
      <c r="D46" s="7" t="str">
        <f>IF($B46="","",IFERROR(IF(VLOOKUP($B46,'Historias y criterios'!$A$6:$P$83,3,FALSE)="","",VLOOKUP($B46,'Historias y criterios'!$A$6:$P$83,3,FALSE)),"ID no encontrado"))</f>
        <v>RF-15</v>
      </c>
      <c r="E46" s="11" t="s">
        <v>806</v>
      </c>
      <c r="F46" s="11" t="s">
        <v>807</v>
      </c>
      <c r="G46" s="11" t="s">
        <v>808</v>
      </c>
      <c r="H46" s="11" t="s">
        <v>809</v>
      </c>
      <c r="I46" s="11"/>
      <c r="J46" s="8" t="s">
        <v>650</v>
      </c>
      <c r="K46" s="8"/>
      <c r="L46" s="4"/>
      <c r="M46" s="13"/>
      <c r="N46" s="4" t="s">
        <v>256</v>
      </c>
      <c r="O46" s="4"/>
    </row>
    <row r="47" spans="1:15" ht="62.1" customHeight="1">
      <c r="A47" s="10" t="s">
        <v>132</v>
      </c>
      <c r="B47" s="8" t="s">
        <v>131</v>
      </c>
      <c r="C47" s="7" t="str">
        <f>IF($B47="","",IFERROR(IF(VLOOKUP($B47,'Historias y criterios'!$A$6:$P$83,2,FALSE)="","",VLOOKUP($B47,'Historias y criterios'!$A$6:$P$83,2,FALSE)),"ID no encontrado"))</f>
        <v>HU-011</v>
      </c>
      <c r="D47" s="7" t="str">
        <f>IF($B47="","",IFERROR(IF(VLOOKUP($B47,'Historias y criterios'!$A$6:$P$83,3,FALSE)="","",VLOOKUP($B47,'Historias y criterios'!$A$6:$P$83,3,FALSE)),"ID no encontrado"))</f>
        <v>RF-31</v>
      </c>
      <c r="E47" s="11" t="s">
        <v>810</v>
      </c>
      <c r="F47" s="11" t="s">
        <v>811</v>
      </c>
      <c r="G47" s="11" t="s">
        <v>812</v>
      </c>
      <c r="H47" s="11" t="s">
        <v>813</v>
      </c>
      <c r="I47" s="11"/>
      <c r="J47" s="8" t="s">
        <v>650</v>
      </c>
      <c r="K47" s="8"/>
      <c r="L47" s="4"/>
      <c r="M47" s="13"/>
      <c r="N47" s="4" t="s">
        <v>256</v>
      </c>
      <c r="O47" s="4"/>
    </row>
    <row r="48" spans="1:15" ht="62.1" customHeight="1">
      <c r="A48" s="10" t="s">
        <v>135</v>
      </c>
      <c r="B48" s="8" t="s">
        <v>134</v>
      </c>
      <c r="C48" s="7" t="str">
        <f>IF($B48="","",IFERROR(IF(VLOOKUP($B48,'Historias y criterios'!$A$6:$P$83,2,FALSE)="","",VLOOKUP($B48,'Historias y criterios'!$A$6:$P$83,2,FALSE)),"ID no encontrado"))</f>
        <v>HU-012</v>
      </c>
      <c r="D48" s="7" t="str">
        <f>IF($B48="","",IFERROR(IF(VLOOKUP($B48,'Historias y criterios'!$A$6:$P$83,3,FALSE)="","",VLOOKUP($B48,'Historias y criterios'!$A$6:$P$83,3,FALSE)),"ID no encontrado"))</f>
        <v>RF-17</v>
      </c>
      <c r="E48" s="11" t="s">
        <v>814</v>
      </c>
      <c r="F48" s="11" t="s">
        <v>815</v>
      </c>
      <c r="G48" s="11" t="s">
        <v>816</v>
      </c>
      <c r="H48" s="11" t="s">
        <v>817</v>
      </c>
      <c r="I48" s="11"/>
      <c r="J48" s="8" t="s">
        <v>650</v>
      </c>
      <c r="K48" s="8"/>
      <c r="L48" s="4"/>
      <c r="M48" s="13"/>
      <c r="N48" s="4" t="s">
        <v>239</v>
      </c>
      <c r="O48" s="4"/>
    </row>
    <row r="49" spans="1:15" ht="62.1" customHeight="1">
      <c r="A49" s="10" t="s">
        <v>137</v>
      </c>
      <c r="B49" s="8" t="s">
        <v>136</v>
      </c>
      <c r="C49" s="7" t="str">
        <f>IF($B49="","",IFERROR(IF(VLOOKUP($B49,'Historias y criterios'!$A$6:$P$83,2,FALSE)="","",VLOOKUP($B49,'Historias y criterios'!$A$6:$P$83,2,FALSE)),"ID no encontrado"))</f>
        <v>HU-012</v>
      </c>
      <c r="D49" s="7" t="str">
        <f>IF($B49="","",IFERROR(IF(VLOOKUP($B49,'Historias y criterios'!$A$6:$P$83,3,FALSE)="","",VLOOKUP($B49,'Historias y criterios'!$A$6:$P$83,3,FALSE)),"ID no encontrado"))</f>
        <v>RF-17</v>
      </c>
      <c r="E49" s="11" t="s">
        <v>818</v>
      </c>
      <c r="F49" s="11" t="s">
        <v>819</v>
      </c>
      <c r="G49" s="11" t="s">
        <v>820</v>
      </c>
      <c r="H49" s="11" t="s">
        <v>821</v>
      </c>
      <c r="I49" s="11"/>
      <c r="J49" s="8" t="s">
        <v>650</v>
      </c>
      <c r="K49" s="8"/>
      <c r="L49" s="4"/>
      <c r="M49" s="13"/>
      <c r="N49" s="4" t="s">
        <v>239</v>
      </c>
      <c r="O49" s="4"/>
    </row>
    <row r="50" spans="1:15" ht="75.599999999999994" customHeight="1">
      <c r="A50" s="10" t="s">
        <v>139</v>
      </c>
      <c r="B50" s="8" t="s">
        <v>138</v>
      </c>
      <c r="C50" s="7" t="str">
        <f>IF($B50="","",IFERROR(IF(VLOOKUP($B50,'Historias y criterios'!$A$6:$P$83,2,FALSE)="","",VLOOKUP($B50,'Historias y criterios'!$A$6:$P$83,2,FALSE)),"ID no encontrado"))</f>
        <v>HU-012</v>
      </c>
      <c r="D50" s="7" t="str">
        <f>IF($B50="","",IFERROR(IF(VLOOKUP($B50,'Historias y criterios'!$A$6:$P$83,3,FALSE)="","",VLOOKUP($B50,'Historias y criterios'!$A$6:$P$83,3,FALSE)),"ID no encontrado"))</f>
        <v>RF-17</v>
      </c>
      <c r="E50" s="11" t="s">
        <v>822</v>
      </c>
      <c r="F50" s="11" t="s">
        <v>823</v>
      </c>
      <c r="G50" s="11" t="s">
        <v>824</v>
      </c>
      <c r="H50" s="11" t="s">
        <v>825</v>
      </c>
      <c r="I50" s="11"/>
      <c r="J50" s="8" t="s">
        <v>650</v>
      </c>
      <c r="K50" s="8"/>
      <c r="L50" s="4"/>
      <c r="M50" s="13"/>
      <c r="N50" s="4" t="s">
        <v>239</v>
      </c>
      <c r="O50" s="4"/>
    </row>
    <row r="51" spans="1:15" ht="62.1" customHeight="1">
      <c r="A51" s="10" t="s">
        <v>141</v>
      </c>
      <c r="B51" s="8" t="s">
        <v>140</v>
      </c>
      <c r="C51" s="7" t="str">
        <f>IF($B51="","",IFERROR(IF(VLOOKUP($B51,'Historias y criterios'!$A$6:$P$83,2,FALSE)="","",VLOOKUP($B51,'Historias y criterios'!$A$6:$P$83,2,FALSE)),"ID no encontrado"))</f>
        <v>HU-012</v>
      </c>
      <c r="D51" s="7" t="str">
        <f>IF($B51="","",IFERROR(IF(VLOOKUP($B51,'Historias y criterios'!$A$6:$P$83,3,FALSE)="","",VLOOKUP($B51,'Historias y criterios'!$A$6:$P$83,3,FALSE)),"ID no encontrado"))</f>
        <v>RF-17</v>
      </c>
      <c r="E51" s="11" t="s">
        <v>826</v>
      </c>
      <c r="F51" s="11" t="s">
        <v>827</v>
      </c>
      <c r="G51" s="11" t="s">
        <v>828</v>
      </c>
      <c r="H51" s="11" t="s">
        <v>829</v>
      </c>
      <c r="I51" s="11"/>
      <c r="J51" s="8" t="s">
        <v>650</v>
      </c>
      <c r="K51" s="8"/>
      <c r="L51" s="4"/>
      <c r="M51" s="13"/>
      <c r="N51" s="4" t="s">
        <v>239</v>
      </c>
      <c r="O51" s="4"/>
    </row>
    <row r="52" spans="1:15" ht="62.1" customHeight="1">
      <c r="A52" s="10" t="s">
        <v>144</v>
      </c>
      <c r="B52" s="8" t="s">
        <v>143</v>
      </c>
      <c r="C52" s="7" t="str">
        <f>IF($B52="","",IFERROR(IF(VLOOKUP($B52,'Historias y criterios'!$A$6:$P$83,2,FALSE)="","",VLOOKUP($B52,'Historias y criterios'!$A$6:$P$83,2,FALSE)),"ID no encontrado"))</f>
        <v>HU-013</v>
      </c>
      <c r="D52" s="7" t="str">
        <f>IF($B52="","",IFERROR(IF(VLOOKUP($B52,'Historias y criterios'!$A$6:$P$83,3,FALSE)="","",VLOOKUP($B52,'Historias y criterios'!$A$6:$P$83,3,FALSE)),"ID no encontrado"))</f>
        <v>RF-18</v>
      </c>
      <c r="E52" s="11" t="s">
        <v>830</v>
      </c>
      <c r="F52" s="11" t="s">
        <v>831</v>
      </c>
      <c r="G52" s="11" t="s">
        <v>832</v>
      </c>
      <c r="H52" s="11" t="s">
        <v>833</v>
      </c>
      <c r="I52" s="11"/>
      <c r="J52" s="8" t="s">
        <v>650</v>
      </c>
      <c r="K52" s="8"/>
      <c r="L52" s="4"/>
      <c r="M52" s="13"/>
      <c r="N52" s="4" t="s">
        <v>239</v>
      </c>
      <c r="O52" s="4"/>
    </row>
    <row r="53" spans="1:15" ht="62.1" customHeight="1">
      <c r="A53" s="10" t="s">
        <v>146</v>
      </c>
      <c r="B53" s="8" t="s">
        <v>145</v>
      </c>
      <c r="C53" s="7" t="str">
        <f>IF($B53="","",IFERROR(IF(VLOOKUP($B53,'Historias y criterios'!$A$6:$P$83,2,FALSE)="","",VLOOKUP($B53,'Historias y criterios'!$A$6:$P$83,2,FALSE)),"ID no encontrado"))</f>
        <v>HU-013</v>
      </c>
      <c r="D53" s="7" t="str">
        <f>IF($B53="","",IFERROR(IF(VLOOKUP($B53,'Historias y criterios'!$A$6:$P$83,3,FALSE)="","",VLOOKUP($B53,'Historias y criterios'!$A$6:$P$83,3,FALSE)),"ID no encontrado"))</f>
        <v>RF-18</v>
      </c>
      <c r="E53" s="11" t="s">
        <v>834</v>
      </c>
      <c r="F53" s="11" t="s">
        <v>835</v>
      </c>
      <c r="G53" s="11" t="s">
        <v>836</v>
      </c>
      <c r="H53" s="11" t="s">
        <v>837</v>
      </c>
      <c r="I53" s="11"/>
      <c r="J53" s="8" t="s">
        <v>650</v>
      </c>
      <c r="K53" s="8"/>
      <c r="L53" s="4"/>
      <c r="M53" s="13"/>
      <c r="N53" s="4" t="s">
        <v>239</v>
      </c>
      <c r="O53" s="4"/>
    </row>
    <row r="54" spans="1:15" ht="62.1" customHeight="1">
      <c r="A54" s="10" t="s">
        <v>148</v>
      </c>
      <c r="B54" s="8" t="s">
        <v>147</v>
      </c>
      <c r="C54" s="7" t="str">
        <f>IF($B54="","",IFERROR(IF(VLOOKUP($B54,'Historias y criterios'!$A$6:$P$83,2,FALSE)="","",VLOOKUP($B54,'Historias y criterios'!$A$6:$P$83,2,FALSE)),"ID no encontrado"))</f>
        <v>HU-013</v>
      </c>
      <c r="D54" s="7" t="str">
        <f>IF($B54="","",IFERROR(IF(VLOOKUP($B54,'Historias y criterios'!$A$6:$P$83,3,FALSE)="","",VLOOKUP($B54,'Historias y criterios'!$A$6:$P$83,3,FALSE)),"ID no encontrado"))</f>
        <v>RF-18</v>
      </c>
      <c r="E54" s="11" t="s">
        <v>838</v>
      </c>
      <c r="F54" s="11" t="s">
        <v>839</v>
      </c>
      <c r="G54" s="11" t="s">
        <v>840</v>
      </c>
      <c r="H54" s="11" t="s">
        <v>841</v>
      </c>
      <c r="I54" s="11"/>
      <c r="J54" s="8" t="s">
        <v>650</v>
      </c>
      <c r="K54" s="8"/>
      <c r="L54" s="4"/>
      <c r="M54" s="13"/>
      <c r="N54" s="4" t="s">
        <v>239</v>
      </c>
      <c r="O54" s="4"/>
    </row>
    <row r="55" spans="1:15" ht="62.1" customHeight="1">
      <c r="A55" s="10" t="s">
        <v>150</v>
      </c>
      <c r="B55" s="8" t="s">
        <v>149</v>
      </c>
      <c r="C55" s="7" t="str">
        <f>IF($B55="","",IFERROR(IF(VLOOKUP($B55,'Historias y criterios'!$A$6:$P$83,2,FALSE)="","",VLOOKUP($B55,'Historias y criterios'!$A$6:$P$83,2,FALSE)),"ID no encontrado"))</f>
        <v>HU-013</v>
      </c>
      <c r="D55" s="7" t="str">
        <f>IF($B55="","",IFERROR(IF(VLOOKUP($B55,'Historias y criterios'!$A$6:$P$83,3,FALSE)="","",VLOOKUP($B55,'Historias y criterios'!$A$6:$P$83,3,FALSE)),"ID no encontrado"))</f>
        <v>RF-18</v>
      </c>
      <c r="E55" s="11" t="s">
        <v>842</v>
      </c>
      <c r="F55" s="11" t="s">
        <v>843</v>
      </c>
      <c r="G55" s="11" t="s">
        <v>844</v>
      </c>
      <c r="H55" s="11" t="s">
        <v>845</v>
      </c>
      <c r="I55" s="11"/>
      <c r="J55" s="8" t="s">
        <v>650</v>
      </c>
      <c r="K55" s="8"/>
      <c r="L55" s="4"/>
      <c r="M55" s="13"/>
      <c r="N55" s="4" t="s">
        <v>239</v>
      </c>
      <c r="O55" s="4"/>
    </row>
    <row r="56" spans="1:15" ht="62.1" customHeight="1">
      <c r="A56" s="10" t="s">
        <v>153</v>
      </c>
      <c r="B56" s="8" t="s">
        <v>152</v>
      </c>
      <c r="C56" s="7" t="str">
        <f>IF($B56="","",IFERROR(IF(VLOOKUP($B56,'Historias y criterios'!$A$6:$P$83,2,FALSE)="","",VLOOKUP($B56,'Historias y criterios'!$A$6:$P$83,2,FALSE)),"ID no encontrado"))</f>
        <v>HU-014</v>
      </c>
      <c r="D56" s="7" t="str">
        <f>IF($B56="","",IFERROR(IF(VLOOKUP($B56,'Historias y criterios'!$A$6:$P$83,3,FALSE)="","",VLOOKUP($B56,'Historias y criterios'!$A$6:$P$83,3,FALSE)),"ID no encontrado"))</f>
        <v>RF-19</v>
      </c>
      <c r="E56" s="11" t="s">
        <v>846</v>
      </c>
      <c r="F56" s="11" t="s">
        <v>847</v>
      </c>
      <c r="G56" s="11" t="s">
        <v>848</v>
      </c>
      <c r="H56" s="11" t="s">
        <v>571</v>
      </c>
      <c r="I56" s="11"/>
      <c r="J56" s="8" t="s">
        <v>650</v>
      </c>
      <c r="K56" s="8"/>
      <c r="L56" s="4"/>
      <c r="M56" s="13"/>
      <c r="N56" s="4" t="s">
        <v>239</v>
      </c>
      <c r="O56" s="4"/>
    </row>
    <row r="57" spans="1:15" ht="62.1" customHeight="1">
      <c r="A57" s="10" t="s">
        <v>156</v>
      </c>
      <c r="B57" s="8" t="s">
        <v>155</v>
      </c>
      <c r="C57" s="7" t="str">
        <f>IF($B57="","",IFERROR(IF(VLOOKUP($B57,'Historias y criterios'!$A$6:$P$83,2,FALSE)="","",VLOOKUP($B57,'Historias y criterios'!$A$6:$P$83,2,FALSE)),"ID no encontrado"))</f>
        <v>HU-014</v>
      </c>
      <c r="D57" s="7" t="str">
        <f>IF($B57="","",IFERROR(IF(VLOOKUP($B57,'Historias y criterios'!$A$6:$P$83,3,FALSE)="","",VLOOKUP($B57,'Historias y criterios'!$A$6:$P$83,3,FALSE)),"ID no encontrado"))</f>
        <v>RF-20</v>
      </c>
      <c r="E57" s="11" t="s">
        <v>849</v>
      </c>
      <c r="F57" s="11" t="s">
        <v>850</v>
      </c>
      <c r="G57" s="11" t="s">
        <v>851</v>
      </c>
      <c r="H57" s="11" t="s">
        <v>852</v>
      </c>
      <c r="I57" s="11"/>
      <c r="J57" s="8" t="s">
        <v>650</v>
      </c>
      <c r="K57" s="8"/>
      <c r="L57" s="4"/>
      <c r="M57" s="13"/>
      <c r="N57" s="4" t="s">
        <v>239</v>
      </c>
      <c r="O57" s="4"/>
    </row>
    <row r="58" spans="1:15" ht="62.1" customHeight="1">
      <c r="A58" s="10" t="s">
        <v>158</v>
      </c>
      <c r="B58" s="8" t="s">
        <v>157</v>
      </c>
      <c r="C58" s="7" t="str">
        <f>IF($B58="","",IFERROR(IF(VLOOKUP($B58,'Historias y criterios'!$A$6:$P$83,2,FALSE)="","",VLOOKUP($B58,'Historias y criterios'!$A$6:$P$83,2,FALSE)),"ID no encontrado"))</f>
        <v>HU-014</v>
      </c>
      <c r="D58" s="7" t="str">
        <f>IF($B58="","",IFERROR(IF(VLOOKUP($B58,'Historias y criterios'!$A$6:$P$83,3,FALSE)="","",VLOOKUP($B58,'Historias y criterios'!$A$6:$P$83,3,FALSE)),"ID no encontrado"))</f>
        <v>RF-19</v>
      </c>
      <c r="E58" s="11" t="s">
        <v>853</v>
      </c>
      <c r="F58" s="11" t="s">
        <v>854</v>
      </c>
      <c r="G58" s="11" t="s">
        <v>855</v>
      </c>
      <c r="H58" s="11" t="s">
        <v>856</v>
      </c>
      <c r="I58" s="11"/>
      <c r="J58" s="8" t="s">
        <v>650</v>
      </c>
      <c r="K58" s="8"/>
      <c r="L58" s="4"/>
      <c r="M58" s="13"/>
      <c r="N58" s="4" t="s">
        <v>239</v>
      </c>
      <c r="O58" s="4"/>
    </row>
    <row r="59" spans="1:15" ht="62.1" customHeight="1">
      <c r="A59" s="10" t="s">
        <v>160</v>
      </c>
      <c r="B59" s="8" t="s">
        <v>159</v>
      </c>
      <c r="C59" s="7" t="str">
        <f>IF($B59="","",IFERROR(IF(VLOOKUP($B59,'Historias y criterios'!$A$6:$P$83,2,FALSE)="","",VLOOKUP($B59,'Historias y criterios'!$A$6:$P$83,2,FALSE)),"ID no encontrado"))</f>
        <v>HU-014</v>
      </c>
      <c r="D59" s="7" t="str">
        <f>IF($B59="","",IFERROR(IF(VLOOKUP($B59,'Historias y criterios'!$A$6:$P$83,3,FALSE)="","",VLOOKUP($B59,'Historias y criterios'!$A$6:$P$83,3,FALSE)),"ID no encontrado"))</f>
        <v>RF-20</v>
      </c>
      <c r="E59" s="11" t="s">
        <v>857</v>
      </c>
      <c r="F59" s="11" t="s">
        <v>858</v>
      </c>
      <c r="G59" s="11" t="s">
        <v>859</v>
      </c>
      <c r="H59" s="11" t="s">
        <v>860</v>
      </c>
      <c r="I59" s="11"/>
      <c r="J59" s="8" t="s">
        <v>650</v>
      </c>
      <c r="K59" s="8"/>
      <c r="L59" s="4"/>
      <c r="M59" s="13"/>
      <c r="N59" s="4" t="s">
        <v>239</v>
      </c>
      <c r="O59" s="4"/>
    </row>
    <row r="60" spans="1:15" ht="62.1" customHeight="1">
      <c r="A60" s="10" t="s">
        <v>163</v>
      </c>
      <c r="B60" s="8" t="s">
        <v>162</v>
      </c>
      <c r="C60" s="7" t="str">
        <f>IF($B60="","",IFERROR(IF(VLOOKUP($B60,'Historias y criterios'!$A$6:$P$83,2,FALSE)="","",VLOOKUP($B60,'Historias y criterios'!$A$6:$P$83,2,FALSE)),"ID no encontrado"))</f>
        <v>HU-015</v>
      </c>
      <c r="D60" s="7" t="str">
        <f>IF($B60="","",IFERROR(IF(VLOOKUP($B60,'Historias y criterios'!$A$6:$P$83,3,FALSE)="","",VLOOKUP($B60,'Historias y criterios'!$A$6:$P$83,3,FALSE)),"ID no encontrado"))</f>
        <v>RF-26</v>
      </c>
      <c r="E60" s="11" t="s">
        <v>861</v>
      </c>
      <c r="F60" s="11" t="s">
        <v>862</v>
      </c>
      <c r="G60" s="11" t="s">
        <v>863</v>
      </c>
      <c r="H60" s="11" t="s">
        <v>864</v>
      </c>
      <c r="I60" s="11"/>
      <c r="J60" s="8" t="s">
        <v>650</v>
      </c>
      <c r="K60" s="8"/>
      <c r="L60" s="4"/>
      <c r="M60" s="13"/>
      <c r="N60" s="4" t="s">
        <v>256</v>
      </c>
      <c r="O60" s="4"/>
    </row>
    <row r="61" spans="1:15" ht="62.1" customHeight="1">
      <c r="A61" s="10" t="s">
        <v>165</v>
      </c>
      <c r="B61" s="8" t="s">
        <v>164</v>
      </c>
      <c r="C61" s="7" t="str">
        <f>IF($B61="","",IFERROR(IF(VLOOKUP($B61,'Historias y criterios'!$A$6:$P$83,2,FALSE)="","",VLOOKUP($B61,'Historias y criterios'!$A$6:$P$83,2,FALSE)),"ID no encontrado"))</f>
        <v>HU-015</v>
      </c>
      <c r="D61" s="7" t="str">
        <f>IF($B61="","",IFERROR(IF(VLOOKUP($B61,'Historias y criterios'!$A$6:$P$83,3,FALSE)="","",VLOOKUP($B61,'Historias y criterios'!$A$6:$P$83,3,FALSE)),"ID no encontrado"))</f>
        <v>RF-26</v>
      </c>
      <c r="E61" s="11" t="s">
        <v>865</v>
      </c>
      <c r="F61" s="11" t="s">
        <v>866</v>
      </c>
      <c r="G61" s="11" t="s">
        <v>867</v>
      </c>
      <c r="H61" s="11" t="s">
        <v>868</v>
      </c>
      <c r="I61" s="11"/>
      <c r="J61" s="8" t="s">
        <v>650</v>
      </c>
      <c r="K61" s="8"/>
      <c r="L61" s="4"/>
      <c r="M61" s="13"/>
      <c r="N61" s="4" t="s">
        <v>256</v>
      </c>
      <c r="O61" s="4"/>
    </row>
    <row r="62" spans="1:15" ht="62.1" customHeight="1">
      <c r="A62" s="10" t="s">
        <v>167</v>
      </c>
      <c r="B62" s="8" t="s">
        <v>166</v>
      </c>
      <c r="C62" s="7" t="str">
        <f>IF($B62="","",IFERROR(IF(VLOOKUP($B62,'Historias y criterios'!$A$6:$P$83,2,FALSE)="","",VLOOKUP($B62,'Historias y criterios'!$A$6:$P$83,2,FALSE)),"ID no encontrado"))</f>
        <v>HU-015</v>
      </c>
      <c r="D62" s="7" t="str">
        <f>IF($B62="","",IFERROR(IF(VLOOKUP($B62,'Historias y criterios'!$A$6:$P$83,3,FALSE)="","",VLOOKUP($B62,'Historias y criterios'!$A$6:$P$83,3,FALSE)),"ID no encontrado"))</f>
        <v>RF-26</v>
      </c>
      <c r="E62" s="11" t="s">
        <v>869</v>
      </c>
      <c r="F62" s="11" t="s">
        <v>870</v>
      </c>
      <c r="G62" s="11" t="s">
        <v>871</v>
      </c>
      <c r="H62" s="11" t="s">
        <v>872</v>
      </c>
      <c r="I62" s="11"/>
      <c r="J62" s="8" t="s">
        <v>650</v>
      </c>
      <c r="K62" s="8"/>
      <c r="L62" s="4"/>
      <c r="M62" s="13"/>
      <c r="N62" s="4" t="s">
        <v>256</v>
      </c>
      <c r="O62" s="4"/>
    </row>
    <row r="63" spans="1:15" ht="62.1" customHeight="1">
      <c r="A63" s="10" t="s">
        <v>169</v>
      </c>
      <c r="B63" s="8" t="s">
        <v>168</v>
      </c>
      <c r="C63" s="7" t="str">
        <f>IF($B63="","",IFERROR(IF(VLOOKUP($B63,'Historias y criterios'!$A$6:$P$83,2,FALSE)="","",VLOOKUP($B63,'Historias y criterios'!$A$6:$P$83,2,FALSE)),"ID no encontrado"))</f>
        <v>HU-015</v>
      </c>
      <c r="D63" s="7" t="str">
        <f>IF($B63="","",IFERROR(IF(VLOOKUP($B63,'Historias y criterios'!$A$6:$P$83,3,FALSE)="","",VLOOKUP($B63,'Historias y criterios'!$A$6:$P$83,3,FALSE)),"ID no encontrado"))</f>
        <v>RF-26</v>
      </c>
      <c r="E63" s="11" t="s">
        <v>873</v>
      </c>
      <c r="F63" s="11" t="s">
        <v>874</v>
      </c>
      <c r="G63" s="11" t="s">
        <v>875</v>
      </c>
      <c r="H63" s="11" t="s">
        <v>876</v>
      </c>
      <c r="I63" s="11"/>
      <c r="J63" s="8" t="s">
        <v>650</v>
      </c>
      <c r="K63" s="8"/>
      <c r="L63" s="4"/>
      <c r="M63" s="13"/>
      <c r="N63" s="4" t="s">
        <v>256</v>
      </c>
      <c r="O63" s="4"/>
    </row>
    <row r="64" spans="1:15" ht="62.1" customHeight="1">
      <c r="A64" s="10" t="s">
        <v>172</v>
      </c>
      <c r="B64" s="8" t="s">
        <v>171</v>
      </c>
      <c r="C64" s="7" t="str">
        <f>IF($B64="","",IFERROR(IF(VLOOKUP($B64,'Historias y criterios'!$A$6:$P$83,2,FALSE)="","",VLOOKUP($B64,'Historias y criterios'!$A$6:$P$83,2,FALSE)),"ID no encontrado"))</f>
        <v>HU-016</v>
      </c>
      <c r="D64" s="7" t="str">
        <f>IF($B64="","",IFERROR(IF(VLOOKUP($B64,'Historias y criterios'!$A$6:$P$83,3,FALSE)="","",VLOOKUP($B64,'Historias y criterios'!$A$6:$P$83,3,FALSE)),"ID no encontrado"))</f>
        <v>RF-27</v>
      </c>
      <c r="E64" s="11" t="s">
        <v>877</v>
      </c>
      <c r="F64" s="11" t="s">
        <v>878</v>
      </c>
      <c r="G64" s="11" t="s">
        <v>879</v>
      </c>
      <c r="H64" s="11" t="s">
        <v>880</v>
      </c>
      <c r="I64" s="11"/>
      <c r="J64" s="8" t="s">
        <v>650</v>
      </c>
      <c r="K64" s="8"/>
      <c r="L64" s="4"/>
      <c r="M64" s="13"/>
      <c r="N64" s="4" t="s">
        <v>256</v>
      </c>
      <c r="O64" s="4"/>
    </row>
    <row r="65" spans="1:15" ht="62.1" customHeight="1">
      <c r="A65" s="10" t="s">
        <v>174</v>
      </c>
      <c r="B65" s="8" t="s">
        <v>173</v>
      </c>
      <c r="C65" s="7" t="str">
        <f>IF($B65="","",IFERROR(IF(VLOOKUP($B65,'Historias y criterios'!$A$6:$P$83,2,FALSE)="","",VLOOKUP($B65,'Historias y criterios'!$A$6:$P$83,2,FALSE)),"ID no encontrado"))</f>
        <v>HU-016</v>
      </c>
      <c r="D65" s="7" t="str">
        <f>IF($B65="","",IFERROR(IF(VLOOKUP($B65,'Historias y criterios'!$A$6:$P$83,3,FALSE)="","",VLOOKUP($B65,'Historias y criterios'!$A$6:$P$83,3,FALSE)),"ID no encontrado"))</f>
        <v>RF-27</v>
      </c>
      <c r="E65" s="11" t="s">
        <v>881</v>
      </c>
      <c r="F65" s="11" t="s">
        <v>882</v>
      </c>
      <c r="G65" s="11" t="s">
        <v>883</v>
      </c>
      <c r="H65" s="11" t="s">
        <v>884</v>
      </c>
      <c r="I65" s="11"/>
      <c r="J65" s="8" t="s">
        <v>650</v>
      </c>
      <c r="K65" s="8"/>
      <c r="L65" s="4"/>
      <c r="M65" s="13"/>
      <c r="N65" s="4" t="s">
        <v>256</v>
      </c>
      <c r="O65" s="4"/>
    </row>
    <row r="66" spans="1:15" ht="62.1" customHeight="1">
      <c r="A66" s="10" t="s">
        <v>176</v>
      </c>
      <c r="B66" s="8" t="s">
        <v>175</v>
      </c>
      <c r="C66" s="7" t="str">
        <f>IF($B66="","",IFERROR(IF(VLOOKUP($B66,'Historias y criterios'!$A$6:$P$83,2,FALSE)="","",VLOOKUP($B66,'Historias y criterios'!$A$6:$P$83,2,FALSE)),"ID no encontrado"))</f>
        <v>HU-016</v>
      </c>
      <c r="D66" s="7" t="str">
        <f>IF($B66="","",IFERROR(IF(VLOOKUP($B66,'Historias y criterios'!$A$6:$P$83,3,FALSE)="","",VLOOKUP($B66,'Historias y criterios'!$A$6:$P$83,3,FALSE)),"ID no encontrado"))</f>
        <v>RF-27</v>
      </c>
      <c r="E66" s="11" t="s">
        <v>885</v>
      </c>
      <c r="F66" s="11" t="s">
        <v>886</v>
      </c>
      <c r="G66" s="11" t="s">
        <v>887</v>
      </c>
      <c r="H66" s="11" t="s">
        <v>888</v>
      </c>
      <c r="I66" s="11"/>
      <c r="J66" s="8" t="s">
        <v>650</v>
      </c>
      <c r="K66" s="8"/>
      <c r="L66" s="4"/>
      <c r="M66" s="13"/>
      <c r="N66" s="4" t="s">
        <v>256</v>
      </c>
      <c r="O66" s="4"/>
    </row>
    <row r="67" spans="1:15" ht="62.1" customHeight="1">
      <c r="A67" s="10" t="s">
        <v>178</v>
      </c>
      <c r="B67" s="8" t="s">
        <v>177</v>
      </c>
      <c r="C67" s="7" t="str">
        <f>IF($B67="","",IFERROR(IF(VLOOKUP($B67,'Historias y criterios'!$A$6:$P$83,2,FALSE)="","",VLOOKUP($B67,'Historias y criterios'!$A$6:$P$83,2,FALSE)),"ID no encontrado"))</f>
        <v>HU-016</v>
      </c>
      <c r="D67" s="7" t="str">
        <f>IF($B67="","",IFERROR(IF(VLOOKUP($B67,'Historias y criterios'!$A$6:$P$83,3,FALSE)="","",VLOOKUP($B67,'Historias y criterios'!$A$6:$P$83,3,FALSE)),"ID no encontrado"))</f>
        <v>RF-27</v>
      </c>
      <c r="E67" s="11" t="s">
        <v>889</v>
      </c>
      <c r="F67" s="11" t="s">
        <v>890</v>
      </c>
      <c r="G67" s="11" t="s">
        <v>891</v>
      </c>
      <c r="H67" s="11" t="s">
        <v>892</v>
      </c>
      <c r="I67" s="11"/>
      <c r="J67" s="8" t="s">
        <v>650</v>
      </c>
      <c r="K67" s="8"/>
      <c r="L67" s="4"/>
      <c r="M67" s="13"/>
      <c r="N67" s="4" t="s">
        <v>256</v>
      </c>
      <c r="O67" s="4"/>
    </row>
    <row r="68" spans="1:15" ht="62.1" customHeight="1">
      <c r="A68" s="10" t="s">
        <v>181</v>
      </c>
      <c r="B68" s="8" t="s">
        <v>180</v>
      </c>
      <c r="C68" s="7" t="str">
        <f>IF($B68="","",IFERROR(IF(VLOOKUP($B68,'Historias y criterios'!$A$6:$P$83,2,FALSE)="","",VLOOKUP($B68,'Historias y criterios'!$A$6:$P$83,2,FALSE)),"ID no encontrado"))</f>
        <v>HU-017</v>
      </c>
      <c r="D68" s="7" t="str">
        <f>IF($B68="","",IFERROR(IF(VLOOKUP($B68,'Historias y criterios'!$A$6:$P$83,3,FALSE)="","",VLOOKUP($B68,'Historias y criterios'!$A$6:$P$83,3,FALSE)),"ID no encontrado"))</f>
        <v>RF-28</v>
      </c>
      <c r="E68" s="11" t="s">
        <v>893</v>
      </c>
      <c r="F68" s="11" t="s">
        <v>894</v>
      </c>
      <c r="G68" s="11" t="s">
        <v>895</v>
      </c>
      <c r="H68" s="11" t="s">
        <v>896</v>
      </c>
      <c r="I68" s="11"/>
      <c r="J68" s="8" t="s">
        <v>650</v>
      </c>
      <c r="K68" s="8"/>
      <c r="L68" s="4"/>
      <c r="M68" s="13"/>
      <c r="N68" s="4" t="s">
        <v>256</v>
      </c>
      <c r="O68" s="4"/>
    </row>
    <row r="69" spans="1:15" ht="62.1" customHeight="1">
      <c r="A69" s="10" t="s">
        <v>183</v>
      </c>
      <c r="B69" s="8" t="s">
        <v>182</v>
      </c>
      <c r="C69" s="7" t="str">
        <f>IF($B69="","",IFERROR(IF(VLOOKUP($B69,'Historias y criterios'!$A$6:$P$83,2,FALSE)="","",VLOOKUP($B69,'Historias y criterios'!$A$6:$P$83,2,FALSE)),"ID no encontrado"))</f>
        <v>HU-017</v>
      </c>
      <c r="D69" s="7" t="str">
        <f>IF($B69="","",IFERROR(IF(VLOOKUP($B69,'Historias y criterios'!$A$6:$P$83,3,FALSE)="","",VLOOKUP($B69,'Historias y criterios'!$A$6:$P$83,3,FALSE)),"ID no encontrado"))</f>
        <v>RF-28</v>
      </c>
      <c r="E69" s="11" t="s">
        <v>897</v>
      </c>
      <c r="F69" s="11" t="s">
        <v>898</v>
      </c>
      <c r="G69" s="11" t="s">
        <v>899</v>
      </c>
      <c r="H69" s="11" t="s">
        <v>900</v>
      </c>
      <c r="I69" s="11"/>
      <c r="J69" s="8" t="s">
        <v>650</v>
      </c>
      <c r="K69" s="8"/>
      <c r="L69" s="4"/>
      <c r="M69" s="13"/>
      <c r="N69" s="4" t="s">
        <v>256</v>
      </c>
      <c r="O69" s="4"/>
    </row>
    <row r="70" spans="1:15" ht="62.1" customHeight="1">
      <c r="A70" s="10" t="s">
        <v>186</v>
      </c>
      <c r="B70" s="8" t="s">
        <v>185</v>
      </c>
      <c r="C70" s="7" t="str">
        <f>IF($B70="","",IFERROR(IF(VLOOKUP($B70,'Historias y criterios'!$A$6:$P$83,2,FALSE)="","",VLOOKUP($B70,'Historias y criterios'!$A$6:$P$83,2,FALSE)),"ID no encontrado"))</f>
        <v>HU-017</v>
      </c>
      <c r="D70" s="7" t="str">
        <f>IF($B70="","",IFERROR(IF(VLOOKUP($B70,'Historias y criterios'!$A$6:$P$83,3,FALSE)="","",VLOOKUP($B70,'Historias y criterios'!$A$6:$P$83,3,FALSE)),"ID no encontrado"))</f>
        <v>RF-32</v>
      </c>
      <c r="E70" s="11" t="s">
        <v>901</v>
      </c>
      <c r="F70" s="11" t="s">
        <v>902</v>
      </c>
      <c r="G70" s="11" t="s">
        <v>903</v>
      </c>
      <c r="H70" s="11" t="s">
        <v>904</v>
      </c>
      <c r="I70" s="11"/>
      <c r="J70" s="8" t="s">
        <v>650</v>
      </c>
      <c r="K70" s="8"/>
      <c r="L70" s="4"/>
      <c r="M70" s="13"/>
      <c r="N70" s="4" t="s">
        <v>256</v>
      </c>
      <c r="O70" s="4"/>
    </row>
    <row r="71" spans="1:15" ht="62.1" customHeight="1">
      <c r="A71" s="10" t="s">
        <v>188</v>
      </c>
      <c r="B71" s="8" t="s">
        <v>187</v>
      </c>
      <c r="C71" s="7" t="str">
        <f>IF($B71="","",IFERROR(IF(VLOOKUP($B71,'Historias y criterios'!$A$6:$P$83,2,FALSE)="","",VLOOKUP($B71,'Historias y criterios'!$A$6:$P$83,2,FALSE)),"ID no encontrado"))</f>
        <v>HU-017</v>
      </c>
      <c r="D71" s="7" t="str">
        <f>IF($B71="","",IFERROR(IF(VLOOKUP($B71,'Historias y criterios'!$A$6:$P$83,3,FALSE)="","",VLOOKUP($B71,'Historias y criterios'!$A$6:$P$83,3,FALSE)),"ID no encontrado"))</f>
        <v>RF-32</v>
      </c>
      <c r="E71" s="11" t="s">
        <v>905</v>
      </c>
      <c r="F71" s="11" t="s">
        <v>906</v>
      </c>
      <c r="G71" s="11" t="s">
        <v>907</v>
      </c>
      <c r="H71" s="11" t="s">
        <v>908</v>
      </c>
      <c r="I71" s="11"/>
      <c r="J71" s="8" t="s">
        <v>650</v>
      </c>
      <c r="K71" s="8"/>
      <c r="L71" s="4"/>
      <c r="M71" s="13"/>
      <c r="N71" s="4" t="s">
        <v>256</v>
      </c>
      <c r="O71" s="4"/>
    </row>
    <row r="72" spans="1:15" ht="62.1" customHeight="1">
      <c r="A72" s="10" t="s">
        <v>191</v>
      </c>
      <c r="B72" s="8" t="s">
        <v>190</v>
      </c>
      <c r="C72" s="7" t="str">
        <f>IF($B72="","",IFERROR(IF(VLOOKUP($B72,'Historias y criterios'!$A$6:$P$83,2,FALSE)="","",VLOOKUP($B72,'Historias y criterios'!$A$6:$P$83,2,FALSE)),"ID no encontrado"))</f>
        <v>HU-018</v>
      </c>
      <c r="D72" s="7" t="str">
        <f>IF($B72="","",IFERROR(IF(VLOOKUP($B72,'Historias y criterios'!$A$6:$P$83,3,FALSE)="","",VLOOKUP($B72,'Historias y criterios'!$A$6:$P$83,3,FALSE)),"ID no encontrado"))</f>
        <v>RF-22</v>
      </c>
      <c r="E72" s="11" t="s">
        <v>909</v>
      </c>
      <c r="F72" s="11" t="s">
        <v>767</v>
      </c>
      <c r="G72" s="11" t="s">
        <v>910</v>
      </c>
      <c r="H72" s="11" t="s">
        <v>911</v>
      </c>
      <c r="I72" s="11"/>
      <c r="J72" s="8" t="s">
        <v>650</v>
      </c>
      <c r="K72" s="8"/>
      <c r="L72" s="4"/>
      <c r="M72" s="13"/>
      <c r="N72" s="4" t="s">
        <v>262</v>
      </c>
      <c r="O72" s="4"/>
    </row>
    <row r="73" spans="1:15" ht="75.599999999999994" customHeight="1">
      <c r="A73" s="10" t="s">
        <v>193</v>
      </c>
      <c r="B73" s="8" t="s">
        <v>192</v>
      </c>
      <c r="C73" s="7" t="str">
        <f>IF($B73="","",IFERROR(IF(VLOOKUP($B73,'Historias y criterios'!$A$6:$P$83,2,FALSE)="","",VLOOKUP($B73,'Historias y criterios'!$A$6:$P$83,2,FALSE)),"ID no encontrado"))</f>
        <v>HU-018</v>
      </c>
      <c r="D73" s="7" t="str">
        <f>IF($B73="","",IFERROR(IF(VLOOKUP($B73,'Historias y criterios'!$A$6:$P$83,3,FALSE)="","",VLOOKUP($B73,'Historias y criterios'!$A$6:$P$83,3,FALSE)),"ID no encontrado"))</f>
        <v>RF-22</v>
      </c>
      <c r="E73" s="11" t="s">
        <v>912</v>
      </c>
      <c r="F73" s="11" t="s">
        <v>913</v>
      </c>
      <c r="G73" s="11" t="s">
        <v>914</v>
      </c>
      <c r="H73" s="11" t="s">
        <v>915</v>
      </c>
      <c r="I73" s="11"/>
      <c r="J73" s="8" t="s">
        <v>650</v>
      </c>
      <c r="K73" s="8"/>
      <c r="L73" s="4"/>
      <c r="M73" s="13"/>
      <c r="N73" s="4" t="s">
        <v>262</v>
      </c>
      <c r="O73" s="4"/>
    </row>
    <row r="74" spans="1:15" ht="62.1" customHeight="1">
      <c r="A74" s="10" t="s">
        <v>196</v>
      </c>
      <c r="B74" s="8" t="s">
        <v>195</v>
      </c>
      <c r="C74" s="7" t="str">
        <f>IF($B74="","",IFERROR(IF(VLOOKUP($B74,'Historias y criterios'!$A$6:$P$83,2,FALSE)="","",VLOOKUP($B74,'Historias y criterios'!$A$6:$P$83,2,FALSE)),"ID no encontrado"))</f>
        <v>HU-018</v>
      </c>
      <c r="D74" s="7" t="str">
        <f>IF($B74="","",IFERROR(IF(VLOOKUP($B74,'Historias y criterios'!$A$6:$P$83,3,FALSE)="","",VLOOKUP($B74,'Historias y criterios'!$A$6:$P$83,3,FALSE)),"ID no encontrado"))</f>
        <v>RF-23</v>
      </c>
      <c r="E74" s="11" t="s">
        <v>916</v>
      </c>
      <c r="F74" s="11" t="s">
        <v>917</v>
      </c>
      <c r="G74" s="11" t="s">
        <v>918</v>
      </c>
      <c r="H74" s="11" t="s">
        <v>919</v>
      </c>
      <c r="I74" s="11"/>
      <c r="J74" s="8" t="s">
        <v>650</v>
      </c>
      <c r="K74" s="8"/>
      <c r="L74" s="4"/>
      <c r="M74" s="13"/>
      <c r="N74" s="4" t="s">
        <v>262</v>
      </c>
      <c r="O74" s="4"/>
    </row>
    <row r="75" spans="1:15" ht="62.1" customHeight="1">
      <c r="A75" s="10" t="s">
        <v>198</v>
      </c>
      <c r="B75" s="8" t="s">
        <v>197</v>
      </c>
      <c r="C75" s="7" t="str">
        <f>IF($B75="","",IFERROR(IF(VLOOKUP($B75,'Historias y criterios'!$A$6:$P$83,2,FALSE)="","",VLOOKUP($B75,'Historias y criterios'!$A$6:$P$83,2,FALSE)),"ID no encontrado"))</f>
        <v>HU-018</v>
      </c>
      <c r="D75" s="7" t="str">
        <f>IF($B75="","",IFERROR(IF(VLOOKUP($B75,'Historias y criterios'!$A$6:$P$83,3,FALSE)="","",VLOOKUP($B75,'Historias y criterios'!$A$6:$P$83,3,FALSE)),"ID no encontrado"))</f>
        <v>RF-23</v>
      </c>
      <c r="E75" s="11" t="s">
        <v>920</v>
      </c>
      <c r="F75" s="11" t="s">
        <v>921</v>
      </c>
      <c r="G75" s="11" t="s">
        <v>922</v>
      </c>
      <c r="H75" s="11" t="s">
        <v>923</v>
      </c>
      <c r="I75" s="11"/>
      <c r="J75" s="8" t="s">
        <v>650</v>
      </c>
      <c r="K75" s="8"/>
      <c r="L75" s="4"/>
      <c r="M75" s="13"/>
      <c r="N75" s="4" t="s">
        <v>262</v>
      </c>
      <c r="O75" s="4"/>
    </row>
    <row r="76" spans="1:15" ht="62.1" customHeight="1">
      <c r="A76" s="10" t="s">
        <v>201</v>
      </c>
      <c r="B76" s="8" t="s">
        <v>200</v>
      </c>
      <c r="C76" s="7" t="str">
        <f>IF($B76="","",IFERROR(IF(VLOOKUP($B76,'Historias y criterios'!$A$6:$P$83,2,FALSE)="","",VLOOKUP($B76,'Historias y criterios'!$A$6:$P$83,2,FALSE)),"ID no encontrado"))</f>
        <v>HU-019</v>
      </c>
      <c r="D76" s="7" t="str">
        <f>IF($B76="","",IFERROR(IF(VLOOKUP($B76,'Historias y criterios'!$A$6:$P$83,3,FALSE)="","",VLOOKUP($B76,'Historias y criterios'!$A$6:$P$83,3,FALSE)),"ID no encontrado"))</f>
        <v>RF-24</v>
      </c>
      <c r="E76" s="11" t="s">
        <v>374</v>
      </c>
      <c r="F76" s="11" t="s">
        <v>924</v>
      </c>
      <c r="G76" s="11" t="s">
        <v>925</v>
      </c>
      <c r="H76" s="11" t="s">
        <v>926</v>
      </c>
      <c r="I76" s="11"/>
      <c r="J76" s="8" t="s">
        <v>650</v>
      </c>
      <c r="K76" s="8"/>
      <c r="L76" s="4"/>
      <c r="M76" s="13"/>
      <c r="N76" s="4" t="s">
        <v>239</v>
      </c>
      <c r="O76" s="4"/>
    </row>
    <row r="77" spans="1:15" ht="62.1" customHeight="1">
      <c r="A77" s="10" t="s">
        <v>204</v>
      </c>
      <c r="B77" s="8" t="s">
        <v>203</v>
      </c>
      <c r="C77" s="7" t="str">
        <f>IF($B77="","",IFERROR(IF(VLOOKUP($B77,'Historias y criterios'!$A$6:$P$83,2,FALSE)="","",VLOOKUP($B77,'Historias y criterios'!$A$6:$P$83,2,FALSE)),"ID no encontrado"))</f>
        <v>HU-019</v>
      </c>
      <c r="D77" s="7" t="str">
        <f>IF($B77="","",IFERROR(IF(VLOOKUP($B77,'Historias y criterios'!$A$6:$P$83,3,FALSE)="","",VLOOKUP($B77,'Historias y criterios'!$A$6:$P$83,3,FALSE)),"ID no encontrado"))</f>
        <v>RF-33</v>
      </c>
      <c r="E77" s="11" t="s">
        <v>927</v>
      </c>
      <c r="F77" s="11" t="s">
        <v>928</v>
      </c>
      <c r="G77" s="11" t="s">
        <v>929</v>
      </c>
      <c r="H77" s="11" t="s">
        <v>930</v>
      </c>
      <c r="I77" s="11"/>
      <c r="J77" s="8" t="s">
        <v>650</v>
      </c>
      <c r="K77" s="8"/>
      <c r="L77" s="4"/>
      <c r="M77" s="13"/>
      <c r="N77" s="4" t="s">
        <v>239</v>
      </c>
      <c r="O77" s="4"/>
    </row>
    <row r="78" spans="1:15" ht="62.1" customHeight="1">
      <c r="A78" s="10" t="s">
        <v>207</v>
      </c>
      <c r="B78" s="8" t="s">
        <v>206</v>
      </c>
      <c r="C78" s="7" t="str">
        <f>IF($B78="","",IFERROR(IF(VLOOKUP($B78,'Historias y criterios'!$A$6:$P$83,2,FALSE)="","",VLOOKUP($B78,'Historias y criterios'!$A$6:$P$83,2,FALSE)),"ID no encontrado"))</f>
        <v>HU-019</v>
      </c>
      <c r="D78" s="7" t="str">
        <f>IF($B78="","",IFERROR(IF(VLOOKUP($B78,'Historias y criterios'!$A$6:$P$83,3,FALSE)="","",VLOOKUP($B78,'Historias y criterios'!$A$6:$P$83,3,FALSE)),"ID no encontrado"))</f>
        <v>RF-25</v>
      </c>
      <c r="E78" s="11" t="s">
        <v>931</v>
      </c>
      <c r="F78" s="11" t="s">
        <v>932</v>
      </c>
      <c r="G78" s="11" t="s">
        <v>933</v>
      </c>
      <c r="H78" s="11" t="s">
        <v>934</v>
      </c>
      <c r="I78" s="11"/>
      <c r="J78" s="8" t="s">
        <v>650</v>
      </c>
      <c r="K78" s="8"/>
      <c r="L78" s="4"/>
      <c r="M78" s="13"/>
      <c r="N78" s="4" t="s">
        <v>239</v>
      </c>
      <c r="O78" s="4"/>
    </row>
    <row r="79" spans="1:15" ht="75.599999999999994" customHeight="1">
      <c r="A79" s="10" t="s">
        <v>209</v>
      </c>
      <c r="B79" s="8" t="s">
        <v>208</v>
      </c>
      <c r="C79" s="7" t="str">
        <f>IF($B79="","",IFERROR(IF(VLOOKUP($B79,'Historias y criterios'!$A$6:$P$83,2,FALSE)="","",VLOOKUP($B79,'Historias y criterios'!$A$6:$P$83,2,FALSE)),"ID no encontrado"))</f>
        <v>HU-019</v>
      </c>
      <c r="D79" s="7" t="str">
        <f>IF($B79="","",IFERROR(IF(VLOOKUP($B79,'Historias y criterios'!$A$6:$P$83,3,FALSE)="","",VLOOKUP($B79,'Historias y criterios'!$A$6:$P$83,3,FALSE)),"ID no encontrado"))</f>
        <v>RF-25</v>
      </c>
      <c r="E79" s="11" t="s">
        <v>935</v>
      </c>
      <c r="F79" s="11" t="s">
        <v>936</v>
      </c>
      <c r="G79" s="11" t="s">
        <v>937</v>
      </c>
      <c r="H79" s="11" t="s">
        <v>938</v>
      </c>
      <c r="I79" s="11"/>
      <c r="J79" s="8" t="s">
        <v>650</v>
      </c>
      <c r="K79" s="8"/>
      <c r="L79" s="4"/>
      <c r="M79" s="13"/>
      <c r="N79" s="4" t="s">
        <v>239</v>
      </c>
      <c r="O79" s="4"/>
    </row>
    <row r="80" spans="1:15" ht="62.1" customHeight="1">
      <c r="A80" s="10" t="s">
        <v>212</v>
      </c>
      <c r="B80" s="8" t="s">
        <v>211</v>
      </c>
      <c r="C80" s="7" t="str">
        <f>IF($B80="","",IFERROR(IF(VLOOKUP($B80,'Historias y criterios'!$A$6:$P$83,2,FALSE)="","",VLOOKUP($B80,'Historias y criterios'!$A$6:$P$83,2,FALSE)),"ID no encontrado"))</f>
        <v>HU-020</v>
      </c>
      <c r="D80" s="7" t="str">
        <f>IF($B80="","",IFERROR(IF(VLOOKUP($B80,'Historias y criterios'!$A$6:$P$83,3,FALSE)="","",VLOOKUP($B80,'Historias y criterios'!$A$6:$P$83,3,FALSE)),"ID no encontrado"))</f>
        <v>RF-30</v>
      </c>
      <c r="E80" s="11" t="s">
        <v>939</v>
      </c>
      <c r="F80" s="11" t="s">
        <v>940</v>
      </c>
      <c r="G80" s="11" t="s">
        <v>941</v>
      </c>
      <c r="H80" s="11" t="s">
        <v>942</v>
      </c>
      <c r="I80" s="11"/>
      <c r="J80" s="8" t="s">
        <v>650</v>
      </c>
      <c r="K80" s="8"/>
      <c r="L80" s="4"/>
      <c r="M80" s="13"/>
      <c r="N80" s="4" t="s">
        <v>262</v>
      </c>
      <c r="O80" s="4"/>
    </row>
    <row r="81" spans="1:15" ht="62.1" customHeight="1">
      <c r="A81" s="10" t="s">
        <v>214</v>
      </c>
      <c r="B81" s="8" t="s">
        <v>213</v>
      </c>
      <c r="C81" s="7" t="str">
        <f>IF($B81="","",IFERROR(IF(VLOOKUP($B81,'Historias y criterios'!$A$6:$P$83,2,FALSE)="","",VLOOKUP($B81,'Historias y criterios'!$A$6:$P$83,2,FALSE)),"ID no encontrado"))</f>
        <v>HU-020</v>
      </c>
      <c r="D81" s="7" t="str">
        <f>IF($B81="","",IFERROR(IF(VLOOKUP($B81,'Historias y criterios'!$A$6:$P$83,3,FALSE)="","",VLOOKUP($B81,'Historias y criterios'!$A$6:$P$83,3,FALSE)),"ID no encontrado"))</f>
        <v>RF-30</v>
      </c>
      <c r="E81" s="11" t="s">
        <v>943</v>
      </c>
      <c r="F81" s="11" t="s">
        <v>944</v>
      </c>
      <c r="G81" s="11" t="s">
        <v>945</v>
      </c>
      <c r="H81" s="11" t="s">
        <v>946</v>
      </c>
      <c r="I81" s="11"/>
      <c r="J81" s="8" t="s">
        <v>650</v>
      </c>
      <c r="K81" s="8"/>
      <c r="L81" s="4"/>
      <c r="M81" s="13"/>
      <c r="N81" s="4" t="s">
        <v>262</v>
      </c>
      <c r="O81" s="4"/>
    </row>
    <row r="82" spans="1:15" ht="62.1" customHeight="1">
      <c r="A82" s="10" t="s">
        <v>216</v>
      </c>
      <c r="B82" s="8" t="s">
        <v>215</v>
      </c>
      <c r="C82" s="7" t="str">
        <f>IF($B82="","",IFERROR(IF(VLOOKUP($B82,'Historias y criterios'!$A$6:$P$83,2,FALSE)="","",VLOOKUP($B82,'Historias y criterios'!$A$6:$P$83,2,FALSE)),"ID no encontrado"))</f>
        <v>HU-020</v>
      </c>
      <c r="D82" s="7" t="str">
        <f>IF($B82="","",IFERROR(IF(VLOOKUP($B82,'Historias y criterios'!$A$6:$P$83,3,FALSE)="","",VLOOKUP($B82,'Historias y criterios'!$A$6:$P$83,3,FALSE)),"ID no encontrado"))</f>
        <v>RF-30</v>
      </c>
      <c r="E82" s="11" t="s">
        <v>947</v>
      </c>
      <c r="F82" s="11" t="s">
        <v>948</v>
      </c>
      <c r="G82" s="11" t="s">
        <v>949</v>
      </c>
      <c r="H82" s="11" t="s">
        <v>950</v>
      </c>
      <c r="I82" s="11"/>
      <c r="J82" s="8" t="s">
        <v>650</v>
      </c>
      <c r="K82" s="8"/>
      <c r="L82" s="4"/>
      <c r="M82" s="13"/>
      <c r="N82" s="4" t="s">
        <v>262</v>
      </c>
      <c r="O82" s="4"/>
    </row>
    <row r="83" spans="1:15" ht="62.1" customHeight="1">
      <c r="A83" s="10" t="s">
        <v>219</v>
      </c>
      <c r="B83" s="8" t="s">
        <v>218</v>
      </c>
      <c r="C83" s="7" t="str">
        <f>IF($B83="","",IFERROR(IF(VLOOKUP($B83,'Historias y criterios'!$A$6:$P$83,2,FALSE)="","",VLOOKUP($B83,'Historias y criterios'!$A$6:$P$83,2,FALSE)),"ID no encontrado"))</f>
        <v>HU-020</v>
      </c>
      <c r="D83" s="7" t="str">
        <f>IF($B83="","",IFERROR(IF(VLOOKUP($B83,'Historias y criterios'!$A$6:$P$83,3,FALSE)="","",VLOOKUP($B83,'Historias y criterios'!$A$6:$P$83,3,FALSE)),"ID no encontrado"))</f>
        <v>RF-34</v>
      </c>
      <c r="E83" s="11" t="s">
        <v>951</v>
      </c>
      <c r="F83" s="11" t="s">
        <v>952</v>
      </c>
      <c r="G83" s="11" t="s">
        <v>953</v>
      </c>
      <c r="H83" s="11" t="s">
        <v>954</v>
      </c>
      <c r="I83" s="11"/>
      <c r="J83" s="8" t="s">
        <v>650</v>
      </c>
      <c r="K83" s="8"/>
      <c r="L83" s="4"/>
      <c r="M83" s="13"/>
      <c r="N83" s="4" t="s">
        <v>262</v>
      </c>
      <c r="O83" s="4"/>
    </row>
  </sheetData>
  <mergeCells count="2">
    <mergeCell ref="A4:O4"/>
    <mergeCell ref="A2:O2"/>
  </mergeCells>
  <conditionalFormatting sqref="J6:J83">
    <cfRule type="containsText" dxfId="1" priority="1" operator="containsText" text="Aprobado">
      <formula>NOT(ISERROR(SEARCH("Aprobado",J6)))</formula>
    </cfRule>
    <cfRule type="containsText" dxfId="0" priority="2" operator="containsText" text="Fallido">
      <formula>NOT(ISERROR(SEARCH("Fallido",J6)))</formula>
    </cfRule>
  </conditionalFormatting>
  <dataValidations count="1">
    <dataValidation type="list" sqref="J6:J83" xr:uid="{00000000-0002-0000-0400-000001000000}">
      <formula1>"No ejecutado,Aprobado,Fallido,Bloqueado,No aplica"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'Historias y criterios'!$A$6:$A$83</xm:f>
          </x14:formula1>
          <xm:sqref>B6:B83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trazabilidad</vt:lpstr>
      <vt:lpstr>Objetivos y procesos</vt:lpstr>
      <vt:lpstr>Requerimientos</vt:lpstr>
      <vt:lpstr>Historias y criterios</vt:lpstr>
      <vt:lpstr>Casos y 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. ORELLANA CERDA</cp:lastModifiedBy>
  <dcterms:created xsi:type="dcterms:W3CDTF">2026-09-27T21:12:26Z</dcterms:created>
  <dcterms:modified xsi:type="dcterms:W3CDTF">2026-09-27T21:12:56Z</dcterms:modified>
</cp:coreProperties>
</file>