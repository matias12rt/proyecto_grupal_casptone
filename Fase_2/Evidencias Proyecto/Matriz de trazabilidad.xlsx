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n\AppData\Local\Temp\claude\C--Users-Sun-Desktop-GGHHH-main-GGHHH-main\d7d19966-2f55-4006-bd23-cc8001a43008\scratchpad\repo_profe\corregidos\"/>
    </mc:Choice>
  </mc:AlternateContent>
  <xr:revisionPtr revIDLastSave="0" documentId="13_ncr:1_{BC883844-A927-4687-AA56-3ECA8B7D5BF4}" xr6:coauthVersionLast="47" xr6:coauthVersionMax="47" xr10:uidLastSave="{00000000-0000-0000-0000-000000000000}"/>
  <bookViews>
    <workbookView xWindow="780" yWindow="780" windowWidth="21600" windowHeight="12645" xr2:uid="{00000000-000D-0000-FFFF-FFFF00000000}"/>
  </bookViews>
  <sheets>
    <sheet name="Matriz de trazabilidad" sheetId="1" r:id="rId1"/>
    <sheet name="Objetivos y procesos" sheetId="2" r:id="rId2"/>
    <sheet name="Requerimientos" sheetId="3" r:id="rId3"/>
    <sheet name="Historias y criterios" sheetId="4" r:id="rId4"/>
    <sheet name="Casos y evidencias" sheetId="5" r:id="rId5"/>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3" i="5" l="1"/>
  <c r="C83" i="5"/>
  <c r="D82" i="5"/>
  <c r="C82" i="5"/>
  <c r="D81" i="5"/>
  <c r="C81" i="5"/>
  <c r="D80" i="5"/>
  <c r="C80" i="5"/>
  <c r="D79" i="5"/>
  <c r="C79" i="5"/>
  <c r="D78" i="5"/>
  <c r="C78" i="5"/>
  <c r="D77" i="5"/>
  <c r="C77" i="5"/>
  <c r="D76" i="5"/>
  <c r="C76" i="5"/>
  <c r="D75" i="5"/>
  <c r="C75" i="5"/>
  <c r="D74" i="5"/>
  <c r="C74" i="5"/>
  <c r="D73" i="5"/>
  <c r="C73" i="5"/>
  <c r="D72" i="5"/>
  <c r="C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J83" i="4"/>
  <c r="J82" i="4"/>
  <c r="J84" i="1" s="1"/>
  <c r="J81" i="4"/>
  <c r="J83" i="1" s="1"/>
  <c r="J80" i="4"/>
  <c r="J82" i="1" s="1"/>
  <c r="J79" i="4"/>
  <c r="J81" i="1" s="1"/>
  <c r="J78" i="4"/>
  <c r="J80" i="1" s="1"/>
  <c r="J77" i="4"/>
  <c r="J79" i="1" s="1"/>
  <c r="J76" i="4"/>
  <c r="J78" i="1" s="1"/>
  <c r="J75" i="4"/>
  <c r="J77" i="1" s="1"/>
  <c r="J74" i="4"/>
  <c r="J76" i="1" s="1"/>
  <c r="J73" i="4"/>
  <c r="J75" i="1" s="1"/>
  <c r="J72" i="4"/>
  <c r="J74" i="1" s="1"/>
  <c r="J71" i="4"/>
  <c r="J73" i="1" s="1"/>
  <c r="J70" i="4"/>
  <c r="J72" i="1" s="1"/>
  <c r="J69" i="4"/>
  <c r="J71" i="1" s="1"/>
  <c r="J68" i="4"/>
  <c r="J70" i="1" s="1"/>
  <c r="J67" i="4"/>
  <c r="J66" i="4"/>
  <c r="J65" i="4"/>
  <c r="J67" i="1" s="1"/>
  <c r="J64" i="4"/>
  <c r="J66" i="1" s="1"/>
  <c r="J63" i="4"/>
  <c r="J62" i="4"/>
  <c r="J61" i="4"/>
  <c r="J60" i="4"/>
  <c r="J59" i="4"/>
  <c r="J58" i="4"/>
  <c r="J57" i="4"/>
  <c r="J59" i="1" s="1"/>
  <c r="J56" i="4"/>
  <c r="J58" i="1" s="1"/>
  <c r="J55" i="4"/>
  <c r="J57" i="1" s="1"/>
  <c r="J54" i="4"/>
  <c r="J56" i="1" s="1"/>
  <c r="J53" i="4"/>
  <c r="J55" i="1" s="1"/>
  <c r="J52" i="4"/>
  <c r="J54" i="1" s="1"/>
  <c r="J51" i="4"/>
  <c r="J53" i="1" s="1"/>
  <c r="J50" i="4"/>
  <c r="J52" i="1" s="1"/>
  <c r="J49" i="4"/>
  <c r="J51" i="1" s="1"/>
  <c r="J48" i="4"/>
  <c r="J50" i="1" s="1"/>
  <c r="J47" i="4"/>
  <c r="J49" i="1" s="1"/>
  <c r="J46" i="4"/>
  <c r="J48" i="1" s="1"/>
  <c r="J45" i="4"/>
  <c r="J47" i="1" s="1"/>
  <c r="J44" i="4"/>
  <c r="J46" i="1" s="1"/>
  <c r="J43" i="4"/>
  <c r="J45" i="1" s="1"/>
  <c r="J42" i="4"/>
  <c r="J44" i="1" s="1"/>
  <c r="J41" i="4"/>
  <c r="J43" i="1" s="1"/>
  <c r="J40" i="4"/>
  <c r="J39" i="4"/>
  <c r="J38" i="4"/>
  <c r="J37" i="4"/>
  <c r="J36" i="4"/>
  <c r="J35" i="4"/>
  <c r="J34" i="4"/>
  <c r="J33" i="4"/>
  <c r="J32" i="4"/>
  <c r="J31" i="4"/>
  <c r="J33" i="1" s="1"/>
  <c r="J30" i="4"/>
  <c r="J32" i="1" s="1"/>
  <c r="J29" i="4"/>
  <c r="J31" i="1" s="1"/>
  <c r="J28" i="4"/>
  <c r="J30" i="1" s="1"/>
  <c r="J27" i="4"/>
  <c r="J29" i="1" s="1"/>
  <c r="J26" i="4"/>
  <c r="J28" i="1" s="1"/>
  <c r="J25" i="4"/>
  <c r="J27" i="1" s="1"/>
  <c r="J24" i="4"/>
  <c r="J26" i="1" s="1"/>
  <c r="J23" i="4"/>
  <c r="J25" i="1" s="1"/>
  <c r="J22" i="4"/>
  <c r="J24" i="1" s="1"/>
  <c r="J21" i="4"/>
  <c r="J23" i="1" s="1"/>
  <c r="J20" i="4"/>
  <c r="J22" i="1" s="1"/>
  <c r="J19" i="4"/>
  <c r="J21" i="1" s="1"/>
  <c r="J18" i="4"/>
  <c r="J20" i="1" s="1"/>
  <c r="J17" i="4"/>
  <c r="J19" i="1" s="1"/>
  <c r="J16" i="4"/>
  <c r="J18" i="1" s="1"/>
  <c r="J15" i="4"/>
  <c r="J17" i="1" s="1"/>
  <c r="J14" i="4"/>
  <c r="J16" i="1" s="1"/>
  <c r="J13" i="4"/>
  <c r="J15" i="1" s="1"/>
  <c r="J12" i="4"/>
  <c r="J14" i="1" s="1"/>
  <c r="J11" i="4"/>
  <c r="J13" i="1" s="1"/>
  <c r="J10" i="4"/>
  <c r="J12" i="1" s="1"/>
  <c r="J9" i="4"/>
  <c r="J11" i="1" s="1"/>
  <c r="J8" i="4"/>
  <c r="J10" i="1" s="1"/>
  <c r="J7" i="4"/>
  <c r="J9" i="1" s="1"/>
  <c r="J6" i="4"/>
  <c r="J8" i="1" s="1"/>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Q85" i="1"/>
  <c r="P85" i="1"/>
  <c r="O85" i="1"/>
  <c r="B85" i="1" s="1"/>
  <c r="N85" i="1"/>
  <c r="L85" i="1"/>
  <c r="J85" i="1"/>
  <c r="I85" i="1"/>
  <c r="H85" i="1"/>
  <c r="E85" i="1"/>
  <c r="F85" i="1" s="1"/>
  <c r="C85" i="1"/>
  <c r="D85" i="1" s="1"/>
  <c r="Q84" i="1"/>
  <c r="P84" i="1"/>
  <c r="O84" i="1"/>
  <c r="B84" i="1" s="1"/>
  <c r="N84" i="1"/>
  <c r="L84" i="1"/>
  <c r="I84" i="1"/>
  <c r="H84" i="1"/>
  <c r="E84" i="1"/>
  <c r="F84" i="1" s="1"/>
  <c r="C84" i="1"/>
  <c r="D84" i="1" s="1"/>
  <c r="Q83" i="1"/>
  <c r="P83" i="1"/>
  <c r="O83" i="1"/>
  <c r="B83" i="1" s="1"/>
  <c r="N83" i="1"/>
  <c r="L83" i="1"/>
  <c r="I83" i="1"/>
  <c r="H83" i="1"/>
  <c r="E83" i="1"/>
  <c r="F83" i="1" s="1"/>
  <c r="C83" i="1"/>
  <c r="D83" i="1" s="1"/>
  <c r="Q82" i="1"/>
  <c r="P82" i="1"/>
  <c r="O82" i="1"/>
  <c r="B82" i="1" s="1"/>
  <c r="N82" i="1"/>
  <c r="L82" i="1"/>
  <c r="I82" i="1"/>
  <c r="H82" i="1"/>
  <c r="E82" i="1"/>
  <c r="F82" i="1" s="1"/>
  <c r="C82" i="1"/>
  <c r="D82" i="1" s="1"/>
  <c r="Q81" i="1"/>
  <c r="P81" i="1"/>
  <c r="O81" i="1"/>
  <c r="N81" i="1"/>
  <c r="L81" i="1"/>
  <c r="I81" i="1"/>
  <c r="H81" i="1"/>
  <c r="E81" i="1"/>
  <c r="F81" i="1" s="1"/>
  <c r="C81" i="1"/>
  <c r="D81" i="1" s="1"/>
  <c r="B81" i="1"/>
  <c r="Q80" i="1"/>
  <c r="P80" i="1"/>
  <c r="O80" i="1"/>
  <c r="B80" i="1" s="1"/>
  <c r="N80" i="1"/>
  <c r="L80" i="1"/>
  <c r="I80" i="1"/>
  <c r="H80" i="1"/>
  <c r="E80" i="1"/>
  <c r="F80" i="1" s="1"/>
  <c r="C80" i="1"/>
  <c r="D80" i="1" s="1"/>
  <c r="Q79" i="1"/>
  <c r="P79" i="1"/>
  <c r="O79" i="1"/>
  <c r="B79" i="1" s="1"/>
  <c r="N79" i="1"/>
  <c r="L79" i="1"/>
  <c r="I79" i="1"/>
  <c r="H79" i="1"/>
  <c r="E79" i="1"/>
  <c r="F79" i="1" s="1"/>
  <c r="C79" i="1"/>
  <c r="D79" i="1" s="1"/>
  <c r="Q78" i="1"/>
  <c r="P78" i="1"/>
  <c r="O78" i="1"/>
  <c r="B78" i="1" s="1"/>
  <c r="N78" i="1"/>
  <c r="L78" i="1"/>
  <c r="I78" i="1"/>
  <c r="H78" i="1"/>
  <c r="E78" i="1"/>
  <c r="F78" i="1" s="1"/>
  <c r="C78" i="1"/>
  <c r="D78" i="1" s="1"/>
  <c r="Q77" i="1"/>
  <c r="P77" i="1"/>
  <c r="O77" i="1"/>
  <c r="B77" i="1" s="1"/>
  <c r="N77" i="1"/>
  <c r="L77" i="1"/>
  <c r="I77" i="1"/>
  <c r="H77" i="1"/>
  <c r="E77" i="1"/>
  <c r="F77" i="1" s="1"/>
  <c r="C77" i="1"/>
  <c r="D77" i="1" s="1"/>
  <c r="Q76" i="1"/>
  <c r="P76" i="1"/>
  <c r="O76" i="1"/>
  <c r="B76" i="1" s="1"/>
  <c r="N76" i="1"/>
  <c r="L76" i="1"/>
  <c r="I76" i="1"/>
  <c r="H76" i="1"/>
  <c r="E76" i="1"/>
  <c r="F76" i="1" s="1"/>
  <c r="C76" i="1"/>
  <c r="D76" i="1" s="1"/>
  <c r="Q75" i="1"/>
  <c r="P75" i="1"/>
  <c r="O75" i="1"/>
  <c r="B75" i="1" s="1"/>
  <c r="N75" i="1"/>
  <c r="L75" i="1"/>
  <c r="I75" i="1"/>
  <c r="H75" i="1"/>
  <c r="E75" i="1"/>
  <c r="F75" i="1" s="1"/>
  <c r="C75" i="1"/>
  <c r="D75" i="1" s="1"/>
  <c r="Q74" i="1"/>
  <c r="P74" i="1"/>
  <c r="O74" i="1"/>
  <c r="B74" i="1" s="1"/>
  <c r="N74" i="1"/>
  <c r="L74" i="1"/>
  <c r="I74" i="1"/>
  <c r="H74" i="1"/>
  <c r="E74" i="1"/>
  <c r="F74" i="1" s="1"/>
  <c r="C74" i="1"/>
  <c r="D74" i="1" s="1"/>
  <c r="Q73" i="1"/>
  <c r="P73" i="1"/>
  <c r="O73" i="1"/>
  <c r="B73" i="1" s="1"/>
  <c r="N73" i="1"/>
  <c r="L73" i="1"/>
  <c r="I73" i="1"/>
  <c r="H73" i="1"/>
  <c r="E73" i="1"/>
  <c r="F73" i="1" s="1"/>
  <c r="C73" i="1"/>
  <c r="D73" i="1" s="1"/>
  <c r="Q72" i="1"/>
  <c r="P72" i="1"/>
  <c r="O72" i="1"/>
  <c r="B72" i="1" s="1"/>
  <c r="N72" i="1"/>
  <c r="L72" i="1"/>
  <c r="I72" i="1"/>
  <c r="H72" i="1"/>
  <c r="E72" i="1"/>
  <c r="F72" i="1" s="1"/>
  <c r="C72" i="1"/>
  <c r="D72" i="1" s="1"/>
  <c r="Q71" i="1"/>
  <c r="P71" i="1"/>
  <c r="O71" i="1"/>
  <c r="B71" i="1" s="1"/>
  <c r="N71" i="1"/>
  <c r="L71" i="1"/>
  <c r="I71" i="1"/>
  <c r="H71" i="1"/>
  <c r="E71" i="1"/>
  <c r="F71" i="1" s="1"/>
  <c r="C71" i="1"/>
  <c r="D71" i="1" s="1"/>
  <c r="Q70" i="1"/>
  <c r="P70" i="1"/>
  <c r="O70" i="1"/>
  <c r="B70" i="1" s="1"/>
  <c r="N70" i="1"/>
  <c r="L70" i="1"/>
  <c r="I70" i="1"/>
  <c r="H70" i="1"/>
  <c r="E70" i="1"/>
  <c r="F70" i="1" s="1"/>
  <c r="C70" i="1"/>
  <c r="D70" i="1" s="1"/>
  <c r="Q69" i="1"/>
  <c r="P69" i="1"/>
  <c r="O69" i="1"/>
  <c r="B69" i="1" s="1"/>
  <c r="N69" i="1"/>
  <c r="L69" i="1"/>
  <c r="J69" i="1"/>
  <c r="I69" i="1"/>
  <c r="H69" i="1"/>
  <c r="E69" i="1"/>
  <c r="F69" i="1" s="1"/>
  <c r="C69" i="1"/>
  <c r="D69" i="1" s="1"/>
  <c r="Q68" i="1"/>
  <c r="P68" i="1"/>
  <c r="O68" i="1"/>
  <c r="B68" i="1" s="1"/>
  <c r="N68" i="1"/>
  <c r="L68" i="1"/>
  <c r="J68" i="1"/>
  <c r="I68" i="1"/>
  <c r="H68" i="1"/>
  <c r="E68" i="1"/>
  <c r="F68" i="1" s="1"/>
  <c r="C68" i="1"/>
  <c r="D68" i="1" s="1"/>
  <c r="Q67" i="1"/>
  <c r="P67" i="1"/>
  <c r="O67" i="1"/>
  <c r="B67" i="1" s="1"/>
  <c r="N67" i="1"/>
  <c r="L67" i="1"/>
  <c r="I67" i="1"/>
  <c r="H67" i="1"/>
  <c r="E67" i="1"/>
  <c r="F67" i="1" s="1"/>
  <c r="C67" i="1"/>
  <c r="D67" i="1" s="1"/>
  <c r="Q66" i="1"/>
  <c r="P66" i="1"/>
  <c r="O66" i="1"/>
  <c r="B66" i="1" s="1"/>
  <c r="N66" i="1"/>
  <c r="L66" i="1"/>
  <c r="I66" i="1"/>
  <c r="H66" i="1"/>
  <c r="E66" i="1"/>
  <c r="F66" i="1" s="1"/>
  <c r="C66" i="1"/>
  <c r="D66" i="1" s="1"/>
  <c r="Q65" i="1"/>
  <c r="P65" i="1"/>
  <c r="O65" i="1"/>
  <c r="B65" i="1" s="1"/>
  <c r="N65" i="1"/>
  <c r="L65" i="1"/>
  <c r="J65" i="1"/>
  <c r="I65" i="1"/>
  <c r="H65" i="1"/>
  <c r="E65" i="1"/>
  <c r="F65" i="1" s="1"/>
  <c r="C65" i="1"/>
  <c r="D65" i="1" s="1"/>
  <c r="Q64" i="1"/>
  <c r="P64" i="1"/>
  <c r="O64" i="1"/>
  <c r="B64" i="1" s="1"/>
  <c r="N64" i="1"/>
  <c r="L64" i="1"/>
  <c r="J64" i="1"/>
  <c r="I64" i="1"/>
  <c r="H64" i="1"/>
  <c r="E64" i="1"/>
  <c r="F64" i="1" s="1"/>
  <c r="C64" i="1"/>
  <c r="D64" i="1" s="1"/>
  <c r="Q63" i="1"/>
  <c r="P63" i="1"/>
  <c r="O63" i="1"/>
  <c r="B63" i="1" s="1"/>
  <c r="N63" i="1"/>
  <c r="L63" i="1"/>
  <c r="J63" i="1"/>
  <c r="I63" i="1"/>
  <c r="H63" i="1"/>
  <c r="E63" i="1"/>
  <c r="F63" i="1" s="1"/>
  <c r="C63" i="1"/>
  <c r="D63" i="1" s="1"/>
  <c r="Q62" i="1"/>
  <c r="P62" i="1"/>
  <c r="O62" i="1"/>
  <c r="B62" i="1" s="1"/>
  <c r="N62" i="1"/>
  <c r="L62" i="1"/>
  <c r="J62" i="1"/>
  <c r="I62" i="1"/>
  <c r="H62" i="1"/>
  <c r="E62" i="1"/>
  <c r="F62" i="1" s="1"/>
  <c r="C62" i="1"/>
  <c r="D62" i="1" s="1"/>
  <c r="Q61" i="1"/>
  <c r="P61" i="1"/>
  <c r="O61" i="1"/>
  <c r="B61" i="1" s="1"/>
  <c r="N61" i="1"/>
  <c r="L61" i="1"/>
  <c r="J61" i="1"/>
  <c r="I61" i="1"/>
  <c r="H61" i="1"/>
  <c r="E61" i="1"/>
  <c r="F61" i="1" s="1"/>
  <c r="C61" i="1"/>
  <c r="D61" i="1" s="1"/>
  <c r="Q60" i="1"/>
  <c r="P60" i="1"/>
  <c r="O60" i="1"/>
  <c r="B60" i="1" s="1"/>
  <c r="N60" i="1"/>
  <c r="L60" i="1"/>
  <c r="J60" i="1"/>
  <c r="I60" i="1"/>
  <c r="H60" i="1"/>
  <c r="E60" i="1"/>
  <c r="F60" i="1" s="1"/>
  <c r="C60" i="1"/>
  <c r="D60" i="1" s="1"/>
  <c r="Q59" i="1"/>
  <c r="P59" i="1"/>
  <c r="O59" i="1"/>
  <c r="B59" i="1" s="1"/>
  <c r="N59" i="1"/>
  <c r="L59" i="1"/>
  <c r="I59" i="1"/>
  <c r="H59" i="1"/>
  <c r="E59" i="1"/>
  <c r="F59" i="1" s="1"/>
  <c r="C59" i="1"/>
  <c r="D59" i="1" s="1"/>
  <c r="Q58" i="1"/>
  <c r="P58" i="1"/>
  <c r="O58" i="1"/>
  <c r="B58" i="1" s="1"/>
  <c r="N58" i="1"/>
  <c r="L58" i="1"/>
  <c r="I58" i="1"/>
  <c r="H58" i="1"/>
  <c r="E58" i="1"/>
  <c r="F58" i="1" s="1"/>
  <c r="C58" i="1"/>
  <c r="D58" i="1" s="1"/>
  <c r="Q57" i="1"/>
  <c r="P57" i="1"/>
  <c r="O57" i="1"/>
  <c r="B57" i="1" s="1"/>
  <c r="N57" i="1"/>
  <c r="L57" i="1"/>
  <c r="I57" i="1"/>
  <c r="H57" i="1"/>
  <c r="E57" i="1"/>
  <c r="F57" i="1" s="1"/>
  <c r="C57" i="1"/>
  <c r="D57" i="1" s="1"/>
  <c r="Q56" i="1"/>
  <c r="P56" i="1"/>
  <c r="O56" i="1"/>
  <c r="B56" i="1" s="1"/>
  <c r="N56" i="1"/>
  <c r="L56" i="1"/>
  <c r="I56" i="1"/>
  <c r="H56" i="1"/>
  <c r="E56" i="1"/>
  <c r="F56" i="1" s="1"/>
  <c r="C56" i="1"/>
  <c r="D56" i="1" s="1"/>
  <c r="Q55" i="1"/>
  <c r="P55" i="1"/>
  <c r="O55" i="1"/>
  <c r="B55" i="1" s="1"/>
  <c r="N55" i="1"/>
  <c r="L55" i="1"/>
  <c r="I55" i="1"/>
  <c r="H55" i="1"/>
  <c r="E55" i="1"/>
  <c r="F55" i="1" s="1"/>
  <c r="C55" i="1"/>
  <c r="D55" i="1" s="1"/>
  <c r="Q54" i="1"/>
  <c r="P54" i="1"/>
  <c r="O54" i="1"/>
  <c r="B54" i="1" s="1"/>
  <c r="N54" i="1"/>
  <c r="L54" i="1"/>
  <c r="I54" i="1"/>
  <c r="H54" i="1"/>
  <c r="E54" i="1"/>
  <c r="F54" i="1" s="1"/>
  <c r="C54" i="1"/>
  <c r="D54" i="1" s="1"/>
  <c r="Q53" i="1"/>
  <c r="P53" i="1"/>
  <c r="O53" i="1"/>
  <c r="B53" i="1" s="1"/>
  <c r="N53" i="1"/>
  <c r="L53" i="1"/>
  <c r="I53" i="1"/>
  <c r="H53" i="1"/>
  <c r="E53" i="1"/>
  <c r="F53" i="1" s="1"/>
  <c r="C53" i="1"/>
  <c r="D53" i="1" s="1"/>
  <c r="Q52" i="1"/>
  <c r="P52" i="1"/>
  <c r="O52" i="1"/>
  <c r="B52" i="1" s="1"/>
  <c r="N52" i="1"/>
  <c r="L52" i="1"/>
  <c r="I52" i="1"/>
  <c r="H52" i="1"/>
  <c r="E52" i="1"/>
  <c r="F52" i="1" s="1"/>
  <c r="C52" i="1"/>
  <c r="D52" i="1" s="1"/>
  <c r="Q51" i="1"/>
  <c r="P51" i="1"/>
  <c r="O51" i="1"/>
  <c r="B51" i="1" s="1"/>
  <c r="N51" i="1"/>
  <c r="L51" i="1"/>
  <c r="I51" i="1"/>
  <c r="H51" i="1"/>
  <c r="E51" i="1"/>
  <c r="F51" i="1" s="1"/>
  <c r="C51" i="1"/>
  <c r="D51" i="1" s="1"/>
  <c r="Q50" i="1"/>
  <c r="P50" i="1"/>
  <c r="O50" i="1"/>
  <c r="B50" i="1" s="1"/>
  <c r="N50" i="1"/>
  <c r="L50" i="1"/>
  <c r="I50" i="1"/>
  <c r="H50" i="1"/>
  <c r="E50" i="1"/>
  <c r="F50" i="1" s="1"/>
  <c r="C50" i="1"/>
  <c r="D50" i="1" s="1"/>
  <c r="Q49" i="1"/>
  <c r="P49" i="1"/>
  <c r="O49" i="1"/>
  <c r="B49" i="1" s="1"/>
  <c r="N49" i="1"/>
  <c r="L49" i="1"/>
  <c r="I49" i="1"/>
  <c r="H49" i="1"/>
  <c r="E49" i="1"/>
  <c r="F49" i="1" s="1"/>
  <c r="C49" i="1"/>
  <c r="D49" i="1" s="1"/>
  <c r="Q48" i="1"/>
  <c r="P48" i="1"/>
  <c r="O48" i="1"/>
  <c r="B48" i="1" s="1"/>
  <c r="N48" i="1"/>
  <c r="L48" i="1"/>
  <c r="I48" i="1"/>
  <c r="H48" i="1"/>
  <c r="E48" i="1"/>
  <c r="F48" i="1" s="1"/>
  <c r="C48" i="1"/>
  <c r="D48" i="1" s="1"/>
  <c r="Q47" i="1"/>
  <c r="P47" i="1"/>
  <c r="O47" i="1"/>
  <c r="B47" i="1" s="1"/>
  <c r="N47" i="1"/>
  <c r="L47" i="1"/>
  <c r="I47" i="1"/>
  <c r="H47" i="1"/>
  <c r="E47" i="1"/>
  <c r="F47" i="1" s="1"/>
  <c r="C47" i="1"/>
  <c r="D47" i="1" s="1"/>
  <c r="Q46" i="1"/>
  <c r="P46" i="1"/>
  <c r="O46" i="1"/>
  <c r="B46" i="1" s="1"/>
  <c r="N46" i="1"/>
  <c r="L46" i="1"/>
  <c r="I46" i="1"/>
  <c r="H46" i="1"/>
  <c r="E46" i="1"/>
  <c r="F46" i="1" s="1"/>
  <c r="C46" i="1"/>
  <c r="D46" i="1" s="1"/>
  <c r="Q45" i="1"/>
  <c r="P45" i="1"/>
  <c r="O45" i="1"/>
  <c r="B45" i="1" s="1"/>
  <c r="N45" i="1"/>
  <c r="L45" i="1"/>
  <c r="I45" i="1"/>
  <c r="H45" i="1"/>
  <c r="E45" i="1"/>
  <c r="F45" i="1" s="1"/>
  <c r="C45" i="1"/>
  <c r="D45" i="1" s="1"/>
  <c r="Q44" i="1"/>
  <c r="P44" i="1"/>
  <c r="O44" i="1"/>
  <c r="B44" i="1" s="1"/>
  <c r="N44" i="1"/>
  <c r="L44" i="1"/>
  <c r="I44" i="1"/>
  <c r="H44" i="1"/>
  <c r="E44" i="1"/>
  <c r="F44" i="1" s="1"/>
  <c r="C44" i="1"/>
  <c r="D44" i="1" s="1"/>
  <c r="Q43" i="1"/>
  <c r="P43" i="1"/>
  <c r="O43" i="1"/>
  <c r="B43" i="1" s="1"/>
  <c r="N43" i="1"/>
  <c r="L43" i="1"/>
  <c r="I43" i="1"/>
  <c r="H43" i="1"/>
  <c r="E43" i="1"/>
  <c r="F43" i="1" s="1"/>
  <c r="C43" i="1"/>
  <c r="D43" i="1" s="1"/>
  <c r="Q42" i="1"/>
  <c r="P42" i="1"/>
  <c r="O42" i="1"/>
  <c r="B42" i="1" s="1"/>
  <c r="N42" i="1"/>
  <c r="L42" i="1"/>
  <c r="J42" i="1"/>
  <c r="I42" i="1"/>
  <c r="H42" i="1"/>
  <c r="E42" i="1"/>
  <c r="F42" i="1" s="1"/>
  <c r="C42" i="1"/>
  <c r="D42" i="1" s="1"/>
  <c r="Q41" i="1"/>
  <c r="P41" i="1"/>
  <c r="O41" i="1"/>
  <c r="B41" i="1" s="1"/>
  <c r="N41" i="1"/>
  <c r="L41" i="1"/>
  <c r="J41" i="1"/>
  <c r="I41" i="1"/>
  <c r="H41" i="1"/>
  <c r="E41" i="1"/>
  <c r="F41" i="1" s="1"/>
  <c r="C41" i="1"/>
  <c r="D41" i="1" s="1"/>
  <c r="Q40" i="1"/>
  <c r="P40" i="1"/>
  <c r="O40" i="1"/>
  <c r="B40" i="1" s="1"/>
  <c r="N40" i="1"/>
  <c r="L40" i="1"/>
  <c r="J40" i="1"/>
  <c r="I40" i="1"/>
  <c r="H40" i="1"/>
  <c r="E40" i="1"/>
  <c r="F40" i="1" s="1"/>
  <c r="C40" i="1"/>
  <c r="D40" i="1" s="1"/>
  <c r="Q39" i="1"/>
  <c r="P39" i="1"/>
  <c r="O39" i="1"/>
  <c r="B39" i="1" s="1"/>
  <c r="N39" i="1"/>
  <c r="L39" i="1"/>
  <c r="J39" i="1"/>
  <c r="I39" i="1"/>
  <c r="H39" i="1"/>
  <c r="E39" i="1"/>
  <c r="F39" i="1" s="1"/>
  <c r="C39" i="1"/>
  <c r="D39" i="1" s="1"/>
  <c r="Q38" i="1"/>
  <c r="P38" i="1"/>
  <c r="O38" i="1"/>
  <c r="B38" i="1" s="1"/>
  <c r="N38" i="1"/>
  <c r="L38" i="1"/>
  <c r="J38" i="1"/>
  <c r="I38" i="1"/>
  <c r="H38" i="1"/>
  <c r="E38" i="1"/>
  <c r="F38" i="1" s="1"/>
  <c r="C38" i="1"/>
  <c r="D38" i="1" s="1"/>
  <c r="Q37" i="1"/>
  <c r="P37" i="1"/>
  <c r="O37" i="1"/>
  <c r="B37" i="1" s="1"/>
  <c r="N37" i="1"/>
  <c r="L37" i="1"/>
  <c r="J37" i="1"/>
  <c r="I37" i="1"/>
  <c r="H37" i="1"/>
  <c r="E37" i="1"/>
  <c r="F37" i="1" s="1"/>
  <c r="C37" i="1"/>
  <c r="D37" i="1" s="1"/>
  <c r="Q36" i="1"/>
  <c r="P36" i="1"/>
  <c r="O36" i="1"/>
  <c r="B36" i="1" s="1"/>
  <c r="N36" i="1"/>
  <c r="L36" i="1"/>
  <c r="J36" i="1"/>
  <c r="I36" i="1"/>
  <c r="H36" i="1"/>
  <c r="E36" i="1"/>
  <c r="F36" i="1" s="1"/>
  <c r="C36" i="1"/>
  <c r="D36" i="1" s="1"/>
  <c r="Q35" i="1"/>
  <c r="P35" i="1"/>
  <c r="O35" i="1"/>
  <c r="B35" i="1" s="1"/>
  <c r="N35" i="1"/>
  <c r="L35" i="1"/>
  <c r="J35" i="1"/>
  <c r="I35" i="1"/>
  <c r="H35" i="1"/>
  <c r="E35" i="1"/>
  <c r="F35" i="1" s="1"/>
  <c r="C35" i="1"/>
  <c r="D35" i="1" s="1"/>
  <c r="Q34" i="1"/>
  <c r="P34" i="1"/>
  <c r="O34" i="1"/>
  <c r="N34" i="1"/>
  <c r="L34" i="1"/>
  <c r="J34" i="1"/>
  <c r="I34" i="1"/>
  <c r="H34" i="1"/>
  <c r="E34" i="1"/>
  <c r="F34" i="1" s="1"/>
  <c r="C34" i="1"/>
  <c r="D34" i="1" s="1"/>
  <c r="Q33" i="1"/>
  <c r="P33" i="1"/>
  <c r="O33" i="1"/>
  <c r="B33" i="1" s="1"/>
  <c r="N33" i="1"/>
  <c r="L33" i="1"/>
  <c r="I33" i="1"/>
  <c r="H33" i="1"/>
  <c r="E33" i="1"/>
  <c r="F33" i="1" s="1"/>
  <c r="C33" i="1"/>
  <c r="D33" i="1" s="1"/>
  <c r="Q32" i="1"/>
  <c r="P32" i="1"/>
  <c r="O32" i="1"/>
  <c r="B32" i="1" s="1"/>
  <c r="N32" i="1"/>
  <c r="L32" i="1"/>
  <c r="I32" i="1"/>
  <c r="H32" i="1"/>
  <c r="E32" i="1"/>
  <c r="F32" i="1" s="1"/>
  <c r="C32" i="1"/>
  <c r="D32" i="1" s="1"/>
  <c r="Q31" i="1"/>
  <c r="P31" i="1"/>
  <c r="O31" i="1"/>
  <c r="B31" i="1" s="1"/>
  <c r="N31" i="1"/>
  <c r="L31" i="1"/>
  <c r="I31" i="1"/>
  <c r="H31" i="1"/>
  <c r="E31" i="1"/>
  <c r="F31" i="1" s="1"/>
  <c r="C31" i="1"/>
  <c r="D31" i="1" s="1"/>
  <c r="Q30" i="1"/>
  <c r="P30" i="1"/>
  <c r="O30" i="1"/>
  <c r="B30" i="1" s="1"/>
  <c r="N30" i="1"/>
  <c r="L30" i="1"/>
  <c r="I30" i="1"/>
  <c r="H30" i="1"/>
  <c r="E30" i="1"/>
  <c r="F30" i="1" s="1"/>
  <c r="C30" i="1"/>
  <c r="D30" i="1" s="1"/>
  <c r="Q29" i="1"/>
  <c r="P29" i="1"/>
  <c r="O29" i="1"/>
  <c r="B29" i="1" s="1"/>
  <c r="N29" i="1"/>
  <c r="L29" i="1"/>
  <c r="I29" i="1"/>
  <c r="H29" i="1"/>
  <c r="E29" i="1"/>
  <c r="F29" i="1" s="1"/>
  <c r="C29" i="1"/>
  <c r="D29" i="1" s="1"/>
  <c r="Q28" i="1"/>
  <c r="P28" i="1"/>
  <c r="O28" i="1"/>
  <c r="B28" i="1" s="1"/>
  <c r="N28" i="1"/>
  <c r="L28" i="1"/>
  <c r="I28" i="1"/>
  <c r="H28" i="1"/>
  <c r="E28" i="1"/>
  <c r="F28" i="1" s="1"/>
  <c r="C28" i="1"/>
  <c r="D28" i="1" s="1"/>
  <c r="Q27" i="1"/>
  <c r="P27" i="1"/>
  <c r="O27" i="1"/>
  <c r="B27" i="1" s="1"/>
  <c r="N27" i="1"/>
  <c r="L27" i="1"/>
  <c r="I27" i="1"/>
  <c r="H27" i="1"/>
  <c r="E27" i="1"/>
  <c r="F27" i="1" s="1"/>
  <c r="C27" i="1"/>
  <c r="D27" i="1" s="1"/>
  <c r="Q26" i="1"/>
  <c r="P26" i="1"/>
  <c r="O26" i="1"/>
  <c r="B26" i="1" s="1"/>
  <c r="N26" i="1"/>
  <c r="L26" i="1"/>
  <c r="I26" i="1"/>
  <c r="H26" i="1"/>
  <c r="E26" i="1"/>
  <c r="F26" i="1" s="1"/>
  <c r="C26" i="1"/>
  <c r="D26" i="1" s="1"/>
  <c r="Q25" i="1"/>
  <c r="P25" i="1"/>
  <c r="O25" i="1"/>
  <c r="B25" i="1" s="1"/>
  <c r="N25" i="1"/>
  <c r="L25" i="1"/>
  <c r="I25" i="1"/>
  <c r="H25" i="1"/>
  <c r="E25" i="1"/>
  <c r="F25" i="1" s="1"/>
  <c r="C25" i="1"/>
  <c r="D25" i="1" s="1"/>
  <c r="Q24" i="1"/>
  <c r="P24" i="1"/>
  <c r="O24" i="1"/>
  <c r="B24" i="1" s="1"/>
  <c r="N24" i="1"/>
  <c r="L24" i="1"/>
  <c r="I24" i="1"/>
  <c r="H24" i="1"/>
  <c r="E24" i="1"/>
  <c r="F24" i="1" s="1"/>
  <c r="C24" i="1"/>
  <c r="D24" i="1" s="1"/>
  <c r="Q23" i="1"/>
  <c r="P23" i="1"/>
  <c r="O23" i="1"/>
  <c r="B23" i="1" s="1"/>
  <c r="N23" i="1"/>
  <c r="L23" i="1"/>
  <c r="I23" i="1"/>
  <c r="H23" i="1"/>
  <c r="E23" i="1"/>
  <c r="F23" i="1" s="1"/>
  <c r="C23" i="1"/>
  <c r="D23" i="1" s="1"/>
  <c r="Q22" i="1"/>
  <c r="P22" i="1"/>
  <c r="O22" i="1"/>
  <c r="B22" i="1" s="1"/>
  <c r="N22" i="1"/>
  <c r="L22" i="1"/>
  <c r="I22" i="1"/>
  <c r="H22" i="1"/>
  <c r="E22" i="1"/>
  <c r="F22" i="1" s="1"/>
  <c r="C22" i="1"/>
  <c r="D22" i="1" s="1"/>
  <c r="Q21" i="1"/>
  <c r="P21" i="1"/>
  <c r="O21" i="1"/>
  <c r="B21" i="1" s="1"/>
  <c r="N21" i="1"/>
  <c r="L21" i="1"/>
  <c r="I21" i="1"/>
  <c r="H21" i="1"/>
  <c r="E21" i="1"/>
  <c r="F21" i="1" s="1"/>
  <c r="C21" i="1"/>
  <c r="D21" i="1" s="1"/>
  <c r="Q20" i="1"/>
  <c r="P20" i="1"/>
  <c r="O20" i="1"/>
  <c r="B20" i="1" s="1"/>
  <c r="N20" i="1"/>
  <c r="L20" i="1"/>
  <c r="I20" i="1"/>
  <c r="H20" i="1"/>
  <c r="E20" i="1"/>
  <c r="F20" i="1" s="1"/>
  <c r="C20" i="1"/>
  <c r="D20" i="1" s="1"/>
  <c r="Q19" i="1"/>
  <c r="P19" i="1"/>
  <c r="O19" i="1"/>
  <c r="B19" i="1" s="1"/>
  <c r="N19" i="1"/>
  <c r="L19" i="1"/>
  <c r="I19" i="1"/>
  <c r="H19" i="1"/>
  <c r="E19" i="1"/>
  <c r="F19" i="1" s="1"/>
  <c r="C19" i="1"/>
  <c r="D19" i="1" s="1"/>
  <c r="Q18" i="1"/>
  <c r="P18" i="1"/>
  <c r="O18" i="1"/>
  <c r="B18" i="1" s="1"/>
  <c r="N18" i="1"/>
  <c r="L18" i="1"/>
  <c r="I18" i="1"/>
  <c r="H18" i="1"/>
  <c r="E18" i="1"/>
  <c r="F18" i="1" s="1"/>
  <c r="C18" i="1"/>
  <c r="D18" i="1" s="1"/>
  <c r="Q17" i="1"/>
  <c r="P17" i="1"/>
  <c r="O17" i="1"/>
  <c r="B17" i="1" s="1"/>
  <c r="N17" i="1"/>
  <c r="L17" i="1"/>
  <c r="I17" i="1"/>
  <c r="H17" i="1"/>
  <c r="E17" i="1"/>
  <c r="F17" i="1" s="1"/>
  <c r="C17" i="1"/>
  <c r="D17" i="1" s="1"/>
  <c r="Q16" i="1"/>
  <c r="P16" i="1"/>
  <c r="O16" i="1"/>
  <c r="B16" i="1" s="1"/>
  <c r="N16" i="1"/>
  <c r="L16" i="1"/>
  <c r="I16" i="1"/>
  <c r="H16" i="1"/>
  <c r="E16" i="1"/>
  <c r="F16" i="1" s="1"/>
  <c r="C16" i="1"/>
  <c r="D16" i="1" s="1"/>
  <c r="Q15" i="1"/>
  <c r="P15" i="1"/>
  <c r="O15" i="1"/>
  <c r="B15" i="1" s="1"/>
  <c r="N15" i="1"/>
  <c r="L15" i="1"/>
  <c r="I15" i="1"/>
  <c r="H15" i="1"/>
  <c r="E15" i="1"/>
  <c r="F15" i="1" s="1"/>
  <c r="C15" i="1"/>
  <c r="D15" i="1" s="1"/>
  <c r="Q14" i="1"/>
  <c r="P14" i="1"/>
  <c r="O14" i="1"/>
  <c r="B14" i="1" s="1"/>
  <c r="N14" i="1"/>
  <c r="L14" i="1"/>
  <c r="I14" i="1"/>
  <c r="H14" i="1"/>
  <c r="E14" i="1"/>
  <c r="F14" i="1" s="1"/>
  <c r="C14" i="1"/>
  <c r="D14" i="1" s="1"/>
  <c r="Q13" i="1"/>
  <c r="P13" i="1"/>
  <c r="O13" i="1"/>
  <c r="B13" i="1" s="1"/>
  <c r="N13" i="1"/>
  <c r="L13" i="1"/>
  <c r="I13" i="1"/>
  <c r="H13" i="1"/>
  <c r="E13" i="1"/>
  <c r="F13" i="1" s="1"/>
  <c r="C13" i="1"/>
  <c r="D13" i="1" s="1"/>
  <c r="Q12" i="1"/>
  <c r="P12" i="1"/>
  <c r="O12" i="1"/>
  <c r="B12" i="1" s="1"/>
  <c r="N12" i="1"/>
  <c r="L12" i="1"/>
  <c r="I12" i="1"/>
  <c r="H12" i="1"/>
  <c r="E12" i="1"/>
  <c r="F12" i="1" s="1"/>
  <c r="C12" i="1"/>
  <c r="D12" i="1" s="1"/>
  <c r="Q11" i="1"/>
  <c r="P11" i="1"/>
  <c r="O11" i="1"/>
  <c r="B11" i="1" s="1"/>
  <c r="N11" i="1"/>
  <c r="L11" i="1"/>
  <c r="I11" i="1"/>
  <c r="H11" i="1"/>
  <c r="E11" i="1"/>
  <c r="F11" i="1" s="1"/>
  <c r="C11" i="1"/>
  <c r="D11" i="1" s="1"/>
  <c r="Q10" i="1"/>
  <c r="P10" i="1"/>
  <c r="O10" i="1"/>
  <c r="B10" i="1" s="1"/>
  <c r="N10" i="1"/>
  <c r="L10" i="1"/>
  <c r="I10" i="1"/>
  <c r="H10" i="1"/>
  <c r="E10" i="1"/>
  <c r="F10" i="1" s="1"/>
  <c r="C10" i="1"/>
  <c r="D10" i="1" s="1"/>
  <c r="Q9" i="1"/>
  <c r="P9" i="1"/>
  <c r="O9" i="1"/>
  <c r="B9" i="1" s="1"/>
  <c r="N9" i="1"/>
  <c r="L9" i="1"/>
  <c r="I9" i="1"/>
  <c r="H9" i="1"/>
  <c r="E9" i="1"/>
  <c r="F9" i="1" s="1"/>
  <c r="C9" i="1"/>
  <c r="D9" i="1" s="1"/>
  <c r="Q8" i="1"/>
  <c r="P8" i="1"/>
  <c r="O8" i="1"/>
  <c r="B8" i="1" s="1"/>
  <c r="N8" i="1"/>
  <c r="L8" i="1"/>
  <c r="I8" i="1"/>
  <c r="H8" i="1"/>
  <c r="E8" i="1"/>
  <c r="F8" i="1" s="1"/>
  <c r="C8" i="1"/>
  <c r="D8" i="1" s="1"/>
  <c r="C5" i="1"/>
  <c r="B34" i="1" l="1"/>
  <c r="K5" i="1"/>
  <c r="I5" i="1"/>
  <c r="G5" i="1" l="1"/>
  <c r="E5" i="1"/>
</calcChain>
</file>

<file path=xl/sharedStrings.xml><?xml version="1.0" encoding="utf-8"?>
<sst xmlns="http://schemas.openxmlformats.org/spreadsheetml/2006/main" count="2621" uniqueCount="991">
  <si>
    <t>Matriz de trazabilidad</t>
  </si>
  <si>
    <t>Las descripciones y el estado de cobertura se completan automáticamente desde las hojas de apoyo.</t>
  </si>
  <si>
    <t>Resumen</t>
  </si>
  <si>
    <t>Relaciones registradas</t>
  </si>
  <si>
    <t>Completas</t>
  </si>
  <si>
    <t>Con pendientes</t>
  </si>
  <si>
    <t>Pruebas aprobadas</t>
  </si>
  <si>
    <t>Pruebas fallidas</t>
  </si>
  <si>
    <t>N.º</t>
  </si>
  <si>
    <t>Estado de trazabilidad</t>
  </si>
  <si>
    <t>ID Objetivo</t>
  </si>
  <si>
    <t>Objetivo</t>
  </si>
  <si>
    <t>ID Proceso</t>
  </si>
  <si>
    <t>Proceso / Módulo</t>
  </si>
  <si>
    <t>ID Requerimiento</t>
  </si>
  <si>
    <t>Requerimiento</t>
  </si>
  <si>
    <t>ID HU</t>
  </si>
  <si>
    <t>Historia de usuario</t>
  </si>
  <si>
    <t>ID Criterio</t>
  </si>
  <si>
    <t>Criterio de aceptación</t>
  </si>
  <si>
    <t>ID Caso de prueba</t>
  </si>
  <si>
    <t>Caso / Escenario</t>
  </si>
  <si>
    <t>Estado prueba</t>
  </si>
  <si>
    <t>ID Evidencia</t>
  </si>
  <si>
    <t>Evidencia / Enlace</t>
  </si>
  <si>
    <t>Observaciones</t>
  </si>
  <si>
    <t>RF-01</t>
  </si>
  <si>
    <t>CA-001</t>
  </si>
  <si>
    <t>CP-001</t>
  </si>
  <si>
    <t>CA-002</t>
  </si>
  <si>
    <t>CP-002</t>
  </si>
  <si>
    <t>CA-003</t>
  </si>
  <si>
    <t>CP-003</t>
  </si>
  <si>
    <t>RF-02</t>
  </si>
  <si>
    <t>CA-004</t>
  </si>
  <si>
    <t>CP-004</t>
  </si>
  <si>
    <t>RF-04</t>
  </si>
  <si>
    <t>CA-005</t>
  </si>
  <si>
    <t>CP-005</t>
  </si>
  <si>
    <t>CA-006</t>
  </si>
  <si>
    <t>CP-006</t>
  </si>
  <si>
    <t>RF-03</t>
  </si>
  <si>
    <t>CA-007</t>
  </si>
  <si>
    <t>CP-007</t>
  </si>
  <si>
    <t>CA-008</t>
  </si>
  <si>
    <t>CP-008</t>
  </si>
  <si>
    <t>RF-29</t>
  </si>
  <si>
    <t>CA-009</t>
  </si>
  <si>
    <t>CP-009</t>
  </si>
  <si>
    <t>RF-05</t>
  </si>
  <si>
    <t>CA-010</t>
  </si>
  <si>
    <t>CP-010</t>
  </si>
  <si>
    <t>RF-35</t>
  </si>
  <si>
    <t>CA-011</t>
  </si>
  <si>
    <t>CP-011</t>
  </si>
  <si>
    <t>RF-36</t>
  </si>
  <si>
    <t>CA-012</t>
  </si>
  <si>
    <t>CP-012</t>
  </si>
  <si>
    <t>RF-37</t>
  </si>
  <si>
    <t>CA-013</t>
  </si>
  <si>
    <t>CP-013</t>
  </si>
  <si>
    <t>CA-014</t>
  </si>
  <si>
    <t>CP-014</t>
  </si>
  <si>
    <t>RF-06</t>
  </si>
  <si>
    <t>CA-015</t>
  </si>
  <si>
    <t>CP-015</t>
  </si>
  <si>
    <t>CA-016</t>
  </si>
  <si>
    <t>CP-016</t>
  </si>
  <si>
    <t>RF-39</t>
  </si>
  <si>
    <t>CA-017</t>
  </si>
  <si>
    <t>CP-017</t>
  </si>
  <si>
    <t>CA-018</t>
  </si>
  <si>
    <t>CP-018</t>
  </si>
  <si>
    <t>RF-07</t>
  </si>
  <si>
    <t>CA-019</t>
  </si>
  <si>
    <t>CP-019</t>
  </si>
  <si>
    <t>CA-020</t>
  </si>
  <si>
    <t>CP-020</t>
  </si>
  <si>
    <t>CA-021</t>
  </si>
  <si>
    <t>CP-021</t>
  </si>
  <si>
    <t>CA-022</t>
  </si>
  <si>
    <t>CP-022</t>
  </si>
  <si>
    <t>RF-08</t>
  </si>
  <si>
    <t>CA-023</t>
  </si>
  <si>
    <t>CP-023</t>
  </si>
  <si>
    <t>CA-024</t>
  </si>
  <si>
    <t>CP-024</t>
  </si>
  <si>
    <t>RF-09</t>
  </si>
  <si>
    <t>CA-025</t>
  </si>
  <si>
    <t>CP-025</t>
  </si>
  <si>
    <t>RF-10</t>
  </si>
  <si>
    <t>CA-026</t>
  </si>
  <si>
    <t>CP-026</t>
  </si>
  <si>
    <t>RF-11</t>
  </si>
  <si>
    <t>CA-027</t>
  </si>
  <si>
    <t>CP-027</t>
  </si>
  <si>
    <t>RF-12</t>
  </si>
  <si>
    <t>CA-028</t>
  </si>
  <si>
    <t>CP-028</t>
  </si>
  <si>
    <t>CA-029</t>
  </si>
  <si>
    <t>CP-029</t>
  </si>
  <si>
    <t>CA-030</t>
  </si>
  <si>
    <t>CP-030</t>
  </si>
  <si>
    <t>RF-13</t>
  </si>
  <si>
    <t>CA-031</t>
  </si>
  <si>
    <t>CP-031</t>
  </si>
  <si>
    <t>RF-38</t>
  </si>
  <si>
    <t>CA-032</t>
  </si>
  <si>
    <t>CP-032</t>
  </si>
  <si>
    <t>CA-033</t>
  </si>
  <si>
    <t>CP-033</t>
  </si>
  <si>
    <t>CA-034</t>
  </si>
  <si>
    <t>CP-034</t>
  </si>
  <si>
    <t>RF-16</t>
  </si>
  <si>
    <t>CA-035</t>
  </si>
  <si>
    <t>CP-035</t>
  </si>
  <si>
    <t>RF-14</t>
  </si>
  <si>
    <t>CA-036</t>
  </si>
  <si>
    <t>CP-036</t>
  </si>
  <si>
    <t>CA-037</t>
  </si>
  <si>
    <t>CP-037</t>
  </si>
  <si>
    <t>CA-038</t>
  </si>
  <si>
    <t>CP-038</t>
  </si>
  <si>
    <t>RF-15</t>
  </si>
  <si>
    <t>CA-039</t>
  </si>
  <si>
    <t>CP-039</t>
  </si>
  <si>
    <t>CA-040</t>
  </si>
  <si>
    <t>CP-040</t>
  </si>
  <si>
    <t>CA-041</t>
  </si>
  <si>
    <t>CP-041</t>
  </si>
  <si>
    <t>RF-31</t>
  </si>
  <si>
    <t>CA-042</t>
  </si>
  <si>
    <t>CP-042</t>
  </si>
  <si>
    <t>RF-17</t>
  </si>
  <si>
    <t>CA-043</t>
  </si>
  <si>
    <t>CP-043</t>
  </si>
  <si>
    <t>CA-044</t>
  </si>
  <si>
    <t>CP-044</t>
  </si>
  <si>
    <t>CA-045</t>
  </si>
  <si>
    <t>CP-045</t>
  </si>
  <si>
    <t>CA-046</t>
  </si>
  <si>
    <t>CP-046</t>
  </si>
  <si>
    <t>RF-18</t>
  </si>
  <si>
    <t>CA-047</t>
  </si>
  <si>
    <t>CP-047</t>
  </si>
  <si>
    <t>CA-048</t>
  </si>
  <si>
    <t>CP-048</t>
  </si>
  <si>
    <t>CA-049</t>
  </si>
  <si>
    <t>CP-049</t>
  </si>
  <si>
    <t>CA-050</t>
  </si>
  <si>
    <t>CP-050</t>
  </si>
  <si>
    <t>RF-19</t>
  </si>
  <si>
    <t>CA-051</t>
  </si>
  <si>
    <t>CP-051</t>
  </si>
  <si>
    <t>RF-20</t>
  </si>
  <si>
    <t>CA-052</t>
  </si>
  <si>
    <t>CP-052</t>
  </si>
  <si>
    <t>CA-053</t>
  </si>
  <si>
    <t>CP-053</t>
  </si>
  <si>
    <t>CA-054</t>
  </si>
  <si>
    <t>CP-054</t>
  </si>
  <si>
    <t>RF-26</t>
  </si>
  <si>
    <t>CA-055</t>
  </si>
  <si>
    <t>CP-055</t>
  </si>
  <si>
    <t>CA-056</t>
  </si>
  <si>
    <t>CP-056</t>
  </si>
  <si>
    <t>CA-057</t>
  </si>
  <si>
    <t>CP-057</t>
  </si>
  <si>
    <t>CA-058</t>
  </si>
  <si>
    <t>CP-058</t>
  </si>
  <si>
    <t>RF-27</t>
  </si>
  <si>
    <t>CA-059</t>
  </si>
  <si>
    <t>CP-059</t>
  </si>
  <si>
    <t>CA-060</t>
  </si>
  <si>
    <t>CP-060</t>
  </si>
  <si>
    <t>CA-061</t>
  </si>
  <si>
    <t>CP-061</t>
  </si>
  <si>
    <t>CA-062</t>
  </si>
  <si>
    <t>CP-062</t>
  </si>
  <si>
    <t>RF-28</t>
  </si>
  <si>
    <t>CA-063</t>
  </si>
  <si>
    <t>CP-063</t>
  </si>
  <si>
    <t>CA-064</t>
  </si>
  <si>
    <t>CP-064</t>
  </si>
  <si>
    <t>RF-32</t>
  </si>
  <si>
    <t>CA-065</t>
  </si>
  <si>
    <t>CP-065</t>
  </si>
  <si>
    <t>CA-066</t>
  </si>
  <si>
    <t>CP-066</t>
  </si>
  <si>
    <t>RF-22</t>
  </si>
  <si>
    <t>CA-067</t>
  </si>
  <si>
    <t>CP-067</t>
  </si>
  <si>
    <t>CA-068</t>
  </si>
  <si>
    <t>CP-068</t>
  </si>
  <si>
    <t>RF-23</t>
  </si>
  <si>
    <t>CA-069</t>
  </si>
  <si>
    <t>CP-069</t>
  </si>
  <si>
    <t>CA-070</t>
  </si>
  <si>
    <t>CP-070</t>
  </si>
  <si>
    <t>RF-24</t>
  </si>
  <si>
    <t>CA-071</t>
  </si>
  <si>
    <t>CP-071</t>
  </si>
  <si>
    <t>RF-33</t>
  </si>
  <si>
    <t>CA-072</t>
  </si>
  <si>
    <t>CP-072</t>
  </si>
  <si>
    <t>RF-25</t>
  </si>
  <si>
    <t>CA-073</t>
  </si>
  <si>
    <t>CP-073</t>
  </si>
  <si>
    <t>CA-074</t>
  </si>
  <si>
    <t>CP-074</t>
  </si>
  <si>
    <t>RF-30</t>
  </si>
  <si>
    <t>CA-075</t>
  </si>
  <si>
    <t>CP-075</t>
  </si>
  <si>
    <t>CA-076</t>
  </si>
  <si>
    <t>CP-076</t>
  </si>
  <si>
    <t>CA-077</t>
  </si>
  <si>
    <t>CP-077</t>
  </si>
  <si>
    <t>RF-34</t>
  </si>
  <si>
    <t>CA-078</t>
  </si>
  <si>
    <t>CP-078</t>
  </si>
  <si>
    <t>Objetivos y procesos</t>
  </si>
  <si>
    <t>Relacione cada objetivo del proyecto con un proceso AS-IS o TO-BE. Puede repetir un proceso en varias filas si lo necesita.</t>
  </si>
  <si>
    <t>Proceso</t>
  </si>
  <si>
    <t>Módulo</t>
  </si>
  <si>
    <t>Indicador / Resultado esperado</t>
  </si>
  <si>
    <t>Responsable</t>
  </si>
  <si>
    <t>Estado</t>
  </si>
  <si>
    <t>OBJ-001</t>
  </si>
  <si>
    <t>Proteger la plataforma y asegurar que cada usuario opere con el perfil, empresa y vendedor correctos.</t>
  </si>
  <si>
    <t>PR-01</t>
  </si>
  <si>
    <t>Gestión de usuarios, roles y permisos</t>
  </si>
  <si>
    <t>HU-001 a HU-004 aceptadas; permisos validados en servidor y trazabilidad de accesos comprobada.</t>
  </si>
  <si>
    <t>Matías y Alexssander</t>
  </si>
  <si>
    <t>En revisión</t>
  </si>
  <si>
    <t>OBJ-002</t>
  </si>
  <si>
    <t>Reducir reprocesos y hacer visible la creación, activación o modificación de artículos desde su envío hasta la resolución.</t>
  </si>
  <si>
    <t>PR-02</t>
  </si>
  <si>
    <t>Solicitudes y autorizaciones</t>
  </si>
  <si>
    <t>HU-005 a HU-007 aceptadas; estados, reglas de adjuntos, permisos y resolución trazable verificados.</t>
  </si>
  <si>
    <t>Millaray y Matías</t>
  </si>
  <si>
    <t>OBJ-003</t>
  </si>
  <si>
    <t>Centralizar consultas, cotizaciones y órdenes de venta, aplicando vendedor, comisión, autorización e integración correctos.</t>
  </si>
  <si>
    <t>PR-03</t>
  </si>
  <si>
    <t>Gestión comercial, cotizaciones y órdenes de venta</t>
  </si>
  <si>
    <t>HU-008 a HU-011 aceptadas; documentos y restricciones comerciales probados de extremo a extremo.</t>
  </si>
  <si>
    <t>Alexssander y Millaray</t>
  </si>
  <si>
    <t>OBJ-004</t>
  </si>
  <si>
    <t>Entregar avisos oportunos y una trazabilidad común para todos los procesos incorporados.</t>
  </si>
  <si>
    <t>PR-04</t>
  </si>
  <si>
    <t>Notificaciones y trazabilidad</t>
  </si>
  <si>
    <t>HU-012 a HU-014 aceptadas; privacidad, recordatorios e historial verificados en los procesos integrados.</t>
  </si>
  <si>
    <t>OBJ-005</t>
  </si>
  <si>
    <t>Canalizar lecturas por API sobre HANA y escrituras autorizadas por Service Layer sin duplicidad ni operaciones parciales.</t>
  </si>
  <si>
    <t>PR-05</t>
  </si>
  <si>
    <t>Integración con SAP Business One</t>
  </si>
  <si>
    <t>HU-015 a HU-017 aceptadas; seguridad, rendimiento, integridad e idempotencia comprobados.</t>
  </si>
  <si>
    <t>Alexssander y Matías</t>
  </si>
  <si>
    <t>OBJ-006</t>
  </si>
  <si>
    <t>Centralizar la posventa y ofrecer visibilidad de cada caso, comprobante y decisión a los participantes autorizados.</t>
  </si>
  <si>
    <t>PR-06</t>
  </si>
  <si>
    <t>Gestión de Posventa</t>
  </si>
  <si>
    <t>HU-018 a HU-020 aceptadas; rutas por guía o factura, QR, permisos, notificaciones y cierre verificados.</t>
  </si>
  <si>
    <t>Millaray y Alexssander</t>
  </si>
  <si>
    <t>OBJ-007</t>
  </si>
  <si>
    <t>Borrador</t>
  </si>
  <si>
    <t>OBJ-008</t>
  </si>
  <si>
    <t>OBJ-009</t>
  </si>
  <si>
    <t>OBJ-010</t>
  </si>
  <si>
    <t>OBJ-011</t>
  </si>
  <si>
    <t>OBJ-012</t>
  </si>
  <si>
    <t>OBJ-013</t>
  </si>
  <si>
    <t>OBJ-014</t>
  </si>
  <si>
    <t>OBJ-015</t>
  </si>
  <si>
    <t>OBJ-016</t>
  </si>
  <si>
    <t>OBJ-017</t>
  </si>
  <si>
    <t>OBJ-018</t>
  </si>
  <si>
    <t>OBJ-019</t>
  </si>
  <si>
    <t>OBJ-020</t>
  </si>
  <si>
    <t>OBJ-021</t>
  </si>
  <si>
    <t>OBJ-022</t>
  </si>
  <si>
    <t>OBJ-023</t>
  </si>
  <si>
    <t>OBJ-024</t>
  </si>
  <si>
    <t>OBJ-025</t>
  </si>
  <si>
    <t>OBJ-026</t>
  </si>
  <si>
    <t>OBJ-027</t>
  </si>
  <si>
    <t>OBJ-028</t>
  </si>
  <si>
    <t>OBJ-029</t>
  </si>
  <si>
    <t>OBJ-030</t>
  </si>
  <si>
    <t>Requerimientos</t>
  </si>
  <si>
    <t>Registre cada requerimiento y vincúlelo con su objetivo y proceso mediante los códigos correspondientes.</t>
  </si>
  <si>
    <t>Tipo</t>
  </si>
  <si>
    <t>Nombre corto</t>
  </si>
  <si>
    <t>Descripción</t>
  </si>
  <si>
    <t>Fuente</t>
  </si>
  <si>
    <t>Prioridad</t>
  </si>
  <si>
    <t>Dependencias</t>
  </si>
  <si>
    <t>Versión</t>
  </si>
  <si>
    <t>Funcional</t>
  </si>
  <si>
    <t>Autenticación de usuarios</t>
  </si>
  <si>
    <t>El sistema debe permitir que un usuario se autentique mediante usuario y contraseña.</t>
  </si>
  <si>
    <t>ERS v2.0 (Doc. 9) · Carta 7.1</t>
  </si>
  <si>
    <t>Alta</t>
  </si>
  <si>
    <t>RN-02 · RNF-01, RNF-04, RNF-05</t>
  </si>
  <si>
    <t>En análisis</t>
  </si>
  <si>
    <t>2.0</t>
  </si>
  <si>
    <t>RN-01</t>
  </si>
  <si>
    <t>RN-03 · RNF-02</t>
  </si>
  <si>
    <t>Administración de usuarios</t>
  </si>
  <si>
    <t>El sistema debe permitir al administrador crear, editar, desactivar y reactivar usuarios.</t>
  </si>
  <si>
    <t>RN-02, RN-04</t>
  </si>
  <si>
    <t>Definición de permisos</t>
  </si>
  <si>
    <t>Media</t>
  </si>
  <si>
    <t>RN-03, RN-04 · RNF-02</t>
  </si>
  <si>
    <t>Creación y envío de solicitud de código</t>
  </si>
  <si>
    <t>El sistema debe permitir al usuario con permiso de enviar solicitudes de código crear una solicitud de creación, activación o modificación de códigos de producto y enviarla a revisión del grupo autorizador correspondiente.</t>
  </si>
  <si>
    <t>ERS v2.0 (Doc. 9) · Carta 7.2</t>
  </si>
  <si>
    <t>RN-06, RN-07, RN-11</t>
  </si>
  <si>
    <t>Aprobación o rechazo de solicitudes</t>
  </si>
  <si>
    <t>El sistema debe permitir al autorizador aprobar o rechazar una solicitud, registrando el motivo cuando la rechaza.</t>
  </si>
  <si>
    <t>RN-07, RN-08, RN-10 · RNF-14</t>
  </si>
  <si>
    <t>Corrección y reenvío de solicitudes</t>
  </si>
  <si>
    <t>El sistema debe permitir al vendedor corregir y reenviar una solicitud rechazada por el autorizador.</t>
  </si>
  <si>
    <t>RN-08, RN-09</t>
  </si>
  <si>
    <t>Consulta del estado de solicitudes</t>
  </si>
  <si>
    <t>El sistema debe permitir consultar el estado actual, el responsable, la fecha de respuesta y el comentario de cada solicitud.</t>
  </si>
  <si>
    <t>RN-09, RN-10</t>
  </si>
  <si>
    <t>Filtro y búsqueda de solicitudes</t>
  </si>
  <si>
    <t>El sistema debe permitir filtrar y buscar solicitudes por estado, fecha, área y responsable.</t>
  </si>
  <si>
    <t>RNF-02</t>
  </si>
  <si>
    <t>Consulta de productos y stock</t>
  </si>
  <si>
    <t>El sistema debe permitir consultar el catálogo de productos con su disponibilidad de stock.</t>
  </si>
  <si>
    <t>ERS v2.0 (Doc. 9) · Carta 7.3</t>
  </si>
  <si>
    <t>RN-16, RN-17 · RNF-07, RNF-13</t>
  </si>
  <si>
    <t>Consulta de clientes, crédito y bloqueo</t>
  </si>
  <si>
    <t>El sistema debe permitir consultar los datos del cliente, incluidos su crédito disponible y su estado de bloqueo.</t>
  </si>
  <si>
    <t>RN-13, RN-16, RN-17 · RNF-13</t>
  </si>
  <si>
    <t>Gestión de cotizaciones</t>
  </si>
  <si>
    <t>El sistema debe permitir al vendedor crear y administrar cotizaciones con múltiples líneas de producto.</t>
  </si>
  <si>
    <t>RN-12, RN-16</t>
  </si>
  <si>
    <t>Conversión a solicitud de orden de venta</t>
  </si>
  <si>
    <t>El sistema debe permitir convertir una cotización aceptada por el cliente en una solicitud de orden de venta.</t>
  </si>
  <si>
    <t>RN-13, RN-14, RN-15</t>
  </si>
  <si>
    <t>Envío de documentos autorizados</t>
  </si>
  <si>
    <t>El sistema debe enviar al ERP únicamente los documentos que cuenten con autorización previa registrada.</t>
  </si>
  <si>
    <t>ERS v2.0 (Doc. 9) · Carta 7.3 y 7.5</t>
  </si>
  <si>
    <t>RN-18, RN-25</t>
  </si>
  <si>
    <t>Documento imprimible de cotización</t>
  </si>
  <si>
    <t>El sistema debe permitir generar el documento de la cotización en formato imprimible o descargable.</t>
  </si>
  <si>
    <t>RN-14</t>
  </si>
  <si>
    <t>Notificación y recordatorio a autorizadores</t>
  </si>
  <si>
    <t>El sistema debe notificar dentro de la plataforma a los autorizadores del grupo correspondiente cuando un proceso requiera su acción, y generar recordatorios automáticos de las solicitudes que llevan más de una hora pendientes.</t>
  </si>
  <si>
    <t>ERS v2.0 (Doc. 9) · Carta 7.4</t>
  </si>
  <si>
    <t>RN-20, RN-21</t>
  </si>
  <si>
    <t>Notificación al solicitante</t>
  </si>
  <si>
    <t>El sistema debe notificar al solicitante las aprobaciones, rechazos, observaciones y cambios de estado de su proceso.</t>
  </si>
  <si>
    <t>RN-20, RN-21, RN-22</t>
  </si>
  <si>
    <t>Registro de trazabilidad</t>
  </si>
  <si>
    <t>El sistema debe registrar en cada proceso su estado actual, el usuario que lo resolvió, la fecha y hora de la respuesta y el comentario asociado.</t>
  </si>
  <si>
    <t>RN-19 · RNF-14</t>
  </si>
  <si>
    <t>Consulta de trazabilidad</t>
  </si>
  <si>
    <t>El sistema debe permitir consultar el estado, el responsable, la fecha de respuesta y el comentario de cada proceso.</t>
  </si>
  <si>
    <t>RN-19, RN-21 · RNF-14</t>
  </si>
  <si>
    <t>Registro de casos de posventa</t>
  </si>
  <si>
    <t>El sistema debe permitir registrar solicitudes de devolución, cambio, servicio técnico, productos faltantes, desistimiento de compra y nota de crédito, con los datos del cliente, el vendedor, la empresa, los productos involucrados y el documento de respaldo: guía de despacho o factura de reserva.</t>
  </si>
  <si>
    <t>ERS v2.0 (Doc. 9) · Carta 7.6</t>
  </si>
  <si>
    <t>RN-28, RN-29</t>
  </si>
  <si>
    <t>Evidencias del caso</t>
  </si>
  <si>
    <t>El sistema debe permitir adjuntar evidencias, como fotografías o documentos, a un caso de posventa.</t>
  </si>
  <si>
    <t>RN-29</t>
  </si>
  <si>
    <t>Evaluación de condiciones</t>
  </si>
  <si>
    <t>El sistema debe permitir registrar la evaluación de las condiciones del producto, sus accesorios, el manual y el embalaje, con los valores Excelente, Bueno, Regular, Malo o No aplica.</t>
  </si>
  <si>
    <t>Comprobante con código QR</t>
  </si>
  <si>
    <t>El sistema debe generar un comprobante del caso con código QR para su verificación posterior, y permitir que el usuario que envió la solicitud, una vez autorizada, lo descargue y marque el caso como QR enviado al cliente.</t>
  </si>
  <si>
    <t>RN-30</t>
  </si>
  <si>
    <t>API de lectura sobre SAP HANA</t>
  </si>
  <si>
    <t>El sistema debe consultar productos, clientes, stock y otros datos autorizados del ERP mediante una API conectada con SAP HANA, en operaciones de solo lectura.</t>
  </si>
  <si>
    <t>ERS v2.0 (Doc. 9) · Carta 7.5</t>
  </si>
  <si>
    <t>RN-24 · RNF-03, RNF-06, RNF-07, RNF-09, RNF-22</t>
  </si>
  <si>
    <t>Escritura por Service Layer</t>
  </si>
  <si>
    <t>El sistema debe crear documentos en el ERP exclusivamente a través de SAP Business One Service Layer.</t>
  </si>
  <si>
    <t>RN-23, RN-25, RN-27 · X-04, X-05, X-06</t>
  </si>
  <si>
    <t>Registro de resultados de envío</t>
  </si>
  <si>
    <t>El sistema debe registrar el resultado de cada operación enviada al ERP, incluidos los errores devueltos por SAP.</t>
  </si>
  <si>
    <t>RN-26 · RNF-16</t>
  </si>
  <si>
    <t>Grupos de autorizadores</t>
  </si>
  <si>
    <t>RN-04, RN-05</t>
  </si>
  <si>
    <t>Seguimiento y notificación del caso</t>
  </si>
  <si>
    <t>El sistema debe permitir consultar el avance de cada caso hasta su cierre y notificar a los participantes en cada cambio de estado.</t>
  </si>
  <si>
    <t>RN-31, RN-32</t>
  </si>
  <si>
    <t>Trazabilidad de documentos en SAP</t>
  </si>
  <si>
    <t>El sistema debe permitir consultar el estado y la trazabilidad de los documentos comerciales enviados a SAP Business One.</t>
  </si>
  <si>
    <t>RN-25 · RNF-14</t>
  </si>
  <si>
    <t>Reintento sin duplicidad</t>
  </si>
  <si>
    <t>El sistema debe permitir reintentar un envío fallido al ERP sin duplicar las líneas ya creadas.</t>
  </si>
  <si>
    <t>RN-26 · RNF-12</t>
  </si>
  <si>
    <t>Corrección y reenvío de casos</t>
  </si>
  <si>
    <t>El sistema debe permitir al vendedor corregir y reenviar un caso de posventa rechazado por el autorizador.</t>
  </si>
  <si>
    <t>RN-33</t>
  </si>
  <si>
    <t>Cierre de casos</t>
  </si>
  <si>
    <t>El sistema debe permitir al autorizador de posventa cerrar un caso, registrando su resolución final.</t>
  </si>
  <si>
    <t>RN-34</t>
  </si>
  <si>
    <t>Códigos de vendedor por empresa</t>
  </si>
  <si>
    <t>El sistema debe permitir asociar a cada usuario, sea vendedor o asistente de vendedor, uno o más códigos de vendedor de SAP (SlpCode), cada uno vinculado a su empresa: Ferretería Marsella o Asland.</t>
  </si>
  <si>
    <t>RN-35, RN-36</t>
  </si>
  <si>
    <t>Escala de comisión por vendedor</t>
  </si>
  <si>
    <t>El sistema debe permitir al administrador asignar a cada código de vendedor, al editar su perfil, la escala de comisión con que se calcula su comisión.</t>
  </si>
  <si>
    <t>RN-37, RN-38</t>
  </si>
  <si>
    <t>Selector de empresa activa</t>
  </si>
  <si>
    <t>El sistema debe ofrecer un selector de empresa en la barra de navegación, visible para los usuarios con códigos en ambas empresas, que cambie la empresa activa en toda la plataforma: consultas, documentos, solicitudes y casos. La interfaz identifica la empresa activa por color: rojo para Ferretería Marsella y celeste para Asland.</t>
  </si>
  <si>
    <t>RN-36</t>
  </si>
  <si>
    <t>Selección de SlpCode por el asistente</t>
  </si>
  <si>
    <t>El sistema debe permitir que el asistente de vendedor seleccione, al crear una cotización, una nota de venta u otro documento comercial, el SlpCode del vendedor a cuyo nombre se emite, entre los vendedores que tiene asignados en la empresa activa.</t>
  </si>
  <si>
    <t>RN-37, RN-39</t>
  </si>
  <si>
    <t>Respaldos de la solicitud de código</t>
  </si>
  <si>
    <t>RN-40</t>
  </si>
  <si>
    <t>Historias de usuario y criterios</t>
  </si>
  <si>
    <t>Use una fila por criterio de aceptación. Si una historia tiene varios criterios, repita su ID HU y asigne un ID CA diferente.</t>
  </si>
  <si>
    <t>ID Épica</t>
  </si>
  <si>
    <t>Funcionalidad</t>
  </si>
  <si>
    <t>Título HU</t>
  </si>
  <si>
    <t>Como</t>
  </si>
  <si>
    <t>Quiero</t>
  </si>
  <si>
    <t>Para</t>
  </si>
  <si>
    <t>Historia completa</t>
  </si>
  <si>
    <t>Estimación SP</t>
  </si>
  <si>
    <t>Sprint</t>
  </si>
  <si>
    <t>HU-001</t>
  </si>
  <si>
    <t>EP-01</t>
  </si>
  <si>
    <t>Acceso seguro</t>
  </si>
  <si>
    <t>Autenticarse en la plataforma</t>
  </si>
  <si>
    <t>usuario habilitado</t>
  </si>
  <si>
    <t>iniciar sesión de forma segura y mantener una sesión controlada</t>
  </si>
  <si>
    <t>acceder únicamente a las funciones autorizadas</t>
  </si>
  <si>
    <t>Con credenciales válidas, el usuario activo ingresa a la plataforma.</t>
  </si>
  <si>
    <t>Sprint 1 · 2 sem.</t>
  </si>
  <si>
    <t>Propuesto</t>
  </si>
  <si>
    <t>Las credenciales inválidas o de un usuario desactivado impiden el acceso y muestran un mensaje claro.</t>
  </si>
  <si>
    <t>La contraseña se almacena mediante hash, la sesión expira por inactividad y los intentos fallidos quedan auditados.</t>
  </si>
  <si>
    <t>HU-002</t>
  </si>
  <si>
    <t>Administrar usuarios y perfiles</t>
  </si>
  <si>
    <t>administrador</t>
  </si>
  <si>
    <t>mantener los accesos alineados con las responsabilidades de cada trabajador</t>
  </si>
  <si>
    <t>Un usuario se desactiva o reactiva sin eliminar su historial.</t>
  </si>
  <si>
    <t>Solo el administrador puede ejecutar estas operaciones y un usuario desactivado no puede iniciar sesión.</t>
  </si>
  <si>
    <t>HU-003</t>
  </si>
  <si>
    <t>Permisos y autorizadores</t>
  </si>
  <si>
    <t>Configurar permisos y grupos de autorización</t>
  </si>
  <si>
    <t>controlar qué funciones, datos y decisiones corresponden a cada usuario</t>
  </si>
  <si>
    <t>Los permisos efectivos suman los permisos directos, del área y del cargo.</t>
  </si>
  <si>
    <t>Cada operación valida los permisos en el servidor.</t>
  </si>
  <si>
    <t>Solo el administrador gestiona permisos y grupos.</t>
  </si>
  <si>
    <t>HU-004</t>
  </si>
  <si>
    <t>Contexto de empresa y vendedor</t>
  </si>
  <si>
    <t>Configurar empresas, vendedores y comisiones</t>
  </si>
  <si>
    <t>asociar SlpCode y escala de comisión por empresa a vendedores y asistentes</t>
  </si>
  <si>
    <t>asegurar que cada operación use la empresa y el vendedor correctos</t>
  </si>
  <si>
    <t>Cada SlpCode queda asociado a Marsella o Asland y a los usuarios autorizados.</t>
  </si>
  <si>
    <t>Se asigna una escala de comisión o se usa la escala predeterminada.</t>
  </si>
  <si>
    <t>El selector de empresa solo aparece a usuarios con códigos en ambas empresas.</t>
  </si>
  <si>
    <t>Al cambiar la empresa activa, consultas, documentos, solicitudes y casos usan ese contexto y su color identificador.</t>
  </si>
  <si>
    <t>HU-005</t>
  </si>
  <si>
    <t>EP-02</t>
  </si>
  <si>
    <t>Solicitud de códigos</t>
  </si>
  <si>
    <t>Crear y enviar solicitudes de código</t>
  </si>
  <si>
    <t>vendedor autorizado</t>
  </si>
  <si>
    <t>crear solicitudes de creación, activación o modificación de artículos con sus respaldos</t>
  </si>
  <si>
    <t>enviar información completa al grupo autorizador correspondiente</t>
  </si>
  <si>
    <t>La solicitud se crea en estado Pendiente y queda asociada al usuario y empresa activa.</t>
  </si>
  <si>
    <t>Sprint 2 · 2 sem.</t>
  </si>
  <si>
    <t>Permite incluir uno o más productos según el tipo de solicitud.</t>
  </si>
  <si>
    <t>Al enviarla, ingresa a la bandeja del grupo autorizador correcto.</t>
  </si>
  <si>
    <t>HU-006</t>
  </si>
  <si>
    <t>Resolución de solicitudes</t>
  </si>
  <si>
    <t>Aprobar o rechazar solicitudes</t>
  </si>
  <si>
    <t>autorizador</t>
  </si>
  <si>
    <t>resolverla con un responsable y una decisión trazable</t>
  </si>
  <si>
    <t>Solo el grupo autorizador del tipo de solicitud puede verla y resolverla.</t>
  </si>
  <si>
    <t>El rechazo exige un motivo visible para el solicitante.</t>
  </si>
  <si>
    <t>La solicitud aprobada no admite edición y conserva usuario, fecha, hora y comentario de la resolución.</t>
  </si>
  <si>
    <t>HU-007</t>
  </si>
  <si>
    <t>Seguimiento de solicitudes</t>
  </si>
  <si>
    <t>Corregir, reenviar y consultar solicitudes</t>
  </si>
  <si>
    <t>vendedor solicitante</t>
  </si>
  <si>
    <t>corregir y reenviar solicitudes rechazadas, además de consultar y filtrar su seguimiento</t>
  </si>
  <si>
    <t>resolver observaciones y conocer el estado de cada gestión</t>
  </si>
  <si>
    <t>Solo el creador puede corregir y reenviar una solicitud rechazada.</t>
  </si>
  <si>
    <t>El reenvío vuelve a estado Pendiente y a la bandeja del grupo autorizador.</t>
  </si>
  <si>
    <t>El usuario consulta estado, responsable, fecha y comentario.</t>
  </si>
  <si>
    <t>Los filtros por estado, fecha, área y responsable devuelven resultados acordes con sus permisos.</t>
  </si>
  <si>
    <t>HU-008</t>
  </si>
  <si>
    <t>EP-03</t>
  </si>
  <si>
    <t>Consultas comerciales</t>
  </si>
  <si>
    <t>Consultar productos, stock y clientes</t>
  </si>
  <si>
    <t>vendedor o asistente de vendedor</t>
  </si>
  <si>
    <t>consultar productos, stock, clientes, crédito y bloqueo en la empresa activa</t>
  </si>
  <si>
    <t>tomar decisiones comerciales con información vigente del ERP</t>
  </si>
  <si>
    <t>Las consultas muestran datos vigentes del ERP para la empresa activa.</t>
  </si>
  <si>
    <t>Sprint 3 · 2 sem.</t>
  </si>
  <si>
    <t>El vendedor ve sus clientes y el asistente los de los vendedores asignados.</t>
  </si>
  <si>
    <t>Stock, precios, crédito y bloqueo son de solo lectura y no se duplican como maestros locales.</t>
  </si>
  <si>
    <t>Un cliente bloqueado queda identificado antes de solicitar una orden de venta.</t>
  </si>
  <si>
    <t>HU-009</t>
  </si>
  <si>
    <t>Cotizaciones</t>
  </si>
  <si>
    <t>Crear y administrar cotizaciones</t>
  </si>
  <si>
    <t>crear cotizaciones con varias líneas y el vendedor correspondiente</t>
  </si>
  <si>
    <t>presentar una oferta comercial consistente con la empresa activa</t>
  </si>
  <si>
    <t>La cotización exige un cliente y al menos una línea de producto.</t>
  </si>
  <si>
    <t>El vendedor usa su SlpCode; el asistente elige solo entre los vendedores asignados en la empresa activa.</t>
  </si>
  <si>
    <t>Se registra tanto al creador como al vendedor del documento.</t>
  </si>
  <si>
    <t>La comisión se calcula con la escala del vendedor o con la predeterminada si no tiene una asignada.</t>
  </si>
  <si>
    <t>HU-010</t>
  </si>
  <si>
    <t>Conversión comercial</t>
  </si>
  <si>
    <t>Emitir la cotización y solicitar la orden de venta</t>
  </si>
  <si>
    <t>vendedor</t>
  </si>
  <si>
    <t>descargar la cotización y convertir una cotización aceptada en solicitud de orden de venta</t>
  </si>
  <si>
    <t>continuar el proceso comercial sin volver a ingresar sus datos</t>
  </si>
  <si>
    <t>La cotización puede generarse en un formato imprimible o descargable.</t>
  </si>
  <si>
    <t>Sprint 4 · 2 sem.</t>
  </si>
  <si>
    <t>Solo una cotización abierta y aceptada puede convertirse.</t>
  </si>
  <si>
    <t>La solicitud hereda cliente, líneas y condiciones, y conserva el vínculo con la cotización.</t>
  </si>
  <si>
    <t>Se impide continuar si el cliente está bloqueado.</t>
  </si>
  <si>
    <t>HU-011</t>
  </si>
  <si>
    <t>Órdenes de venta</t>
  </si>
  <si>
    <t>Autorizar, enviar y seguir órdenes de venta</t>
  </si>
  <si>
    <t>autorizador comercial</t>
  </si>
  <si>
    <t>aprobar las solicitudes que correspondan y enviar la orden de venta al ERP</t>
  </si>
  <si>
    <t>crear únicamente documentos validados y mantener su trazabilidad</t>
  </si>
  <si>
    <t>Solo un rol autorizado puede aprobar el envío.</t>
  </si>
  <si>
    <t>El ERP recibe exactamente el documento autorizado y devuelve un resultado e identificador.</t>
  </si>
  <si>
    <t>El usuario consulta el estado, vínculo y trazabilidad del documento enviado.</t>
  </si>
  <si>
    <t>HU-012</t>
  </si>
  <si>
    <t>EP-04</t>
  </si>
  <si>
    <t>Avisos a autorizadores</t>
  </si>
  <si>
    <t>Notificar pendientes y recordatorios</t>
  </si>
  <si>
    <t>recibir avisos de los procesos pendientes y recordatorios cuando superen una hora</t>
  </si>
  <si>
    <t>atender oportunamente las decisiones que me corresponden</t>
  </si>
  <si>
    <t>Al enviar un proceso, se notifica únicamente a los destinatarios autorizados.</t>
  </si>
  <si>
    <t>La notificación identifica categoría, emisor, nivel y enlace al proceso.</t>
  </si>
  <si>
    <t>Después de una hora pendiente se genera un recordatorio automático.</t>
  </si>
  <si>
    <t>El usuario no puede ver notificaciones ajenas.</t>
  </si>
  <si>
    <t>HU-013</t>
  </si>
  <si>
    <t>Avisos al solicitante</t>
  </si>
  <si>
    <t>Informar cambios de estado al solicitante</t>
  </si>
  <si>
    <t>participante de un proceso</t>
  </si>
  <si>
    <t>recibir y administrar notificaciones de aprobaciones, rechazos, observaciones y cambios de estado</t>
  </si>
  <si>
    <t>saber cuándo debo actuar y acceder directamente al proceso</t>
  </si>
  <si>
    <t>Cada cambio relevante genera una notificación al participante correspondiente.</t>
  </si>
  <si>
    <t>Las campanas diferencian avisos generales y autorizaciones de órdenes de venta.</t>
  </si>
  <si>
    <t>La página de notificaciones permite abrir, marcar como leída, marcar todas y eliminar una o todas.</t>
  </si>
  <si>
    <t>Se registra la fecha de lectura y cada enlace abre el proceso de origen.</t>
  </si>
  <si>
    <t>HU-014</t>
  </si>
  <si>
    <t>Trazabilidad transversal</t>
  </si>
  <si>
    <t>Consultar la trazabilidad de los procesos</t>
  </si>
  <si>
    <t>usuario participante o jefatura autorizada</t>
  </si>
  <si>
    <t>consultar el estado y el historial de cada proceso</t>
  </si>
  <si>
    <t>conocer quién realizó cada acción, cuándo y con qué resultado</t>
  </si>
  <si>
    <t>Cada cambio registra estado, usuario, fecha, hora y comentario.</t>
  </si>
  <si>
    <t>Sprint 5 · 2 sem.</t>
  </si>
  <si>
    <t>La consulta muestra el estado actual, responsable y secuencia histórica.</t>
  </si>
  <si>
    <t>Las respuestas resueltas no pueden editarse.</t>
  </si>
  <si>
    <t>El usuario ve solo procesos propios, asignados o permitidos por su rol.</t>
  </si>
  <si>
    <t>HU-015</t>
  </si>
  <si>
    <t>EP-05</t>
  </si>
  <si>
    <t>Lectura desde SAP</t>
  </si>
  <si>
    <t>Consultar SAP mediante una API segura</t>
  </si>
  <si>
    <t>usuario autorizado de la plataforma</t>
  </si>
  <si>
    <t>obtener productos, clientes, stock y datos permitidos mediante la API de lectura</t>
  </si>
  <si>
    <t>trabajar desde la web sin modificar directamente la información oficial del ERP</t>
  </si>
  <si>
    <t>La API consulta SAP HANA exclusivamente con un usuario de solo lectura y responde JSON.</t>
  </si>
  <si>
    <t>Cada petición exige una firma válida; una firma inválida se rechaza.</t>
  </si>
  <si>
    <t>Las credenciales se mantienen fuera del código.</t>
  </si>
  <si>
    <t>Los listados se paginan, aplican tiempo límite y reintentos acotados, y las consultas normales responden en menos de 3 segundos.</t>
  </si>
  <si>
    <t>HU-016</t>
  </si>
  <si>
    <t>Escritura controlada en SAP</t>
  </si>
  <si>
    <t>Crear documentos mediante Service Layer</t>
  </si>
  <si>
    <t>usuario autorizado</t>
  </si>
  <si>
    <t>enviar al ERP solo operaciones previamente validadas mediante Service Layer</t>
  </si>
  <si>
    <t>mantener la integridad y las reglas oficiales de SAP Business One</t>
  </si>
  <si>
    <t>Ninguna escritura se ejecuta directamente sobre SAP HANA.</t>
  </si>
  <si>
    <t>Solo se envían documentos con autorización registrada cuando corresponda.</t>
  </si>
  <si>
    <t>Service Layer aplica sus validaciones y devuelve el resultado de la operación.</t>
  </si>
  <si>
    <t>La plataforma conserva el documento exactamente como fue autorizado y respeta las autorizaciones de acceso y licenciamiento vigentes.</t>
  </si>
  <si>
    <t>HU-017</t>
  </si>
  <si>
    <t>Control de integraciones</t>
  </si>
  <si>
    <t>Registrar y reintentar operaciones fallidas</t>
  </si>
  <si>
    <t>responsable de operación</t>
  </si>
  <si>
    <t>consultar el resultado de cada envío y reintentar los fallidos de forma segura</t>
  </si>
  <si>
    <t>resolver errores sin duplicar documentos ni líneas en el ERP</t>
  </si>
  <si>
    <t>Cada envío registra documento, resultado, identificador y mensaje de error.</t>
  </si>
  <si>
    <t>Los mensajes indican claramente qué ocurrió.</t>
  </si>
  <si>
    <t>Un reintento reutiliza el documento autorizado y evita duplicar líneas o resultados ya creados.</t>
  </si>
  <si>
    <t>Ante error, la operación queda completa o no se registra parcialmente.</t>
  </si>
  <si>
    <t>HU-018</t>
  </si>
  <si>
    <t>EP-06</t>
  </si>
  <si>
    <t>Registro de casos</t>
  </si>
  <si>
    <t>Registrar un caso de posventa</t>
  </si>
  <si>
    <t>registrar un caso de posventa con cliente, productos, respaldo y evidencias</t>
  </si>
  <si>
    <t>iniciar formalmente su evaluación y seguimiento</t>
  </si>
  <si>
    <t>Permite devolución, cambio, servicio técnico, producto faltante, desistimiento y nota de crédito.</t>
  </si>
  <si>
    <t>Registra cliente, vendedor, empresa, productos y guía de despacho o factura de reserva.</t>
  </si>
  <si>
    <t>Exige evidencias autorizadas salvo las excepciones de factura de reserva.</t>
  </si>
  <si>
    <t>Solo los participantes autorizados pueden consultar las evidencias del caso.</t>
  </si>
  <si>
    <t>HU-019</t>
  </si>
  <si>
    <t>Evaluación y autorización</t>
  </si>
  <si>
    <t>Evaluar, resolver y emitir comprobante QR</t>
  </si>
  <si>
    <t>autorizador de posventa</t>
  </si>
  <si>
    <t>evaluar las condiciones, aprobar o rechazar el caso y liberar su comprobante QR</t>
  </si>
  <si>
    <t>respaldar la decisión y continuar el flujo con el cliente</t>
  </si>
  <si>
    <t>El rechazo exige motivo y permite al creador corregir y reenviar a Pendiente.</t>
  </si>
  <si>
    <t>Solo el autorizador de posventa aprueba y libera el comprobante QR.</t>
  </si>
  <si>
    <t>El comprobante contiene los datos del caso; el solicitante puede descargarlo y marcarlo como enviado al cliente.</t>
  </si>
  <si>
    <t>HU-020</t>
  </si>
  <si>
    <t>Seguimiento y cierre</t>
  </si>
  <si>
    <t>Gestionar el avance y cierre de posventa</t>
  </si>
  <si>
    <t>actualizar el caso por sus estados y registrar su resolución final</t>
  </si>
  <si>
    <t>mantener el seguimiento hasta un cierre controlado</t>
  </si>
  <si>
    <t>El flujo con guía contempla Pendiente, Autorizado, QR enviado, Recepcionado y la ruta de stock o proveedor hasta cierre.</t>
  </si>
  <si>
    <t>Sprint 6 · 1 sem.</t>
  </si>
  <si>
    <t>El caso con factura de reserva sigue la ruta sin QR ni recepción.</t>
  </si>
  <si>
    <t>Cada cambio notifica al vendedor y autorizador y admite observaciones visibles.</t>
  </si>
  <si>
    <t>Solo el autorizador cierra el caso; un caso cerrado no acepta nuevos cambios.</t>
  </si>
  <si>
    <t>Casos de prueba y evidencias</t>
  </si>
  <si>
    <t>Registre la ejecución de cada prueba y agregue el identificador y enlace o ruta de la evidencia cuando esté disponible.</t>
  </si>
  <si>
    <t>ID Caso prueba</t>
  </si>
  <si>
    <t>Precondiciones</t>
  </si>
  <si>
    <t>Pasos</t>
  </si>
  <si>
    <t>Resultado esperado</t>
  </si>
  <si>
    <t>Resultado obtenido</t>
  </si>
  <si>
    <t>Evidencia / Enlace / Ruta</t>
  </si>
  <si>
    <t>Fecha</t>
  </si>
  <si>
    <t>Inicio de sesión con credenciales válidas</t>
  </si>
  <si>
    <t>1. Abrir la página de inicio de sesión.
2. Ingresar usuario y contraseña válidos.
3. Presionar Ingresar.</t>
  </si>
  <si>
    <t>El usuario accede a la plataforma y ve solo las opciones correspondientes a sus permisos.</t>
  </si>
  <si>
    <t>No ejecutado</t>
  </si>
  <si>
    <t>Acceso denegado con credenciales inválidas o usuario desactivado</t>
  </si>
  <si>
    <t>Existe un usuario activo y otro desactivado.</t>
  </si>
  <si>
    <t>1. Intentar ingresar con una contraseña incorrecta.
2. Intentar ingresar con el usuario desactivado.</t>
  </si>
  <si>
    <t>En ambos casos se impide el acceso y se muestra un mensaje claro.</t>
  </si>
  <si>
    <t>Hash de contraseña, expiración de sesión y auditoría</t>
  </si>
  <si>
    <t>Usuario de prueba creado; tiempo de inactividad configurado.</t>
  </si>
  <si>
    <t>La contraseña está almacenada como hash, la sesión expira y el intento fallido queda registrado con usuario, fecha y hora.</t>
  </si>
  <si>
    <t>Desactivación y reactivación sin pérdida de historial</t>
  </si>
  <si>
    <t>Usuario con registros e historial existentes.</t>
  </si>
  <si>
    <t>1. Desactivar el usuario.
2. Revisar su historial.
3. Reactivarlo.</t>
  </si>
  <si>
    <t>El usuario pasa a Inactivo y luego a Activo; su historial y registros se conservan.</t>
  </si>
  <si>
    <t>Operaciones exclusivas del administrador</t>
  </si>
  <si>
    <t>Usuario vendedor activo; usuario desactivado.</t>
  </si>
  <si>
    <t>1. Con sesión de vendedor, intentar acceder a la gestión de usuarios por menú y por URL directa.
2. Intentar iniciar sesión con el usuario desactivado.</t>
  </si>
  <si>
    <t>El vendedor recibe acceso denegado validado en el servidor y el usuario desactivado no puede iniciar sesión.</t>
  </si>
  <si>
    <t>Cálculo de permisos efectivos</t>
  </si>
  <si>
    <t>Usuario con un permiso directo, uno por área y otro por cargo.</t>
  </si>
  <si>
    <t>1. Iniciar sesión con el usuario y revisar las funciones disponibles.
2. Quitar el permiso del área y volver a ingresar.</t>
  </si>
  <si>
    <t>El usuario dispone de la suma de los tres permisos; al quitar el del área deja de ver esa función.</t>
  </si>
  <si>
    <t>Validación de permisos en el servidor</t>
  </si>
  <si>
    <t>Usuario sin permiso para una función determinada.</t>
  </si>
  <si>
    <t>1. Iniciar sesión con el usuario.
2. Invocar directamente la URL o endpoint de la función restringida.</t>
  </si>
  <si>
    <t>El servidor rechaza la operación aunque la opción esté oculta en la interfaz.</t>
  </si>
  <si>
    <t>Sesión como administrador; existen usuarios activos.</t>
  </si>
  <si>
    <t>Gestión de permisos exclusiva del administrador</t>
  </si>
  <si>
    <t>Usuario administrador y usuario no administrador.</t>
  </si>
  <si>
    <t>El administrador guarda los cambios; el no administrador recibe acceso denegado.</t>
  </si>
  <si>
    <t>Asociación de SlpCode por empresa</t>
  </si>
  <si>
    <t>Sesión como administrador; usuario vendedor creado.</t>
  </si>
  <si>
    <t>1. Editar el perfil del vendedor.
2. Asociar un SlpCode de Marsella y otro de Asland.
3. Guardar.</t>
  </si>
  <si>
    <t>Cada SlpCode queda vinculado a su empresa y al usuario.</t>
  </si>
  <si>
    <t>Asignación de escala de comisión</t>
  </si>
  <si>
    <t>Existen Escala 1 y Escala 2, una marcada como predeterminada.</t>
  </si>
  <si>
    <t>1. Asignar Escala 2 a un vendedor.
2. Dejar a otro vendedor sin escala.
3. Consultar la escala efectiva de ambos.</t>
  </si>
  <si>
    <t>El primero usa Escala 2 y el segundo la escala predeterminada.</t>
  </si>
  <si>
    <t>Visibilidad del selector de empresa</t>
  </si>
  <si>
    <t>Vendedor con códigos en ambas empresas y vendedor con código en una sola.</t>
  </si>
  <si>
    <t>1. Iniciar sesión con cada vendedor.
2. Revisar la barra de navegación.</t>
  </si>
  <si>
    <t>El selector aparece solo al vendedor con códigos en ambas empresas.</t>
  </si>
  <si>
    <t>Cambio de empresa activa</t>
  </si>
  <si>
    <t>Vendedor con códigos en Marsella y Asland.</t>
  </si>
  <si>
    <t>1. Seleccionar Marsella y consultar clientes.
2. Cambiar a Asland y repetir la consulta.
3. Crear un documento de prueba.</t>
  </si>
  <si>
    <t>Consultas y documentos usan la empresa activa; la interfaz se muestra roja para Marsella y celeste para Asland.</t>
  </si>
  <si>
    <t>Creación de solicitud en estado Pendiente</t>
  </si>
  <si>
    <t>Vendedor con permiso de enviar solicitudes de código; empresa activa seleccionada.</t>
  </si>
  <si>
    <t>1. Ir a Solicitudes &gt; Nueva.
2. Elegir el tipo 'Creación de artículo' y completar los datos.
3. Guardar.</t>
  </si>
  <si>
    <t>La solicitud queda en estado Pendiente, asociada al usuario y a la empresa activa.</t>
  </si>
  <si>
    <t>Solicitud con uno o más productos</t>
  </si>
  <si>
    <t>Formulario de solicitud abierto.</t>
  </si>
  <si>
    <t>1. Agregar un producto.
2. Agregar un segundo producto.
3. Guardar la solicitud.</t>
  </si>
  <si>
    <t>La solicitud registra todos los productos ingresados según su tipo.</t>
  </si>
  <si>
    <t>Validación de respaldos y adjuntos</t>
  </si>
  <si>
    <t>Solicitud de creación en preparación; archivos de prueba en formatos válidos e inválidos.</t>
  </si>
  <si>
    <t>Derivación a la bandeja del grupo autorizador</t>
  </si>
  <si>
    <t>Grupo autorizador configurado para el tipo de solicitud.</t>
  </si>
  <si>
    <t>1. Enviar la solicitud.
2. Revisar la bandeja con un integrante del grupo y con un usuario ajeno.</t>
  </si>
  <si>
    <t>La solicitud aparece solo en la bandeja del grupo autorizador correcto.</t>
  </si>
  <si>
    <t>Acceso restringido a la bandeja del grupo</t>
  </si>
  <si>
    <t>Solicitud Pendiente; autorizador del grupo y autorizador de otro grupo.</t>
  </si>
  <si>
    <t>1. Con el autorizador de otro grupo, intentar abrir la solicitud.
2. Abrirla con el autorizador del grupo.</t>
  </si>
  <si>
    <t>Solo el integrante del grupo correspondiente puede ver y resolver la solicitud.</t>
  </si>
  <si>
    <t>Solicitud Pendiente en la bandeja.</t>
  </si>
  <si>
    <t>Rechazo con motivo obligatorio</t>
  </si>
  <si>
    <t>Solicitud tomada por el autorizador.</t>
  </si>
  <si>
    <t>1. Intentar rechazar sin comentario.
2. Rechazar indicando el motivo.
3. Revisar la solicitud como solicitante.</t>
  </si>
  <si>
    <t>El rechazo sin motivo se impide; el motivo registrado es visible para el solicitante.</t>
  </si>
  <si>
    <t>Aprobación y bloqueo de edición</t>
  </si>
  <si>
    <t>1. Aprobar la solicitud con un comentario.
2. Intentar editarla.</t>
  </si>
  <si>
    <t>La solicitud queda Aprobada con usuario, fecha, hora y comentario, y no admite edición.</t>
  </si>
  <si>
    <t>Corrección exclusiva del creador</t>
  </si>
  <si>
    <t>Solicitud Rechazada creada por el vendedor A.</t>
  </si>
  <si>
    <t>1. Con el vendedor B, intentar corregir la solicitud.
2. Con el vendedor A, corregirla.</t>
  </si>
  <si>
    <t>Solo el vendedor A puede corregir la solicitud.</t>
  </si>
  <si>
    <t>Reenvío a estado Pendiente</t>
  </si>
  <si>
    <t>Solicitud Rechazada corregida por su creador.</t>
  </si>
  <si>
    <t>1. Reenviar la solicitud.
2. Revisar su estado y la bandeja del grupo.</t>
  </si>
  <si>
    <t>La solicitud vuelve a Pendiente y aparece en la bandeja del grupo autorizador.</t>
  </si>
  <si>
    <t>Consulta del seguimiento</t>
  </si>
  <si>
    <t>Solicitud resuelta.</t>
  </si>
  <si>
    <t>1. Abrir el listado de solicitudes.
2. Consultar el detalle.</t>
  </si>
  <si>
    <t>Se muestran estado, responsable, fecha de respuesta y comentario.</t>
  </si>
  <si>
    <t>Filtros y búsqueda según permisos</t>
  </si>
  <si>
    <t>Solicitudes con distintos estados, fechas, áreas y responsables.</t>
  </si>
  <si>
    <t>1. Filtrar por estado, fecha, área y responsable.
2. Repetir con un usuario de menor alcance.</t>
  </si>
  <si>
    <t>Los resultados coinciden con los filtros y solo incluyen solicitudes permitidas para cada usuario.</t>
  </si>
  <si>
    <t>Consulta de productos y stock en la empresa activa</t>
  </si>
  <si>
    <t>API de lectura disponible (real o simulada); empresa activa seleccionada.</t>
  </si>
  <si>
    <t>1. Buscar un producto.
2. Revisar su stock.
3. Comparar con el dato del ERP o del servicio simulado.</t>
  </si>
  <si>
    <t>Los datos mostrados coinciden con el ERP para la empresa activa.</t>
  </si>
  <si>
    <t>Cartera de clientes de vendedor y asistente</t>
  </si>
  <si>
    <t>Vendedor con clientes asignados; asistente asignado a dos vendedores.</t>
  </si>
  <si>
    <t>1. Consultar clientes con el vendedor.
2. Consultar clientes con el asistente.</t>
  </si>
  <si>
    <t>El vendedor ve solo sus clientes y el asistente los de sus vendedores asignados.</t>
  </si>
  <si>
    <t>Datos del ERP en solo lectura</t>
  </si>
  <si>
    <t>Consulta de producto y de cliente abiertas.</t>
  </si>
  <si>
    <t>1. Intentar editar stock, precio, crédito o bloqueo.
2. Verificar que no existan maestros locales con esos datos.</t>
  </si>
  <si>
    <t>Los campos son de solo lectura y los datos no se duplican en la plataforma.</t>
  </si>
  <si>
    <t>Identificación de cliente bloqueado</t>
  </si>
  <si>
    <t>Cliente marcado como bloqueado en el ERP o servicio simulado.</t>
  </si>
  <si>
    <t>1. Consultar el cliente bloqueado.</t>
  </si>
  <si>
    <t>El cliente aparece identificado como bloqueado antes de iniciar una orden de venta.</t>
  </si>
  <si>
    <t>Validación de cliente y líneas de la cotización</t>
  </si>
  <si>
    <t>Vendedor con sesión iniciada.</t>
  </si>
  <si>
    <t>1. Intentar guardar una cotización sin cliente.
2. Intentar guardarla sin líneas.
3. Guardarla con cliente y dos líneas.</t>
  </si>
  <si>
    <t>Se impiden los dos primeros casos y la cotización con datos completos se guarda.</t>
  </si>
  <si>
    <t>Selección del vendedor por parte del asistente</t>
  </si>
  <si>
    <t>Vendedor y asistente con vendedores asignados en la empresa activa.</t>
  </si>
  <si>
    <t>1. Crear una cotización con el vendedor.
2. Crear otra con el asistente y revisar la lista de vendedores disponibles.</t>
  </si>
  <si>
    <t>El vendedor emite con su SlpCode; el asistente solo elige entre sus vendedores asignados en la empresa activa.</t>
  </si>
  <si>
    <t>Registro de creador y vendedor del documento</t>
  </si>
  <si>
    <t>Cotización creada por un asistente a nombre de un vendedor.</t>
  </si>
  <si>
    <t>1. Abrir el detalle de la cotización.</t>
  </si>
  <si>
    <t>Se registran el usuario creador y el vendedor (SlpCode) a cuyo nombre se emitió.</t>
  </si>
  <si>
    <t>Cálculo de comisión según escala</t>
  </si>
  <si>
    <t>Vendedor con escala asignada y vendedor sin escala.</t>
  </si>
  <si>
    <t>1. Crear una cotización para cada vendedor.
2. Revisar la comisión calculada.</t>
  </si>
  <si>
    <t>Se aplica la escala del vendedor o la predeterminada cuando no tiene una asignada.</t>
  </si>
  <si>
    <t>Generación de cotización imprimible</t>
  </si>
  <si>
    <t>Cotización guardada.</t>
  </si>
  <si>
    <t>1. Abrir la cotización.
2. Descargar o imprimir el documento.</t>
  </si>
  <si>
    <t>Se genera el documento con los datos de la cotización en formato imprimible o descargable.</t>
  </si>
  <si>
    <t>Conversión solo de cotizaciones abiertas y aceptadas</t>
  </si>
  <si>
    <t>1. Intentar convertir la cotización no aceptada.
2. Convertir la cotización aceptada.</t>
  </si>
  <si>
    <t>Solo la cotización abierta y aceptada se convierte en solicitud de orden de venta.</t>
  </si>
  <si>
    <t>Herencia de datos y vínculo con la cotización</t>
  </si>
  <si>
    <t>Cotización aceptada convertida.</t>
  </si>
  <si>
    <t>1. Abrir la solicitud de orden de venta generada.
2. Comparar cliente, líneas y condiciones con la cotización.</t>
  </si>
  <si>
    <t>La solicitud hereda los datos y registra el vínculo con la cotización de origen.</t>
  </si>
  <si>
    <t>Bloqueo por cliente bloqueado</t>
  </si>
  <si>
    <t>Cotización aceptada de un cliente bloqueado.</t>
  </si>
  <si>
    <t>1. Intentar convertir la cotización.</t>
  </si>
  <si>
    <t>El sistema impide continuar e informa que el cliente está bloqueado.</t>
  </si>
  <si>
    <t>1. Enviar la solicitud de orden de venta.
2. Revisar su estado.</t>
  </si>
  <si>
    <t>La solicitud queda pendiente de autorización y no se envía al ERP.</t>
  </si>
  <si>
    <t>Aprobación solo por rol autorizado</t>
  </si>
  <si>
    <t>Solicitud pendiente de autorización; autorizador comercial y usuario sin ese rol.</t>
  </si>
  <si>
    <t>1. Intentar aprobar con el usuario sin rol.
2. Aprobar con el autorizador comercial.</t>
  </si>
  <si>
    <t>Solo el rol autorizado puede aprobar el envío.</t>
  </si>
  <si>
    <t>Envío exacto del documento autorizado</t>
  </si>
  <si>
    <t>Orden autorizada; Service Layer real o simulado disponible.</t>
  </si>
  <si>
    <t>1. Enviar la orden al ERP.
2. Comparar el documento recibido con el autorizado.</t>
  </si>
  <si>
    <t>El ERP recibe el mismo documento y devuelve un resultado e identificador que quedan registrados.</t>
  </si>
  <si>
    <t>Consulta de estado y trazabilidad del documento</t>
  </si>
  <si>
    <t>Orden enviada al ERP.</t>
  </si>
  <si>
    <t>1. Consultar el documento enviado.</t>
  </si>
  <si>
    <t>Se muestran estado, identificador del ERP, vínculo con la cotización e historial de acciones.</t>
  </si>
  <si>
    <t>Notificación solo a destinatarios autorizados</t>
  </si>
  <si>
    <t>Grupo autorizador configurado; usuario ajeno al grupo.</t>
  </si>
  <si>
    <t>1. Enviar una solicitud.
2. Revisar las notificaciones de un integrante del grupo y del usuario ajeno.</t>
  </si>
  <si>
    <t>Solo los integrantes del grupo reciben la notificación.</t>
  </si>
  <si>
    <t>Contenido de la notificación</t>
  </si>
  <si>
    <t>Notificación generada.</t>
  </si>
  <si>
    <t>1. Abrir la campana de notificaciones.
2. Revisar la notificación y usar su enlace.</t>
  </si>
  <si>
    <t>Muestra categoría, emisor, nivel y un enlace que abre el proceso.</t>
  </si>
  <si>
    <t>Recordatorio automático tras una hora</t>
  </si>
  <si>
    <t>Solicitud Pendiente sin atender.</t>
  </si>
  <si>
    <t>1. Dejar la solicitud pendiente más de una hora (o ajustar su fecha en los datos de prueba).
2. Ejecutar la tarea programada.
3. Revisar las notificaciones.</t>
  </si>
  <si>
    <t>Se genera un recordatorio automático para el grupo autorizador.</t>
  </si>
  <si>
    <t>Privacidad de las notificaciones</t>
  </si>
  <si>
    <t>Notificación dirigida al usuario A.</t>
  </si>
  <si>
    <t>1. Con el usuario B, intentar abrir la notificación de A por URL.</t>
  </si>
  <si>
    <t>El sistema deniega el acceso.</t>
  </si>
  <si>
    <t>Aviso al participante ante cambios</t>
  </si>
  <si>
    <t>Solicitud del vendedor en revisión.</t>
  </si>
  <si>
    <t>1. Aprobar, rechazar u observar la solicitud.
2. Revisar las notificaciones del vendedor.</t>
  </si>
  <si>
    <t>El vendedor recibe una notificación por cada cambio relevante.</t>
  </si>
  <si>
    <t>Diferenciación de campanas</t>
  </si>
  <si>
    <t>Notificaciones generales y de autorización de órdenes de venta.</t>
  </si>
  <si>
    <t>1. Revisar ambas campanas de la barra superior.</t>
  </si>
  <si>
    <t>Cada campana muestra solo su tipo de avisos.</t>
  </si>
  <si>
    <t>Administración de notificaciones</t>
  </si>
  <si>
    <t>Varias notificaciones sin leer.</t>
  </si>
  <si>
    <t>1. Abrir una notificación.
2. Marcar todas como leídas.
3. Eliminar una y luego todas.</t>
  </si>
  <si>
    <t>Cada acción se aplica correctamente en la página de notificaciones.</t>
  </si>
  <si>
    <t>Fecha de lectura y enlace al origen</t>
  </si>
  <si>
    <t>Notificación sin leer.</t>
  </si>
  <si>
    <t>1. Abrir la notificación.
2. Revisar la fecha de lectura.</t>
  </si>
  <si>
    <t>Se registra la fecha de lectura y el enlace abre el proceso de origen.</t>
  </si>
  <si>
    <t>Registro de cada cambio de estado</t>
  </si>
  <si>
    <t>Proceso en curso.</t>
  </si>
  <si>
    <t>1. Cambiar el estado del proceso con un comentario.
2. Revisar el historial.</t>
  </si>
  <si>
    <t>Consulta del estado y la secuencia histórica</t>
  </si>
  <si>
    <t>Proceso con historial.</t>
  </si>
  <si>
    <t>1. Abrir la trazabilidad del proceso.</t>
  </si>
  <si>
    <t>Se muestran estado actual, responsable y la secuencia histórica completa.</t>
  </si>
  <si>
    <t>Inmutabilidad de respuestas resueltas</t>
  </si>
  <si>
    <t>Proceso resuelto.</t>
  </si>
  <si>
    <t>1. Intentar editar la respuesta desde la interfaz y por URL directa.</t>
  </si>
  <si>
    <t>El sistema impide la edición.</t>
  </si>
  <si>
    <t>Visibilidad según participación y rol</t>
  </si>
  <si>
    <t>Procesos propios, asignados y ajenos.</t>
  </si>
  <si>
    <t>1. Consultar la trazabilidad con un vendedor.
2. Consultarla con una jefatura autorizada.</t>
  </si>
  <si>
    <t>Cada usuario ve solo los procesos propios, asignados o permitidos por su rol.</t>
  </si>
  <si>
    <t>Consulta de solo lectura con respuesta JSON</t>
  </si>
  <si>
    <t>Validación de firma de las peticiones</t>
  </si>
  <si>
    <t>API en ejecución.</t>
  </si>
  <si>
    <t>1. Enviar una petición con firma válida.
2. Enviar una sin firma o con firma alterada.</t>
  </si>
  <si>
    <t>La primera responde correctamente; la segunda se rechaza.</t>
  </si>
  <si>
    <t>Credenciales fuera del código</t>
  </si>
  <si>
    <t>Repositorio del proyecto disponible.</t>
  </si>
  <si>
    <t>1. Revisar el código fuente en busca de credenciales.
2. Verificar la configuración por variables de entorno.</t>
  </si>
  <si>
    <t>No existen credenciales en el código; se leen desde variables de entorno.</t>
  </si>
  <si>
    <t>Paginación, tiempo límite y rendimiento</t>
  </si>
  <si>
    <t>Datos ficticios con volumen suficiente.</t>
  </si>
  <si>
    <t>1. Consultar un listado grande.
2. Simular un servicio lento.
3. Medir el tiempo de consultas normales.</t>
  </si>
  <si>
    <t>El listado se pagina, se aplican tiempo límite y reintentos acotados, y las consultas normales responden en menos de 3 segundos.</t>
  </si>
  <si>
    <t>Sin escrituras directas sobre SAP HANA</t>
  </si>
  <si>
    <t>Código de integración disponible.</t>
  </si>
  <si>
    <t>1. Revisar el código y los permisos del usuario de base de datos.
2. Crear un documento de prueba.</t>
  </si>
  <si>
    <t>La escritura se ejecuta por Service Layer; no hay escrituras directas sobre HANA.</t>
  </si>
  <si>
    <t>Envío solo con autorización registrada</t>
  </si>
  <si>
    <t>Documento que requiere autorización y no la tiene.</t>
  </si>
  <si>
    <t>1. Intentar enviarlo al ERP.</t>
  </si>
  <si>
    <t>El envío se bloquea hasta registrar la autorización.</t>
  </si>
  <si>
    <t>Validaciones y resultado de Service Layer</t>
  </si>
  <si>
    <t>Service Layer real o simulado.</t>
  </si>
  <si>
    <t>1. Enviar un documento válido.
2. Enviar uno con datos inválidos.</t>
  </si>
  <si>
    <t>Se registra el resultado exitoso del primero y el error de validación del segundo.</t>
  </si>
  <si>
    <t>Conservación del documento autorizado</t>
  </si>
  <si>
    <t>Documento autorizado.</t>
  </si>
  <si>
    <t>1. Enviar el documento.
2. Comparar lo enviado con lo autorizado.</t>
  </si>
  <si>
    <t>El documento enviado coincide exactamente con el autorizado.</t>
  </si>
  <si>
    <t>Registro del resultado de cada envío</t>
  </si>
  <si>
    <t>Envíos exitosos y fallidos realizados.</t>
  </si>
  <si>
    <t>1. Consultar el registro de operaciones.</t>
  </si>
  <si>
    <t>Cada envío muestra documento, resultado, identificador y mensaje de error.</t>
  </si>
  <si>
    <t>Mensajes de error comprensibles</t>
  </si>
  <si>
    <t>Envío fallido por error de SAP.</t>
  </si>
  <si>
    <t>1. Revisar el mensaje mostrado al usuario.</t>
  </si>
  <si>
    <t>El mensaje indica en lenguaje claro qué ocurrió y qué corregir.</t>
  </si>
  <si>
    <t>Reintento sin duplicados</t>
  </si>
  <si>
    <t>Envío fallido con líneas parcialmente creadas (simulado).</t>
  </si>
  <si>
    <t>1. Reintentar el envío.
2. Revisar el documento en el ERP.</t>
  </si>
  <si>
    <t>Se reutiliza el documento autorizado y no se duplican líneas ni resultados.</t>
  </si>
  <si>
    <t>Atomicidad ante error</t>
  </si>
  <si>
    <t>Error simulado a mitad de la operación.</t>
  </si>
  <si>
    <t>1. Ejecutar la operación con el error simulado.
2. Revisar la base de datos.</t>
  </si>
  <si>
    <t>La operación queda completa o no se registra; no hay registros parciales.</t>
  </si>
  <si>
    <t>Tipos de caso disponibles</t>
  </si>
  <si>
    <t>1. Abrir Posventa &gt; Nuevo caso.
2. Revisar los tipos disponibles.</t>
  </si>
  <si>
    <t>Están disponibles devolución, cambio, servicio técnico, producto faltante, desistimiento y nota de crédito.</t>
  </si>
  <si>
    <t>Registro de datos y documento de respaldo</t>
  </si>
  <si>
    <t>Cliente y guía de despacho de prueba.</t>
  </si>
  <si>
    <t>El caso se registra con todos sus datos y su documento de respaldo.</t>
  </si>
  <si>
    <t>Evidencias obligatorias y excepción</t>
  </si>
  <si>
    <t>Caso con guía de despacho y caso con factura de reserva.</t>
  </si>
  <si>
    <t>Acceso restringido a las evidencias</t>
  </si>
  <si>
    <t>Caso con evidencias; usuario no participante.</t>
  </si>
  <si>
    <t>1. Intentar abrir las evidencias con el usuario no participante.</t>
  </si>
  <si>
    <t>El acceso es denegado.</t>
  </si>
  <si>
    <t>Caso Pendiente con guía de despacho.</t>
  </si>
  <si>
    <t>1. Registrar la evaluación de producto, accesorios, manual y embalaje.</t>
  </si>
  <si>
    <t>Solo se aceptan los valores Excelente, Bueno, Regular, Malo o No aplica.</t>
  </si>
  <si>
    <t>Rechazo, corrección y reenvío</t>
  </si>
  <si>
    <t>Caso Pendiente.</t>
  </si>
  <si>
    <t>1. Intentar rechazar sin motivo.
2. Rechazar con motivo.
3. Como creador, corregir y reenviar.</t>
  </si>
  <si>
    <t>El rechazo exige motivo y el caso reenviado vuelve a Pendiente.</t>
  </si>
  <si>
    <t>Aprobación y liberación del QR</t>
  </si>
  <si>
    <t>Caso Pendiente; autorizador de posventa y otro usuario.</t>
  </si>
  <si>
    <t>1. Intentar aprobar con el otro usuario.
2. Aprobar con el autorizador de posventa.</t>
  </si>
  <si>
    <t>Solo el autorizador de posventa aprueba y se libera el comprobante QR.</t>
  </si>
  <si>
    <t>Descarga del comprobante y QR enviado</t>
  </si>
  <si>
    <t>Caso autorizado.</t>
  </si>
  <si>
    <t>1. Como solicitante, descargar el comprobante.
2. Verificar sus datos y el QR.
3. Marcar el caso como QR enviado al cliente.</t>
  </si>
  <si>
    <t>El comprobante contiene los datos del caso y el estado cambia a QR enviado.</t>
  </si>
  <si>
    <t>Flujo de estados con guía de despacho</t>
  </si>
  <si>
    <t>Caso con guía en estado Autorizado.</t>
  </si>
  <si>
    <t>1. Avanzar por QR enviado y Recepcionado.
2. Clasificar como stock o proveedor y continuar hasta el cierre.</t>
  </si>
  <si>
    <t>El caso recorre los estados definidos en el orden correcto.</t>
  </si>
  <si>
    <t>Ruta con factura de reserva</t>
  </si>
  <si>
    <t>Caso con factura de reserva en estado Pendiente.</t>
  </si>
  <si>
    <t>1. Resolver el caso.</t>
  </si>
  <si>
    <t>El caso no pasa por QR ni recepción y se resuelve por la ruta correspondiente.</t>
  </si>
  <si>
    <t>Notificaciones y observaciones en cada cambio</t>
  </si>
  <si>
    <t>Caso en curso.</t>
  </si>
  <si>
    <t>1. Cambiar el estado y registrar una observación.
2. Revisar las notificaciones del vendedor y del autorizador.</t>
  </si>
  <si>
    <t>Ambos reciben la notificación y la observación es visible para el vendedor.</t>
  </si>
  <si>
    <t>Cierre exclusivo y bloqueo posterior</t>
  </si>
  <si>
    <t>Caso listo para cierre.</t>
  </si>
  <si>
    <t>1. Intentar cerrarlo con un vendedor.
2. Cerrarlo con el autorizador registrando la resolución.
3. Intentar un nuevo cambio de estado.</t>
  </si>
  <si>
    <t>Solo el autorizador cierra el caso y, una vez cerrado, no acepta cambios.</t>
  </si>
  <si>
    <t>El sistema debe permitir asignar a cada usuario un área y un cargo, y configurar su rol mediante los grupos de autorizadores a los que pertenece y sus permisos directos.</t>
  </si>
  <si>
    <t>ERS v2.1 (Doc. 9) · Carta 7.1</t>
  </si>
  <si>
    <t>2.1</t>
  </si>
  <si>
    <t>El sistema debe restringir las funciones y los datos visibles según los permisos efectivos del usuario (directos, de su área y de su cargo) y los grupos de autorizadores a los que pertenece.</t>
  </si>
  <si>
    <t>El sistema debe permitir al administrador definir y modificar los permisos asociados a cada área y a cada cargo, además de los permisos directos de cada usuario.</t>
  </si>
  <si>
    <t>El sistema debe permitir definir los integrantes de los grupos de autorizadores de cada proceso (solicitudes de código, notas de venta, posventa y nota de crédito).</t>
  </si>
  <si>
    <t>El sistema debe permitir adjuntar a la solicitud de código el respaldo de la cotización, como documentos o imágenes de WhatsApp, y, en las solicitudes de creación, permitir adjuntar un documento y una imagen por cada producto solicitado.</t>
  </si>
  <si>
    <t>ERS v2.1 (Doc. 9) · Carta 7.2</t>
  </si>
  <si>
    <t>El administrador crea y edita usuarios con área y cargo obligatorios.</t>
  </si>
  <si>
    <t>Es posible modificar los integrantes de los grupos de cada proceso, siempre con al menos un integrante activo.</t>
  </si>
  <si>
    <t>Exige el respaldo de cotización según su tipo y permite, para creaciones, un documento y una imagen por producto en los formatos permitidos.</t>
  </si>
  <si>
    <t>Quien resuelve la solicitud queda registrado como responsable.</t>
  </si>
  <si>
    <t>El vendedor registra la evaluación de producto, accesorios, manual y embalaje al crear el caso y el autorizador puede ajustarla mientras el caso está Pendiente; solo se aceptan los valores definidos, salvo la excepción aplicable.</t>
  </si>
  <si>
    <t>Usuario activo con área y cargo asignados (datos ficticios).</t>
  </si>
  <si>
    <t>1. Revisar en la base de datos el campo de contraseña.
2. Dejar una sesión inactiva más de 30 minutos (o ajustar el tiempo en los datos de prueba).
3. Realizar un intento fallido y revisar el registro de auditoría.</t>
  </si>
  <si>
    <t>Sesión como administrador; existen áreas y cargos.</t>
  </si>
  <si>
    <t>1. Ir a Usuarios &gt; Nuevo.
2. Intentar guardar sin área o sin cargo, y con un cargo de otra área.
3. Completar los campos y guardar.
4. Editar el cargo del usuario.</t>
  </si>
  <si>
    <t>El sistema exige área y cargo, y que el cargo pertenezca al área; con datos completos el usuario se crea y la edición se guarda.</t>
  </si>
  <si>
    <t>1. Agregar un integrante al grupo de autorizadores de solicitudes de código.
2. Quitar y volver a agregar integrantes.
3. Intentar quitar o desactivar al último integrante activo.</t>
  </si>
  <si>
    <t>Los integrantes se modifican; el sistema impide dejar el grupo sin al menos un integrante activo.</t>
  </si>
  <si>
    <t>1. Como administrador, modificar los permisos de un área o de un cargo en Permisos por área y cargo.
2. Como no administrador, intentar modificar permisos o grupos.</t>
  </si>
  <si>
    <t>1. Intentar enviar sin tipo de cotización y sin respaldo.
2. Adjuntar un archivo con formato no permitido.
3. Adjuntar el respaldo exigido por el tipo de cotización (y, si se desea, documento e imagen por producto) y enviar.</t>
  </si>
  <si>
    <t>Se rechazan el envío sin tipo de cotización, sin respaldo o con formato no permitido; con el respaldo exigido la solicitud se envía.</t>
  </si>
  <si>
    <t>Registro del responsable al resolver la solicitud</t>
  </si>
  <si>
    <t>1. Resolver la solicitud desde la bandeja (aprobar, rechazar o pedir corrección).
2. Revisar su detalle y el listado.</t>
  </si>
  <si>
    <t>El usuario que la resolvió queda registrado como responsable (Atendida por) con fecha y comentario.</t>
  </si>
  <si>
    <t>Una cotización abierta y marcada como aceptada por el cliente en la plataforma («Marcar aceptada por el cliente»), y otra no aceptada o cerrada.</t>
  </si>
  <si>
    <t>Nota de venta con una línea bajo el margen mínimo.</t>
  </si>
  <si>
    <t>API en ejecución; usuario de HANA con solo SELECT sobre los esquemas de las empresas.</t>
  </si>
  <si>
    <t>1. Consultar productos mediante la API.
2. Verificar en HANA Studio los privilegios del usuario de la API (solo SELECT) y comprobar que una escritura por la conexión de la API es rechazada.</t>
  </si>
  <si>
    <t>La API responde en JSON; el usuario tiene solo privilegios de lectura y la conexión de la API rechaza la escritura (solo lectura forzada).</t>
  </si>
  <si>
    <t>1. Buscar el documento de respaldo (se completan cliente y empresa) e indicar los productos; el vendedor del caso es el usuario que lo registra.
2. Indicar guía de despacho o factura de reserva.
3. Guardar.</t>
  </si>
  <si>
    <t>1. Intentar guardar el caso con guía sin evidencias.
2. Guardar el caso con factura de reserva sin evidencias.
3. Adjuntar 4 evidencias a un caso con guía.
4. Adjuntar una evidencia de más de 25 MB.</t>
  </si>
  <si>
    <t>El primero exige evidencias; el segundo se guarda por la excepción. Con 4 evidencias se guardan las 3 primeras y se avisa cuál no se subió; con una evidencia de más de 25 MB (o de formato no permitido) la solicitud no se guarda y se indica qué archivo corregir.</t>
  </si>
  <si>
    <t>Asignación de área, cargo, grupos y permisos</t>
  </si>
  <si>
    <t>Restricción por permisos efectivos y grupos de autorizadores</t>
  </si>
  <si>
    <t>crear, editar, desactivar y reactivar usuarios asignándoles área, cargo, grupos de autorizadores y permisos directos</t>
  </si>
  <si>
    <t>definir permisos por área, por cargo y directos por usuario, además de los integrantes de los grupos de autorizadores de cada proceso</t>
  </si>
  <si>
    <t>aprobar, rechazar o pedir corrección de una solicitud de la bandeja compartida</t>
  </si>
  <si>
    <t>Toda orden requiere autorización previa y, si alguna línea tiene un margen inferior al mínimo definido, también la de Gerencia.</t>
  </si>
  <si>
    <t>Creación y edición de usuario con área y cargo</t>
  </si>
  <si>
    <t>Gestión de integrantes de los grupos de autorizadores de cada proceso</t>
  </si>
  <si>
    <t>Autorización previa con línea bajo el margen mínimo</t>
  </si>
  <si>
    <t xml:space="preserve">Coincide con el resultado esperado.</t>
  </si>
  <si>
    <t xml:space="preserve">Aprobado</t>
  </si>
  <si>
    <t xml:space="preserve">Prueba automatizada: usuarios/tests · IngresoTests.test_con_credenciales_validas_entra_al_panel, .test_el_menu_muestra_solo_sus_opciones</t>
  </si>
  <si>
    <t xml:space="preserve">02/10/2026</t>
  </si>
  <si>
    <t xml:space="preserve">Prueba automatizada: usuarios/tests · IngresoTests.test_con_contrasena_incorrecta_no_entra_y_avisa; tests_accesos · IngresoYAuditoriaTests.test_el_usuario_desactivado_no_entra_y_se_audita</t>
  </si>
  <si>
    <t xml:space="preserve">Prueba automatizada: tests_accesos · ContrasenaConHashTests; ExpiracionPorInactividadTests (7); IngresoYAuditoriaTests.test_un_intento_fallido_queda_registrado_sin_la_contrasena; PantallaRegistroAccesosTests.test_filtra_los_intentos_fallidos</t>
  </si>
  <si>
    <t xml:space="preserve">Prueba automatizada: tests_accesos · AreaYCargoObligatoriosTests (4)</t>
  </si>
  <si>
    <t xml:space="preserve">Prueba automatizada: tests_accesos · OperacionesDelAdministradorTests.test_desactivar_y_reactivar_conserva_la_cuenta_y_su_historial</t>
  </si>
  <si>
    <t xml:space="preserve">Prueba automatizada: tests_accesos · OperacionesDelAdministradorTests.test_el_vendedor_recibe_acceso_denegado_por_url_directa; IngresoYAuditoriaTests.test_el_usuario_desactivado_no_entra_y_se_audita</t>
  </si>
  <si>
    <t xml:space="preserve">Prueba automatizada: permisos/tests · PermisosEfectivosTests.test_suma_los_tres_caminos; PermisosPorAreaYCargoPantallaTests.test_quitar_el_permiso_del_area_se_lo_quita_a_sus_usuarios</t>
  </si>
  <si>
    <t xml:space="preserve">Prueba automatizada: permisos/tests · PermisoRequeridoTests, ReglaRequeridaTests; sap/tests_acceso_modulos (17)</t>
  </si>
  <si>
    <t xml:space="preserve">Prueba automatizada: tests_accesos · GruposConIntegranteActivoTests (6)</t>
  </si>
  <si>
    <t xml:space="preserve">Prueba automatizada: permisos/tests · PermisosPorAreaYCargoPantallaTests (5)</t>
  </si>
  <si>
    <t xml:space="preserve">Prueba automatizada: tests_errores_formulario · ErroresVisiblesTests.test_un_slpcode_de_marsella_y_otro_de_asland_en_el_mismo_guardado; tests_multiempresa · CodigosPorBaseTests</t>
  </si>
  <si>
    <t xml:space="preserve">Prueba automatizada: tests_errores_formulario · EscalaEfectivaDelVendedorTests.test_asignada_o_predeterminada; tests_vendedores · ComisionSigueAlVendedorTests</t>
  </si>
  <si>
    <t xml:space="preserve">Prueba automatizada: tests_multiempresa · BarraDeEmpresaTests.test_quien_tiene_una_sola_empresa_ve_la_barra_fija, .test_quien_tiene_dos_puede_cambiar</t>
  </si>
  <si>
    <t xml:space="preserve">Prueba automatizada: tests_multiempresa · BarraDeEmpresaTests.test_al_cambiar_de_empresa_cambia_lo_que_pinta_la_pagina, EmpresaActivaTests; tests_solicitudes_codigo · EmpresaActivaTests (4)</t>
  </si>
  <si>
    <t xml:space="preserve">Prueba automatizada: tests_solicitudes_codigo · EmpresaActivaTests (4); CrearSolicitudTests.test_nuevo_articulo_con_dos_productos_y_adjuntos</t>
  </si>
  <si>
    <t xml:space="preserve">Prueba automatizada: tests_solicitudes_codigo · CrearSolicitudTests.test_nuevo_articulo_con_dos_productos_y_adjuntos; RespaldoYAdjuntosTests.test_activacion_sin_codigo_no_se_envia</t>
  </si>
  <si>
    <t xml:space="preserve">Prueba automatizada: tests_solicitudes_codigo · RespaldoYAdjuntosTests (7); SinRegistrosParcialesTests.test_si_falla_la_subida_de_un_archivo_no_queda_nada</t>
  </si>
  <si>
    <t xml:space="preserve">Prueba automatizada: tests_solicitudes_codigo · BandejasTests.test_recibidas_muestra_las_pendientes_por_defecto, .test_quien_no_es_autorizador_no_ve_la_bandeja_de_recibidas</t>
  </si>
  <si>
    <t xml:space="preserve">Prueba automatizada: tests_solicitudes_codigo · SeguimientoYAccesoTests.test_un_autorizador_de_otro_grupo_no_abre_la_solicitud; RechazoYReenvioTests.test_quien_no_revisa_no_puede_responder</t>
  </si>
  <si>
    <t xml:space="preserve">Prueba automatizada: tests_solicitudes_codigo · CorreccionTests.test_pedir_correccion_la_devuelve_al_solicitante; SeguimientoYAccesoTests.test_aprobada_registra_responsable_fecha_y_comentario_y_no_se_edita</t>
  </si>
  <si>
    <t xml:space="preserve">Prueba automatizada: tests_solicitudes_codigo · RechazoYReenvioTests.test_rechazar_exige_motivo, .test_rechazar_con_motivo_avisa_al_solicitante</t>
  </si>
  <si>
    <t xml:space="preserve">Prueba automatizada: tests_solicitudes_codigo · SeguimientoYAccesoTests.test_aprobada_registra_responsable_fecha_y_comentario_y_no_se_edita</t>
  </si>
  <si>
    <t xml:space="preserve">Prueba automatizada: tests_solicitudes_codigo · CorreccionTests.test_solo_el_solicitante_puede_corregir</t>
  </si>
  <si>
    <t xml:space="preserve">Prueba automatizada: tests_solicitudes_codigo · RechazoYReenvioTests.test_reenviar_una_rechazada_la_deja_pendiente; CorreccionTests.test_el_solicitante_corrige_y_vuelve_a_pendiente, .test_al_reenviar_corregida_avisa_de_nuevo_a_los_autorizadores</t>
  </si>
  <si>
    <t xml:space="preserve">Prueba automatizada: tests_solicitudes_codigo · SeguimientoYAccesoTests.test_el_listado_y_el_detalle_muestran_responsable_fecha_y_comentario</t>
  </si>
  <si>
    <t xml:space="preserve">Prueba automatizada: tests_solicitudes_codigo · FiltrosDeBandejasTests (6)</t>
  </si>
  <si>
    <t xml:space="preserve">Prueba automatizada: tests_solicitudes_codigo · CrearSolicitudTests.test_avisa_a_los_autorizadores_y_no_a_quien_la_envia; notificaciones/tests · AutorizadoresQuerysetTests; tests_recordatorios · RecordatorioSolicitudCodigoTests.test_no_avisa_a_quien_no_es_del_grupo</t>
  </si>
  <si>
    <t xml:space="preserve">Prueba automatizada: notificaciones/tests · ContenidoYAccionesTests.test_el_json_trae_categoria_emisor_nivel_y_enlace, .test_la_pagina_muestra_emisor_nivel_y_acciones, .test_sin_emisor_la_envia_el_sistema</t>
  </si>
  <si>
    <t xml:space="preserve">Prueba automatizada: tests_recordatorios (12): RecordatorioSolicitudCodigoTests (7), RecordatorioNotaDeVentaTests, RecordatorioPosventaTests (2), ComandoSinPendientesTests (2)</t>
  </si>
  <si>
    <t xml:space="preserve">Prueba automatizada: notificaciones/tests · CampanaTests.test_no_se_ven_las_de_otra_persona; ContenidoYAccionesTests.test_no_se_abre_la_de_otra_persona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</si>
</sst>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000000"/>
      <name val="Aptos"/>
    </font>
    <font>
      <i/>
      <sz val="10"/>
      <color rgb="FF5F6B73"/>
      <name val="Aptos"/>
    </font>
    <font>
      <b/>
      <sz val="10"/>
      <color rgb="FF1F2937"/>
      <name val="Aptos"/>
    </font>
    <font>
      <b/>
      <sz val="10"/>
      <color rgb="FFFFFFFF"/>
      <name val="Aptos"/>
    </font>
    <font>
      <sz val="10"/>
      <color rgb="FF1F2937"/>
      <name val="Aptos"/>
    </font>
    <font>
      <sz val="11"/>
      <name val="Aptos"/>
    </font>
  </fonts>
  <fills count="7">
    <fill>
      <patternFill patternType="none"/>
    </fill>
    <fill>
      <patternFill patternType="gray125"/>
    </fill>
    <fill>
      <patternFill patternType="solid">
        <fgColor rgb="FFDDEBF7"/>
      </patternFill>
    </fill>
    <fill>
      <patternFill patternType="solid">
        <fgColor rgb="FFEEF5FA"/>
      </patternFill>
    </fill>
    <fill>
      <patternFill patternType="solid">
        <fgColor rgb="FF1F4E78"/>
      </patternFill>
    </fill>
    <fill>
      <patternFill patternType="solid">
        <fgColor rgb="FFFFFFFF"/>
      </patternFill>
    </fill>
    <fill>
      <patternFill patternType="solid">
        <fgColor rgb="FFFFF2CC"/>
      </patternFill>
    </fill>
  </fills>
  <borders count="3">
    <border>
      <left/>
      <right/>
      <top/>
      <bottom/>
      <diagonal/>
    </border>
    <border>
      <left/>
      <right/>
      <top/>
      <bottom style="thin">
        <color rgb="FF5B9BD5"/>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3" fillId="2" borderId="0" xfId="0" applyFont="1" applyFill="1"/>
    <xf numFmtId="0" fontId="3" fillId="3" borderId="2" xfId="0" applyFont="1" applyFill="1" applyBorder="1" applyAlignment="1">
      <alignment horizontal="center"/>
    </xf>
    <xf numFmtId="0" fontId="4" fillId="4" borderId="2" xfId="0" applyFont="1" applyFill="1" applyBorder="1" applyAlignment="1">
      <alignment horizontal="center" vertical="center" wrapText="1"/>
    </xf>
    <xf numFmtId="0" fontId="5" fillId="6" borderId="2" xfId="0" applyFont="1" applyFill="1" applyBorder="1" applyAlignment="1">
      <alignment vertical="center" wrapText="1"/>
    </xf>
    <xf numFmtId="0" fontId="5" fillId="3" borderId="2" xfId="0" applyFont="1" applyFill="1" applyBorder="1" applyAlignment="1">
      <alignment vertical="center" wrapText="1"/>
    </xf>
    <xf numFmtId="0" fontId="5" fillId="5"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2" borderId="2" xfId="0" applyFont="1" applyFill="1" applyBorder="1" applyAlignment="1">
      <alignment vertical="center" wrapText="1"/>
    </xf>
    <xf numFmtId="0" fontId="5" fillId="2" borderId="2" xfId="0" applyFont="1" applyFill="1" applyBorder="1" applyAlignment="1">
      <alignment horizontal="center" vertical="center" wrapText="1"/>
    </xf>
    <xf numFmtId="0" fontId="5" fillId="6" borderId="2" xfId="0" applyFont="1" applyFill="1" applyBorder="1" applyAlignment="1">
      <alignment vertical="top" wrapText="1"/>
    </xf>
    <xf numFmtId="0" fontId="5" fillId="3" borderId="2" xfId="0" applyFont="1" applyFill="1" applyBorder="1" applyAlignment="1">
      <alignment vertical="top" wrapText="1"/>
    </xf>
    <xf numFmtId="14" fontId="5" fillId="6" borderId="2" xfId="0" applyNumberFormat="1" applyFont="1" applyFill="1" applyBorder="1" applyAlignment="1">
      <alignment vertical="center" wrapText="1"/>
    </xf>
    <xf numFmtId="0" fontId="6" fillId="0" borderId="0" xfId="0" applyFont="1"/>
    <xf numFmtId="0" fontId="6" fillId="0" borderId="1" xfId="0" applyFont="1" applyBorder="1"/>
    <xf numFmtId="0" fontId="5" fillId="6" borderId="2" xfId="0" quotePrefix="1" applyFont="1" applyFill="1" applyBorder="1" applyAlignment="1">
      <alignment vertical="center" wrapText="1"/>
    </xf>
    <xf numFmtId="0" fontId="1" fillId="0" borderId="0" xfId="0" applyFont="1" applyAlignment="1">
      <alignment vertical="center"/>
    </xf>
    <xf numFmtId="0" fontId="0" fillId="0" borderId="0" xfId="0"/>
    <xf numFmtId="0" fontId="2" fillId="0" borderId="0" xfId="0" applyFont="1" applyAlignment="1">
      <alignment wrapText="1"/>
    </xf>
  </cellXfs>
  <cellStyles count="1">
    <cellStyle name="Normal" xfId="0" builtinId="0"/>
  </cellStyles>
  <dxfs count="6">
    <dxf>
      <font>
        <b/>
        <color rgb="FF9C0006"/>
      </font>
      <fill>
        <patternFill patternType="solid">
          <bgColor rgb="FFFCE8E6"/>
        </patternFill>
      </fill>
    </dxf>
    <dxf>
      <font>
        <b/>
        <color rgb="FF375623"/>
      </font>
      <fill>
        <patternFill patternType="solid">
          <bgColor rgb="FFE2F0D9"/>
        </patternFill>
      </fill>
    </dxf>
    <dxf>
      <font>
        <b/>
        <color rgb="FF9C0006"/>
      </font>
      <fill>
        <patternFill patternType="solid">
          <bgColor rgb="FFFCE8E6"/>
        </patternFill>
      </fill>
    </dxf>
    <dxf>
      <font>
        <b/>
        <color rgb="FF9C0006"/>
      </font>
      <fill>
        <patternFill patternType="solid">
          <bgColor rgb="FFFCE8E6"/>
        </patternFill>
      </fill>
    </dxf>
    <dxf>
      <font>
        <b/>
        <color rgb="FF7F6000"/>
      </font>
      <fill>
        <patternFill patternType="solid">
          <bgColor rgb="FFFFF2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eabilityMatrixTable" displayName="TraceabilityMatrixTable" ref="A7:R85" totalsRowShown="0">
  <tableColumns count="18">
    <tableColumn id="1" xr3:uid="{00000000-0010-0000-0000-000001000000}" name="N.º"/>
    <tableColumn id="2" xr3:uid="{00000000-0010-0000-0000-000002000000}" name="Estado de trazabilidad"/>
    <tableColumn id="3" xr3:uid="{00000000-0010-0000-0000-000003000000}" name="ID Objetivo"/>
    <tableColumn id="4" xr3:uid="{00000000-0010-0000-0000-000004000000}" name="Objetivo"/>
    <tableColumn id="5" xr3:uid="{00000000-0010-0000-0000-000005000000}" name="ID Proceso"/>
    <tableColumn id="6" xr3:uid="{00000000-0010-0000-0000-000006000000}" name="Proceso / Módulo"/>
    <tableColumn id="7" xr3:uid="{00000000-0010-0000-0000-000007000000}" name="ID Requerimiento"/>
    <tableColumn id="8" xr3:uid="{00000000-0010-0000-0000-000008000000}" name="Requerimiento"/>
    <tableColumn id="9" xr3:uid="{00000000-0010-0000-0000-000009000000}" name="ID HU"/>
    <tableColumn id="10" xr3:uid="{00000000-0010-0000-0000-00000A000000}" name="Historia de usuario"/>
    <tableColumn id="11" xr3:uid="{00000000-0010-0000-0000-00000B000000}" name="ID Criterio"/>
    <tableColumn id="12" xr3:uid="{00000000-0010-0000-0000-00000C000000}" name="Criterio de aceptación"/>
    <tableColumn id="13" xr3:uid="{00000000-0010-0000-0000-00000D000000}" name="ID Caso de prueba"/>
    <tableColumn id="14" xr3:uid="{00000000-0010-0000-0000-00000E000000}" name="Caso / Escenario"/>
    <tableColumn id="15" xr3:uid="{00000000-0010-0000-0000-00000F000000}" name="Estado prueba"/>
    <tableColumn id="16" xr3:uid="{00000000-0010-0000-0000-000010000000}" name="ID Evidencia"/>
    <tableColumn id="17" xr3:uid="{00000000-0010-0000-0000-000011000000}" name="Evidencia / Enlace"/>
    <tableColumn id="18" xr3:uid="{00000000-0010-0000-0000-000012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bjectivesProcessesTable" displayName="ObjectivesProcessesTable" ref="A5:H35" totalsRowShown="0">
  <tableColumns count="8">
    <tableColumn id="1" xr3:uid="{00000000-0010-0000-0100-000001000000}" name="ID Objetivo"/>
    <tableColumn id="2" xr3:uid="{00000000-0010-0000-0100-000002000000}" name="Objetivo"/>
    <tableColumn id="3" xr3:uid="{00000000-0010-0000-0100-000003000000}" name="ID Proceso"/>
    <tableColumn id="4" xr3:uid="{00000000-0010-0000-0100-000004000000}" name="Proceso"/>
    <tableColumn id="5" xr3:uid="{00000000-0010-0000-0100-000005000000}" name="Módulo"/>
    <tableColumn id="6" xr3:uid="{00000000-0010-0000-0100-000006000000}" name="Indicador / Resultado esperado"/>
    <tableColumn id="7" xr3:uid="{00000000-0010-0000-0100-000007000000}" name="Responsable"/>
    <tableColumn id="8" xr3:uid="{00000000-0010-0000-0100-000008000000}" name="Est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quirementsTable" displayName="RequirementsTable" ref="A5:M43" totalsRowShown="0">
  <tableColumns count="13">
    <tableColumn id="1" xr3:uid="{00000000-0010-0000-0200-000001000000}" name="ID Requerimiento"/>
    <tableColumn id="2" xr3:uid="{00000000-0010-0000-0200-000002000000}" name="ID Objetivo"/>
    <tableColumn id="3" xr3:uid="{00000000-0010-0000-0200-000003000000}" name="ID Proceso"/>
    <tableColumn id="4" xr3:uid="{00000000-0010-0000-0200-000004000000}" name="Tipo"/>
    <tableColumn id="5" xr3:uid="{00000000-0010-0000-0200-000005000000}" name="Módulo"/>
    <tableColumn id="6" xr3:uid="{00000000-0010-0000-0200-000006000000}" name="Nombre corto"/>
    <tableColumn id="7" xr3:uid="{00000000-0010-0000-0200-000007000000}" name="Descripción"/>
    <tableColumn id="8" xr3:uid="{00000000-0010-0000-0200-000008000000}" name="Fuente"/>
    <tableColumn id="9" xr3:uid="{00000000-0010-0000-0200-000009000000}" name="Prioridad"/>
    <tableColumn id="10" xr3:uid="{00000000-0010-0000-0200-00000A000000}" name="Dependencias"/>
    <tableColumn id="11" xr3:uid="{00000000-0010-0000-0200-00000B000000}" name="Estado"/>
    <tableColumn id="12" xr3:uid="{00000000-0010-0000-0200-00000C000000}" name="Responsable"/>
    <tableColumn id="13" xr3:uid="{00000000-0010-0000-0200-00000D000000}" name="Versió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oriesCriteriaTable" displayName="StoriesCriteriaTable" ref="A5:P83" totalsRowShown="0">
  <tableColumns count="16">
    <tableColumn id="1" xr3:uid="{00000000-0010-0000-0300-000001000000}" name="ID Criterio"/>
    <tableColumn id="2" xr3:uid="{00000000-0010-0000-0300-000002000000}" name="ID HU"/>
    <tableColumn id="3" xr3:uid="{00000000-0010-0000-0300-000003000000}" name="ID Requerimiento"/>
    <tableColumn id="4" xr3:uid="{00000000-0010-0000-0300-000004000000}" name="ID Épica"/>
    <tableColumn id="5" xr3:uid="{00000000-0010-0000-0300-000005000000}" name="Funcionalidad"/>
    <tableColumn id="6" xr3:uid="{00000000-0010-0000-0300-000006000000}" name="Título HU"/>
    <tableColumn id="7" xr3:uid="{00000000-0010-0000-0300-000007000000}" name="Como"/>
    <tableColumn id="8" xr3:uid="{00000000-0010-0000-0300-000008000000}" name="Quiero"/>
    <tableColumn id="9" xr3:uid="{00000000-0010-0000-0300-000009000000}" name="Para"/>
    <tableColumn id="10" xr3:uid="{00000000-0010-0000-0300-00000A000000}" name="Historia completa"/>
    <tableColumn id="11" xr3:uid="{00000000-0010-0000-0300-00000B000000}" name="Criterio de aceptación"/>
    <tableColumn id="12" xr3:uid="{00000000-0010-0000-0300-00000C000000}" name="Prioridad"/>
    <tableColumn id="13" xr3:uid="{00000000-0010-0000-0300-00000D000000}" name="Estimación SP"/>
    <tableColumn id="14" xr3:uid="{00000000-0010-0000-0300-00000E000000}" name="Sprint"/>
    <tableColumn id="15" xr3:uid="{00000000-0010-0000-0300-00000F000000}" name="Estado"/>
    <tableColumn id="16" xr3:uid="{00000000-0010-0000-0300-000010000000}" name="Responsab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tsEvidenceTable" displayName="TestsEvidenceTable" ref="A5:O83" totalsRowShown="0">
  <tableColumns count="15">
    <tableColumn id="1" xr3:uid="{00000000-0010-0000-0400-000001000000}" name="ID Caso prueba"/>
    <tableColumn id="2" xr3:uid="{00000000-0010-0000-0400-000002000000}" name="ID Criterio"/>
    <tableColumn id="3" xr3:uid="{00000000-0010-0000-0400-000003000000}" name="ID HU"/>
    <tableColumn id="4" xr3:uid="{00000000-0010-0000-0400-000004000000}" name="ID Requerimiento"/>
    <tableColumn id="5" xr3:uid="{00000000-0010-0000-0400-000005000000}" name="Caso / Escenario"/>
    <tableColumn id="6" xr3:uid="{00000000-0010-0000-0400-000006000000}" name="Precondiciones"/>
    <tableColumn id="7" xr3:uid="{00000000-0010-0000-0400-000007000000}" name="Pasos"/>
    <tableColumn id="8" xr3:uid="{00000000-0010-0000-0400-000008000000}" name="Resultado esperado"/>
    <tableColumn id="9" xr3:uid="{00000000-0010-0000-0400-000009000000}" name="Resultado obtenido"/>
    <tableColumn id="10" xr3:uid="{00000000-0010-0000-0400-00000A000000}" name="Estado prueba"/>
    <tableColumn id="11" xr3:uid="{00000000-0010-0000-0400-00000B000000}" name="ID Evidencia"/>
    <tableColumn id="12" xr3:uid="{00000000-0010-0000-0400-00000C000000}" name="Evidencia / Enlace / Ruta"/>
    <tableColumn id="13" xr3:uid="{00000000-0010-0000-0400-00000D000000}" name="Fecha"/>
    <tableColumn id="14" xr3:uid="{00000000-0010-0000-0400-00000E000000}" name="Responsable"/>
    <tableColumn id="15" xr3:uid="{00000000-0010-0000-0400-00000F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R85"/>
  <sheetViews>
    <sheetView showGridLines="0" tabSelected="1" workbookViewId="0">
      <pane xSplit="2" ySplit="7" topLeftCell="C8" activePane="bottomRight" state="frozen"/>
      <selection pane="topRight"/>
      <selection pane="bottomLeft"/>
      <selection pane="bottomRight" activeCell="C8" sqref="C8"/>
    </sheetView>
  </sheetViews>
  <sheetFormatPr baseColWidth="10" defaultColWidth="9" defaultRowHeight="14.25"/>
  <cols>
    <col min="1" max="1" width="7" customWidth="1"/>
    <col min="2" max="2" width="24" customWidth="1"/>
    <col min="3" max="3" width="12" customWidth="1"/>
    <col min="4" max="4" width="28" customWidth="1"/>
    <col min="5" max="5" width="12" customWidth="1"/>
    <col min="6" max="6" width="30" customWidth="1"/>
    <col min="7" max="7" width="15" customWidth="1"/>
    <col min="8" max="8" width="34" customWidth="1"/>
    <col min="9" max="9" width="11" customWidth="1"/>
    <col min="10" max="10" width="38" customWidth="1"/>
    <col min="11" max="11" width="12" customWidth="1"/>
    <col min="12" max="12" width="38" customWidth="1"/>
    <col min="13" max="13" width="15" customWidth="1"/>
    <col min="14" max="14" width="30" customWidth="1"/>
    <col min="15" max="15" width="15" customWidth="1"/>
    <col min="16" max="16" width="13" customWidth="1"/>
    <col min="17" max="18" width="28" customWidth="1"/>
  </cols>
  <sheetData>
    <row r="2" spans="1:18" ht="27.95" customHeight="1">
      <c r="A2" s="17" t="s">
        <v>0</v>
      </c>
      <c r="B2" s="18"/>
      <c r="C2" s="18"/>
      <c r="D2" s="18"/>
      <c r="E2" s="18"/>
      <c r="F2" s="18"/>
      <c r="G2" s="18"/>
      <c r="H2" s="18"/>
      <c r="I2" s="18"/>
      <c r="J2" s="18"/>
      <c r="K2" s="18"/>
      <c r="L2" s="18"/>
      <c r="M2" s="18"/>
      <c r="N2" s="18"/>
      <c r="O2" s="18"/>
      <c r="P2" s="18"/>
      <c r="Q2" s="18"/>
      <c r="R2" s="18"/>
    </row>
    <row r="3" spans="1:18" ht="15">
      <c r="A3" s="15"/>
      <c r="B3" s="15"/>
      <c r="C3" s="15"/>
      <c r="D3" s="15"/>
      <c r="E3" s="15"/>
      <c r="F3" s="15"/>
      <c r="G3" s="15"/>
      <c r="H3" s="15"/>
      <c r="I3" s="15"/>
      <c r="J3" s="15"/>
      <c r="K3" s="15"/>
      <c r="L3" s="15"/>
      <c r="M3" s="15"/>
      <c r="N3" s="15"/>
      <c r="O3" s="15"/>
      <c r="P3" s="15"/>
      <c r="Q3" s="15"/>
      <c r="R3" s="15"/>
    </row>
    <row r="4" spans="1:18" ht="27.95" customHeight="1">
      <c r="A4" s="19" t="s">
        <v>1</v>
      </c>
      <c r="B4" s="18"/>
      <c r="C4" s="18"/>
      <c r="D4" s="18"/>
      <c r="E4" s="18"/>
      <c r="F4" s="18"/>
      <c r="G4" s="18"/>
      <c r="H4" s="18"/>
      <c r="I4" s="18"/>
      <c r="J4" s="18"/>
      <c r="K4" s="18"/>
      <c r="L4" s="18"/>
      <c r="M4" s="18"/>
      <c r="N4" s="18"/>
      <c r="O4" s="18"/>
      <c r="P4" s="18"/>
      <c r="Q4" s="18"/>
      <c r="R4" s="18"/>
    </row>
    <row r="5" spans="1:18" ht="15">
      <c r="A5" s="1" t="s">
        <v>2</v>
      </c>
      <c r="B5" s="2" t="s">
        <v>3</v>
      </c>
      <c r="C5" s="2">
        <f>COUNTIF(G8:G85,"?*")</f>
        <v>78</v>
      </c>
      <c r="D5" s="2" t="s">
        <v>4</v>
      </c>
      <c r="E5" s="2">
        <f>COUNTIF(B8:B85,"Trazabilidad completa")</f>
        <v>0</v>
      </c>
      <c r="F5" s="2" t="s">
        <v>5</v>
      </c>
      <c r="G5" s="2">
        <f>COUNTIF(G8:G85,"?*")-COUNTIF(B8:B85,"Trazabilidad completa")</f>
        <v>78</v>
      </c>
      <c r="H5" s="2" t="s">
        <v>6</v>
      </c>
      <c r="I5" s="2">
        <f>COUNTIF(O8:O85,"Aprobado")</f>
        <v>0</v>
      </c>
      <c r="J5" s="2" t="s">
        <v>7</v>
      </c>
      <c r="K5" s="2">
        <f>COUNTIF(O8:O85,"Fallido")</f>
        <v>0</v>
      </c>
      <c r="L5" s="14"/>
      <c r="M5" s="14"/>
      <c r="N5" s="14"/>
      <c r="O5" s="14"/>
      <c r="P5" s="14"/>
      <c r="Q5" s="14"/>
      <c r="R5" s="14"/>
    </row>
    <row r="6" spans="1:18" ht="15">
      <c r="A6" s="14"/>
      <c r="B6" s="14"/>
      <c r="C6" s="14"/>
      <c r="D6" s="14"/>
      <c r="E6" s="14"/>
      <c r="F6" s="14"/>
      <c r="G6" s="14"/>
      <c r="H6" s="14"/>
      <c r="I6" s="14"/>
      <c r="J6" s="14"/>
      <c r="K6" s="14"/>
      <c r="L6" s="14"/>
      <c r="M6" s="14"/>
      <c r="N6" s="14"/>
      <c r="O6" s="14"/>
      <c r="P6" s="14"/>
      <c r="Q6" s="14"/>
      <c r="R6" s="14"/>
    </row>
    <row r="7" spans="1:18" ht="38.1" customHeight="1">
      <c r="A7" s="3" t="s">
        <v>8</v>
      </c>
      <c r="B7" s="3" t="s">
        <v>9</v>
      </c>
      <c r="C7" s="3" t="s">
        <v>10</v>
      </c>
      <c r="D7" s="3" t="s">
        <v>11</v>
      </c>
      <c r="E7" s="3" t="s">
        <v>12</v>
      </c>
      <c r="F7" s="3" t="s">
        <v>13</v>
      </c>
      <c r="G7" s="3" t="s">
        <v>14</v>
      </c>
      <c r="H7" s="3" t="s">
        <v>15</v>
      </c>
      <c r="I7" s="3" t="s">
        <v>16</v>
      </c>
      <c r="J7" s="3" t="s">
        <v>17</v>
      </c>
      <c r="K7" s="3" t="s">
        <v>18</v>
      </c>
      <c r="L7" s="3" t="s">
        <v>19</v>
      </c>
      <c r="M7" s="3" t="s">
        <v>20</v>
      </c>
      <c r="N7" s="3" t="s">
        <v>21</v>
      </c>
      <c r="O7" s="3" t="s">
        <v>22</v>
      </c>
      <c r="P7" s="3" t="s">
        <v>23</v>
      </c>
      <c r="Q7" s="3" t="s">
        <v>24</v>
      </c>
      <c r="R7" s="3" t="s">
        <v>25</v>
      </c>
    </row>
    <row r="8" spans="1:18" ht="62.1" customHeight="1">
      <c r="A8" s="6">
        <v>1</v>
      </c>
      <c r="B8" s="5" t="str">
        <f>IF($G8="","",IF($K8="","Falta criterio",IFERROR(IF(VLOOKUP($K8,'Historias y criterios'!$A$6:$P$83,3,FALSE)&lt;&gt;$G8,"Revisar relación requisito-criterio",IF($M8="","Falta caso de prueba",IF(VLOOKUP($M8,'Casos y evidencias'!$A$6:$O$83,2,FALSE)&lt;&gt;$K8,"Revisar relación criterio-caso",IF($O8="Aprobado",IF($P8="","Falta evidencia","Trazabilidad completa"),IF($O8="Fallido","Prueba fallida",IF($O8="Bloqueado","Prueba bloqueada","Prueba pendiente")))))),"ID no encontrado")))</f>
        <v>Prueba pendiente</v>
      </c>
      <c r="C8" s="7" t="str">
        <f>IF($G8="","",IFERROR(IF(VLOOKUP($G8,Requerimientos!$A$6:$M$43,2,FALSE)="","",VLOOKUP($G8,Requerimientos!$A$6:$M$43,2,FALSE)),"ID no encontrado"))</f>
        <v>OBJ-001</v>
      </c>
      <c r="D8" s="5" t="str">
        <f>IF($C8="","",IFERROR(IF(VLOOKUP($C8,'Objetivos y procesos'!$A$6:$H$35,2,FALSE)="","",VLOOKUP($C8,'Objetivos y procesos'!$A$6:$H$35,2,FALSE)),"ID no encontrado"))</f>
        <v>Proteger la plataforma y asegurar que cada usuario opere con el perfil, empresa y vendedor correctos.</v>
      </c>
      <c r="E8" s="7" t="str">
        <f>IF($G8="","",IFERROR(IF(VLOOKUP($G8,Requerimientos!$A$6:$M$43,3,FALSE)="","",VLOOKUP($G8,Requerimientos!$A$6:$M$43,3,FALSE)),"ID no encontrado"))</f>
        <v>PR-01</v>
      </c>
      <c r="F8" s="5" t="str">
        <f>IF($E8="","",IFERROR(IF(INDEX('Objetivos y procesos'!$D$6:$D$35,MATCH($E8,'Objetivos y procesos'!$C$6:$C$35,0))="","",IF(INDEX('Objetivos y procesos'!$D$6:$D$35,MATCH($E8,'Objetivos y procesos'!$C$6:$C$35,0))=INDEX('Objetivos y procesos'!$E$6:$E$35,MATCH($E8,'Objetivos y procesos'!$C$6:$C$35,0)),INDEX('Objetivos y procesos'!$D$6:$D$35,MATCH($E8,'Objetivos y procesos'!$C$6:$C$35,0)),INDEX('Objetivos y procesos'!$D$6:$D$35,MATCH($E8,'Objetivos y procesos'!$C$6:$C$35,0))&amp;IF(INDEX('Objetivos y procesos'!$E$6:$E$35,MATCH($E8,'Objetivos y procesos'!$C$6:$C$35,0))="",""," / "&amp;INDEX('Objetivos y procesos'!$E$6:$E$35,MATCH($E8,'Objetivos y procesos'!$C$6:$C$35,0))))),"ID no encontrado"))</f>
        <v>Gestión de usuarios, roles y permisos</v>
      </c>
      <c r="G8" s="8" t="s">
        <v>26</v>
      </c>
      <c r="H8" s="5" t="str">
        <f>IF($G8="","",IFERROR(IF(VLOOKUP($G8,Requerimientos!$A$6:$M$43,7,FALSE)="","",VLOOKUP($G8,Requerimientos!$A$6:$M$43,7,FALSE)),"ID no encontrado"))</f>
        <v>El sistema debe permitir que un usuario se autentique mediante usuario y contraseña.</v>
      </c>
      <c r="I8" s="7" t="str">
        <f>IF($K8="","",IFERROR(IF(VLOOKUP($K8,'Historias y criterios'!$A$6:$P$83,2,FALSE)="","",VLOOKUP($K8,'Historias y criterios'!$A$6:$P$83,2,FALSE)),"ID no encontrado"))</f>
        <v>HU-001</v>
      </c>
      <c r="J8" s="5" t="str">
        <f>IF($K8="","",IFERROR(IF(VLOOKUP($K8,'Historias y criterios'!$A$6:$P$83,10,FALSE)="","",VLOOKUP($K8,'Historias y criterios'!$A$6:$P$83,10,FALSE)),"ID no encontrado"))</f>
        <v>Como usuario habilitado, quiero iniciar sesión de forma segura y mantener una sesión controlada, para acceder únicamente a las funciones autorizadas</v>
      </c>
      <c r="K8" s="8" t="s">
        <v>27</v>
      </c>
      <c r="L8" s="5" t="str">
        <f>IF($K8="","",IFERROR(IF(VLOOKUP($K8,'Historias y criterios'!$A$6:$P$83,11,FALSE)="","",VLOOKUP($K8,'Historias y criterios'!$A$6:$P$83,11,FALSE)),"ID no encontrado"))</f>
        <v>Con credenciales válidas, el usuario activo ingresa a la plataforma.</v>
      </c>
      <c r="M8" s="8" t="s">
        <v>28</v>
      </c>
      <c r="N8" s="5" t="str">
        <f>IF($M8="","",IFERROR(IF(VLOOKUP($M8,'Casos y evidencias'!$A$6:$O$83,5,FALSE)="","",VLOOKUP($M8,'Casos y evidencias'!$A$6:$O$83,5,FALSE)),"ID no encontrado"))</f>
        <v>Inicio de sesión con credenciales válidas</v>
      </c>
      <c r="O8" s="5" t="str">
        <f>IF($M8="","",IFERROR(IF(VLOOKUP($M8,'Casos y evidencias'!$A$6:$O$83,10,FALSE)="","",VLOOKUP($M8,'Casos y evidencias'!$A$6:$O$83,10,FALSE)),"ID no encontrado"))</f>
        <v>No ejecutado</v>
      </c>
      <c r="P8" s="7" t="str">
        <f>IF($M8="","",IFERROR(IF(VLOOKUP($M8,'Casos y evidencias'!$A$6:$O$83,11,FALSE)="","",VLOOKUP($M8,'Casos y evidencias'!$A$6:$O$83,11,FALSE)),"ID no encontrado"))</f>
        <v/>
      </c>
      <c r="Q8" s="5" t="str">
        <f>IF($M8="","",IFERROR(IF(VLOOKUP($M8,'Casos y evidencias'!$A$6:$O$83,12,FALSE)="","",VLOOKUP($M8,'Casos y evidencias'!$A$6:$O$83,12,FALSE)),"ID no encontrado"))</f>
        <v/>
      </c>
      <c r="R8" s="4"/>
    </row>
    <row r="9" spans="1:18" ht="62.1" customHeight="1">
      <c r="A9" s="6">
        <v>2</v>
      </c>
      <c r="B9" s="5" t="str">
        <f>IF($G9="","",IF($K9="","Falta criterio",IFERROR(IF(VLOOKUP($K9,'Historias y criterios'!$A$6:$P$83,3,FALSE)&lt;&gt;$G9,"Revisar relación requisito-criterio",IF($M9="","Falta caso de prueba",IF(VLOOKUP($M9,'Casos y evidencias'!$A$6:$O$83,2,FALSE)&lt;&gt;$K9,"Revisar relación criterio-caso",IF($O9="Aprobado",IF($P9="","Falta evidencia","Trazabilidad completa"),IF($O9="Fallido","Prueba fallida",IF($O9="Bloqueado","Prueba bloqueada","Prueba pendiente")))))),"ID no encontrado")))</f>
        <v>Prueba pendiente</v>
      </c>
      <c r="C9" s="7" t="str">
        <f>IF($G9="","",IFERROR(IF(VLOOKUP($G9,Requerimientos!$A$6:$M$43,2,FALSE)="","",VLOOKUP($G9,Requerimientos!$A$6:$M$43,2,FALSE)),"ID no encontrado"))</f>
        <v>OBJ-001</v>
      </c>
      <c r="D9" s="5" t="str">
        <f>IF($C9="","",IFERROR(IF(VLOOKUP($C9,'Objetivos y procesos'!$A$6:$H$35,2,FALSE)="","",VLOOKUP($C9,'Objetivos y procesos'!$A$6:$H$35,2,FALSE)),"ID no encontrado"))</f>
        <v>Proteger la plataforma y asegurar que cada usuario opere con el perfil, empresa y vendedor correctos.</v>
      </c>
      <c r="E9" s="7" t="str">
        <f>IF($G9="","",IFERROR(IF(VLOOKUP($G9,Requerimientos!$A$6:$M$43,3,FALSE)="","",VLOOKUP($G9,Requerimientos!$A$6:$M$43,3,FALSE)),"ID no encontrado"))</f>
        <v>PR-01</v>
      </c>
      <c r="F9" s="5" t="str">
        <f>IF($E9="","",IFERROR(IF(INDEX('Objetivos y procesos'!$D$6:$D$35,MATCH($E9,'Objetivos y procesos'!$C$6:$C$35,0))="","",IF(INDEX('Objetivos y procesos'!$D$6:$D$35,MATCH($E9,'Objetivos y procesos'!$C$6:$C$35,0))=INDEX('Objetivos y procesos'!$E$6:$E$35,MATCH($E9,'Objetivos y procesos'!$C$6:$C$35,0)),INDEX('Objetivos y procesos'!$D$6:$D$35,MATCH($E9,'Objetivos y procesos'!$C$6:$C$35,0)),INDEX('Objetivos y procesos'!$D$6:$D$35,MATCH($E9,'Objetivos y procesos'!$C$6:$C$35,0))&amp;IF(INDEX('Objetivos y procesos'!$E$6:$E$35,MATCH($E9,'Objetivos y procesos'!$C$6:$C$35,0))="",""," / "&amp;INDEX('Objetivos y procesos'!$E$6:$E$35,MATCH($E9,'Objetivos y procesos'!$C$6:$C$35,0))))),"ID no encontrado"))</f>
        <v>Gestión de usuarios, roles y permisos</v>
      </c>
      <c r="G9" s="8" t="s">
        <v>26</v>
      </c>
      <c r="H9" s="5" t="str">
        <f>IF($G9="","",IFERROR(IF(VLOOKUP($G9,Requerimientos!$A$6:$M$43,7,FALSE)="","",VLOOKUP($G9,Requerimientos!$A$6:$M$43,7,FALSE)),"ID no encontrado"))</f>
        <v>El sistema debe permitir que un usuario se autentique mediante usuario y contraseña.</v>
      </c>
      <c r="I9" s="7" t="str">
        <f>IF($K9="","",IFERROR(IF(VLOOKUP($K9,'Historias y criterios'!$A$6:$P$83,2,FALSE)="","",VLOOKUP($K9,'Historias y criterios'!$A$6:$P$83,2,FALSE)),"ID no encontrado"))</f>
        <v>HU-001</v>
      </c>
      <c r="J9" s="5" t="str">
        <f>IF($K9="","",IFERROR(IF(VLOOKUP($K9,'Historias y criterios'!$A$6:$P$83,10,FALSE)="","",VLOOKUP($K9,'Historias y criterios'!$A$6:$P$83,10,FALSE)),"ID no encontrado"))</f>
        <v>Como usuario habilitado, quiero iniciar sesión de forma segura y mantener una sesión controlada, para acceder únicamente a las funciones autorizadas</v>
      </c>
      <c r="K9" s="8" t="s">
        <v>29</v>
      </c>
      <c r="L9" s="5" t="str">
        <f>IF($K9="","",IFERROR(IF(VLOOKUP($K9,'Historias y criterios'!$A$6:$P$83,11,FALSE)="","",VLOOKUP($K9,'Historias y criterios'!$A$6:$P$83,11,FALSE)),"ID no encontrado"))</f>
        <v>Las credenciales inválidas o de un usuario desactivado impiden el acceso y muestran un mensaje claro.</v>
      </c>
      <c r="M9" s="8" t="s">
        <v>30</v>
      </c>
      <c r="N9" s="5" t="str">
        <f>IF($M9="","",IFERROR(IF(VLOOKUP($M9,'Casos y evidencias'!$A$6:$O$83,5,FALSE)="","",VLOOKUP($M9,'Casos y evidencias'!$A$6:$O$83,5,FALSE)),"ID no encontrado"))</f>
        <v>Acceso denegado con credenciales inválidas o usuario desactivado</v>
      </c>
      <c r="O9" s="5" t="str">
        <f>IF($M9="","",IFERROR(IF(VLOOKUP($M9,'Casos y evidencias'!$A$6:$O$83,10,FALSE)="","",VLOOKUP($M9,'Casos y evidencias'!$A$6:$O$83,10,FALSE)),"ID no encontrado"))</f>
        <v>No ejecutado</v>
      </c>
      <c r="P9" s="7" t="str">
        <f>IF($M9="","",IFERROR(IF(VLOOKUP($M9,'Casos y evidencias'!$A$6:$O$83,11,FALSE)="","",VLOOKUP($M9,'Casos y evidencias'!$A$6:$O$83,11,FALSE)),"ID no encontrado"))</f>
        <v/>
      </c>
      <c r="Q9" s="5" t="str">
        <f>IF($M9="","",IFERROR(IF(VLOOKUP($M9,'Casos y evidencias'!$A$6:$O$83,12,FALSE)="","",VLOOKUP($M9,'Casos y evidencias'!$A$6:$O$83,12,FALSE)),"ID no encontrado"))</f>
        <v/>
      </c>
      <c r="R9" s="4"/>
    </row>
    <row r="10" spans="1:18" ht="62.1" customHeight="1">
      <c r="A10" s="6">
        <v>3</v>
      </c>
      <c r="B10" s="5" t="str">
        <f>IF($G10="","",IF($K10="","Falta criterio",IFERROR(IF(VLOOKUP($K10,'Historias y criterios'!$A$6:$P$83,3,FALSE)&lt;&gt;$G10,"Revisar relación requisito-criterio",IF($M10="","Falta caso de prueba",IF(VLOOKUP($M10,'Casos y evidencias'!$A$6:$O$83,2,FALSE)&lt;&gt;$K10,"Revisar relación criterio-caso",IF($O10="Aprobado",IF($P10="","Falta evidencia","Trazabilidad completa"),IF($O10="Fallido","Prueba fallida",IF($O10="Bloqueado","Prueba bloqueada","Prueba pendiente")))))),"ID no encontrado")))</f>
        <v>Prueba pendiente</v>
      </c>
      <c r="C10" s="7" t="str">
        <f>IF($G10="","",IFERROR(IF(VLOOKUP($G10,Requerimientos!$A$6:$M$43,2,FALSE)="","",VLOOKUP($G10,Requerimientos!$A$6:$M$43,2,FALSE)),"ID no encontrado"))</f>
        <v>OBJ-001</v>
      </c>
      <c r="D10" s="5" t="str">
        <f>IF($C10="","",IFERROR(IF(VLOOKUP($C10,'Objetivos y procesos'!$A$6:$H$35,2,FALSE)="","",VLOOKUP($C10,'Objetivos y procesos'!$A$6:$H$35,2,FALSE)),"ID no encontrado"))</f>
        <v>Proteger la plataforma y asegurar que cada usuario opere con el perfil, empresa y vendedor correctos.</v>
      </c>
      <c r="E10" s="7" t="str">
        <f>IF($G10="","",IFERROR(IF(VLOOKUP($G10,Requerimientos!$A$6:$M$43,3,FALSE)="","",VLOOKUP($G10,Requerimientos!$A$6:$M$43,3,FALSE)),"ID no encontrado"))</f>
        <v>PR-01</v>
      </c>
      <c r="F10" s="5" t="str">
        <f>IF($E10="","",IFERROR(IF(INDEX('Objetivos y procesos'!$D$6:$D$35,MATCH($E10,'Objetivos y procesos'!$C$6:$C$35,0))="","",IF(INDEX('Objetivos y procesos'!$D$6:$D$35,MATCH($E10,'Objetivos y procesos'!$C$6:$C$35,0))=INDEX('Objetivos y procesos'!$E$6:$E$35,MATCH($E10,'Objetivos y procesos'!$C$6:$C$35,0)),INDEX('Objetivos y procesos'!$D$6:$D$35,MATCH($E10,'Objetivos y procesos'!$C$6:$C$35,0)),INDEX('Objetivos y procesos'!$D$6:$D$35,MATCH($E10,'Objetivos y procesos'!$C$6:$C$35,0))&amp;IF(INDEX('Objetivos y procesos'!$E$6:$E$35,MATCH($E10,'Objetivos y procesos'!$C$6:$C$35,0))="",""," / "&amp;INDEX('Objetivos y procesos'!$E$6:$E$35,MATCH($E10,'Objetivos y procesos'!$C$6:$C$35,0))))),"ID no encontrado"))</f>
        <v>Gestión de usuarios, roles y permisos</v>
      </c>
      <c r="G10" s="8" t="s">
        <v>26</v>
      </c>
      <c r="H10" s="5" t="str">
        <f>IF($G10="","",IFERROR(IF(VLOOKUP($G10,Requerimientos!$A$6:$M$43,7,FALSE)="","",VLOOKUP($G10,Requerimientos!$A$6:$M$43,7,FALSE)),"ID no encontrado"))</f>
        <v>El sistema debe permitir que un usuario se autentique mediante usuario y contraseña.</v>
      </c>
      <c r="I10" s="7" t="str">
        <f>IF($K10="","",IFERROR(IF(VLOOKUP($K10,'Historias y criterios'!$A$6:$P$83,2,FALSE)="","",VLOOKUP($K10,'Historias y criterios'!$A$6:$P$83,2,FALSE)),"ID no encontrado"))</f>
        <v>HU-001</v>
      </c>
      <c r="J10" s="5" t="str">
        <f>IF($K10="","",IFERROR(IF(VLOOKUP($K10,'Historias y criterios'!$A$6:$P$83,10,FALSE)="","",VLOOKUP($K10,'Historias y criterios'!$A$6:$P$83,10,FALSE)),"ID no encontrado"))</f>
        <v>Como usuario habilitado, quiero iniciar sesión de forma segura y mantener una sesión controlada, para acceder únicamente a las funciones autorizadas</v>
      </c>
      <c r="K10" s="8" t="s">
        <v>31</v>
      </c>
      <c r="L10" s="5" t="str">
        <f>IF($K10="","",IFERROR(IF(VLOOKUP($K10,'Historias y criterios'!$A$6:$P$83,11,FALSE)="","",VLOOKUP($K10,'Historias y criterios'!$A$6:$P$83,11,FALSE)),"ID no encontrado"))</f>
        <v>La contraseña se almacena mediante hash, la sesión expira por inactividad y los intentos fallidos quedan auditados.</v>
      </c>
      <c r="M10" s="8" t="s">
        <v>32</v>
      </c>
      <c r="N10" s="5" t="str">
        <f>IF($M10="","",IFERROR(IF(VLOOKUP($M10,'Casos y evidencias'!$A$6:$O$83,5,FALSE)="","",VLOOKUP($M10,'Casos y evidencias'!$A$6:$O$83,5,FALSE)),"ID no encontrado"))</f>
        <v>Hash de contraseña, expiración de sesión y auditoría</v>
      </c>
      <c r="O10" s="5" t="str">
        <f>IF($M10="","",IFERROR(IF(VLOOKUP($M10,'Casos y evidencias'!$A$6:$O$83,10,FALSE)="","",VLOOKUP($M10,'Casos y evidencias'!$A$6:$O$83,10,FALSE)),"ID no encontrado"))</f>
        <v>No ejecutado</v>
      </c>
      <c r="P10" s="7" t="str">
        <f>IF($M10="","",IFERROR(IF(VLOOKUP($M10,'Casos y evidencias'!$A$6:$O$83,11,FALSE)="","",VLOOKUP($M10,'Casos y evidencias'!$A$6:$O$83,11,FALSE)),"ID no encontrado"))</f>
        <v/>
      </c>
      <c r="Q10" s="5" t="str">
        <f>IF($M10="","",IFERROR(IF(VLOOKUP($M10,'Casos y evidencias'!$A$6:$O$83,12,FALSE)="","",VLOOKUP($M10,'Casos y evidencias'!$A$6:$O$83,12,FALSE)),"ID no encontrado"))</f>
        <v/>
      </c>
      <c r="R10" s="4"/>
    </row>
    <row r="11" spans="1:18" ht="75.599999999999994" customHeight="1">
      <c r="A11" s="6">
        <v>4</v>
      </c>
      <c r="B11" s="5" t="str">
        <f>IF($G11="","",IF($K11="","Falta criterio",IFERROR(IF(VLOOKUP($K11,'Historias y criterios'!$A$6:$P$83,3,FALSE)&lt;&gt;$G11,"Revisar relación requisito-criterio",IF($M11="","Falta caso de prueba",IF(VLOOKUP($M11,'Casos y evidencias'!$A$6:$O$83,2,FALSE)&lt;&gt;$K11,"Revisar relación criterio-caso",IF($O11="Aprobado",IF($P11="","Falta evidencia","Trazabilidad completa"),IF($O11="Fallido","Prueba fallida",IF($O11="Bloqueado","Prueba bloqueada","Prueba pendiente")))))),"ID no encontrado")))</f>
        <v>Prueba pendiente</v>
      </c>
      <c r="C11" s="7" t="str">
        <f>IF($G11="","",IFERROR(IF(VLOOKUP($G11,Requerimientos!$A$6:$M$43,2,FALSE)="","",VLOOKUP($G11,Requerimientos!$A$6:$M$43,2,FALSE)),"ID no encontrado"))</f>
        <v>OBJ-001</v>
      </c>
      <c r="D11" s="5" t="str">
        <f>IF($C11="","",IFERROR(IF(VLOOKUP($C11,'Objetivos y procesos'!$A$6:$H$35,2,FALSE)="","",VLOOKUP($C11,'Objetivos y procesos'!$A$6:$H$35,2,FALSE)),"ID no encontrado"))</f>
        <v>Proteger la plataforma y asegurar que cada usuario opere con el perfil, empresa y vendedor correctos.</v>
      </c>
      <c r="E11" s="7" t="str">
        <f>IF($G11="","",IFERROR(IF(VLOOKUP($G11,Requerimientos!$A$6:$M$43,3,FALSE)="","",VLOOKUP($G11,Requerimientos!$A$6:$M$43,3,FALSE)),"ID no encontrado"))</f>
        <v>PR-01</v>
      </c>
      <c r="F11" s="5" t="str">
        <f>IF($E11="","",IFERROR(IF(INDEX('Objetivos y procesos'!$D$6:$D$35,MATCH($E11,'Objetivos y procesos'!$C$6:$C$35,0))="","",IF(INDEX('Objetivos y procesos'!$D$6:$D$35,MATCH($E11,'Objetivos y procesos'!$C$6:$C$35,0))=INDEX('Objetivos y procesos'!$E$6:$E$35,MATCH($E11,'Objetivos y procesos'!$C$6:$C$35,0)),INDEX('Objetivos y procesos'!$D$6:$D$35,MATCH($E11,'Objetivos y procesos'!$C$6:$C$35,0)),INDEX('Objetivos y procesos'!$D$6:$D$35,MATCH($E11,'Objetivos y procesos'!$C$6:$C$35,0))&amp;IF(INDEX('Objetivos y procesos'!$E$6:$E$35,MATCH($E11,'Objetivos y procesos'!$C$6:$C$35,0))="",""," / "&amp;INDEX('Objetivos y procesos'!$E$6:$E$35,MATCH($E11,'Objetivos y procesos'!$C$6:$C$35,0))))),"ID no encontrado"))</f>
        <v>Gestión de usuarios, roles y permisos</v>
      </c>
      <c r="G11" s="8" t="s">
        <v>33</v>
      </c>
      <c r="H11" s="5" t="str">
        <f>IF($G11="","",IFERROR(IF(VLOOKUP($G11,Requerimientos!$A$6:$M$43,7,FALSE)="","",VLOOKUP($G11,Requerimientos!$A$6:$M$43,7,FALSE)),"ID no encontrado"))</f>
        <v>El sistema debe permitir asignar a cada usuario un área y un cargo, y configurar su rol mediante los grupos de autorizadores a los que pertenece y sus permisos directos.</v>
      </c>
      <c r="I11" s="7" t="str">
        <f>IF($K11="","",IFERROR(IF(VLOOKUP($K11,'Historias y criterios'!$A$6:$P$83,2,FALSE)="","",VLOOKUP($K11,'Historias y criterios'!$A$6:$P$83,2,FALSE)),"ID no encontrado"))</f>
        <v>HU-002</v>
      </c>
      <c r="J11" s="5" t="str">
        <f>IF($K11="","",IFERROR(IF(VLOOKUP($K11,'Historias y criterios'!$A$6:$P$83,10,FALSE)="","",VLOOKUP($K11,'Historias y criterios'!$A$6:$P$83,10,FALSE)),"ID no encontrado"))</f>
        <v>Como administrador, quiero crear, editar, desactivar y reactivar usuarios asignándoles área, cargo, grupos de autorizadores y permisos directos, para mantener los accesos alineados con las responsabilidades de cada trabajador</v>
      </c>
      <c r="K11" s="8" t="s">
        <v>34</v>
      </c>
      <c r="L11" s="5" t="str">
        <f>IF($K11="","",IFERROR(IF(VLOOKUP($K11,'Historias y criterios'!$A$6:$P$83,11,FALSE)="","",VLOOKUP($K11,'Historias y criterios'!$A$6:$P$83,11,FALSE)),"ID no encontrado"))</f>
        <v>El administrador crea y edita usuarios con área y cargo obligatorios.</v>
      </c>
      <c r="M11" s="8" t="s">
        <v>35</v>
      </c>
      <c r="N11" s="5" t="str">
        <f>IF($M11="","",IFERROR(IF(VLOOKUP($M11,'Casos y evidencias'!$A$6:$O$83,5,FALSE)="","",VLOOKUP($M11,'Casos y evidencias'!$A$6:$O$83,5,FALSE)),"ID no encontrado"))</f>
        <v>Creación y edición de usuario con área y cargo</v>
      </c>
      <c r="O11" s="5" t="str">
        <f>IF($M11="","",IFERROR(IF(VLOOKUP($M11,'Casos y evidencias'!$A$6:$O$83,10,FALSE)="","",VLOOKUP($M11,'Casos y evidencias'!$A$6:$O$83,10,FALSE)),"ID no encontrado"))</f>
        <v>No ejecutado</v>
      </c>
      <c r="P11" s="7" t="str">
        <f>IF($M11="","",IFERROR(IF(VLOOKUP($M11,'Casos y evidencias'!$A$6:$O$83,11,FALSE)="","",VLOOKUP($M11,'Casos y evidencias'!$A$6:$O$83,11,FALSE)),"ID no encontrado"))</f>
        <v/>
      </c>
      <c r="Q11" s="5" t="str">
        <f>IF($M11="","",IFERROR(IF(VLOOKUP($M11,'Casos y evidencias'!$A$6:$O$83,12,FALSE)="","",VLOOKUP($M11,'Casos y evidencias'!$A$6:$O$83,12,FALSE)),"ID no encontrado"))</f>
        <v/>
      </c>
      <c r="R11" s="4"/>
    </row>
    <row r="12" spans="1:18" ht="75.599999999999994" customHeight="1">
      <c r="A12" s="6">
        <v>5</v>
      </c>
      <c r="B12" s="5" t="str">
        <f>IF($G12="","",IF($K12="","Falta criterio",IFERROR(IF(VLOOKUP($K12,'Historias y criterios'!$A$6:$P$83,3,FALSE)&lt;&gt;$G12,"Revisar relación requisito-criterio",IF($M12="","Falta caso de prueba",IF(VLOOKUP($M12,'Casos y evidencias'!$A$6:$O$83,2,FALSE)&lt;&gt;$K12,"Revisar relación criterio-caso",IF($O12="Aprobado",IF($P12="","Falta evidencia","Trazabilidad completa"),IF($O12="Fallido","Prueba fallida",IF($O12="Bloqueado","Prueba bloqueada","Prueba pendiente")))))),"ID no encontrado")))</f>
        <v>Prueba pendiente</v>
      </c>
      <c r="C12" s="7" t="str">
        <f>IF($G12="","",IFERROR(IF(VLOOKUP($G12,Requerimientos!$A$6:$M$43,2,FALSE)="","",VLOOKUP($G12,Requerimientos!$A$6:$M$43,2,FALSE)),"ID no encontrado"))</f>
        <v>OBJ-001</v>
      </c>
      <c r="D12" s="5" t="str">
        <f>IF($C12="","",IFERROR(IF(VLOOKUP($C12,'Objetivos y procesos'!$A$6:$H$35,2,FALSE)="","",VLOOKUP($C12,'Objetivos y procesos'!$A$6:$H$35,2,FALSE)),"ID no encontrado"))</f>
        <v>Proteger la plataforma y asegurar que cada usuario opere con el perfil, empresa y vendedor correctos.</v>
      </c>
      <c r="E12" s="7" t="str">
        <f>IF($G12="","",IFERROR(IF(VLOOKUP($G12,Requerimientos!$A$6:$M$43,3,FALSE)="","",VLOOKUP($G12,Requerimientos!$A$6:$M$43,3,FALSE)),"ID no encontrado"))</f>
        <v>PR-01</v>
      </c>
      <c r="F12" s="5" t="str">
        <f>IF($E12="","",IFERROR(IF(INDEX('Objetivos y procesos'!$D$6:$D$35,MATCH($E12,'Objetivos y procesos'!$C$6:$C$35,0))="","",IF(INDEX('Objetivos y procesos'!$D$6:$D$35,MATCH($E12,'Objetivos y procesos'!$C$6:$C$35,0))=INDEX('Objetivos y procesos'!$E$6:$E$35,MATCH($E12,'Objetivos y procesos'!$C$6:$C$35,0)),INDEX('Objetivos y procesos'!$D$6:$D$35,MATCH($E12,'Objetivos y procesos'!$C$6:$C$35,0)),INDEX('Objetivos y procesos'!$D$6:$D$35,MATCH($E12,'Objetivos y procesos'!$C$6:$C$35,0))&amp;IF(INDEX('Objetivos y procesos'!$E$6:$E$35,MATCH($E12,'Objetivos y procesos'!$C$6:$C$35,0))="",""," / "&amp;INDEX('Objetivos y procesos'!$E$6:$E$35,MATCH($E12,'Objetivos y procesos'!$C$6:$C$35,0))))),"ID no encontrado"))</f>
        <v>Gestión de usuarios, roles y permisos</v>
      </c>
      <c r="G12" s="8" t="s">
        <v>36</v>
      </c>
      <c r="H12" s="5" t="str">
        <f>IF($G12="","",IFERROR(IF(VLOOKUP($G12,Requerimientos!$A$6:$M$43,7,FALSE)="","",VLOOKUP($G12,Requerimientos!$A$6:$M$43,7,FALSE)),"ID no encontrado"))</f>
        <v>El sistema debe permitir al administrador crear, editar, desactivar y reactivar usuarios.</v>
      </c>
      <c r="I12" s="7" t="str">
        <f>IF($K12="","",IFERROR(IF(VLOOKUP($K12,'Historias y criterios'!$A$6:$P$83,2,FALSE)="","",VLOOKUP($K12,'Historias y criterios'!$A$6:$P$83,2,FALSE)),"ID no encontrado"))</f>
        <v>HU-002</v>
      </c>
      <c r="J12" s="5" t="str">
        <f>IF($K12="","",IFERROR(IF(VLOOKUP($K12,'Historias y criterios'!$A$6:$P$83,10,FALSE)="","",VLOOKUP($K12,'Historias y criterios'!$A$6:$P$83,10,FALSE)),"ID no encontrado"))</f>
        <v>Como administrador, quiero crear, editar, desactivar y reactivar usuarios asignándoles área, cargo, grupos de autorizadores y permisos directos, para mantener los accesos alineados con las responsabilidades de cada trabajador</v>
      </c>
      <c r="K12" s="8" t="s">
        <v>37</v>
      </c>
      <c r="L12" s="5" t="str">
        <f>IF($K12="","",IFERROR(IF(VLOOKUP($K12,'Historias y criterios'!$A$6:$P$83,11,FALSE)="","",VLOOKUP($K12,'Historias y criterios'!$A$6:$P$83,11,FALSE)),"ID no encontrado"))</f>
        <v>Un usuario se desactiva o reactiva sin eliminar su historial.</v>
      </c>
      <c r="M12" s="8" t="s">
        <v>38</v>
      </c>
      <c r="N12" s="5" t="str">
        <f>IF($M12="","",IFERROR(IF(VLOOKUP($M12,'Casos y evidencias'!$A$6:$O$83,5,FALSE)="","",VLOOKUP($M12,'Casos y evidencias'!$A$6:$O$83,5,FALSE)),"ID no encontrado"))</f>
        <v>Desactivación y reactivación sin pérdida de historial</v>
      </c>
      <c r="O12" s="5" t="str">
        <f>IF($M12="","",IFERROR(IF(VLOOKUP($M12,'Casos y evidencias'!$A$6:$O$83,10,FALSE)="","",VLOOKUP($M12,'Casos y evidencias'!$A$6:$O$83,10,FALSE)),"ID no encontrado"))</f>
        <v>No ejecutado</v>
      </c>
      <c r="P12" s="7" t="str">
        <f>IF($M12="","",IFERROR(IF(VLOOKUP($M12,'Casos y evidencias'!$A$6:$O$83,11,FALSE)="","",VLOOKUP($M12,'Casos y evidencias'!$A$6:$O$83,11,FALSE)),"ID no encontrado"))</f>
        <v/>
      </c>
      <c r="Q12" s="5" t="str">
        <f>IF($M12="","",IFERROR(IF(VLOOKUP($M12,'Casos y evidencias'!$A$6:$O$83,12,FALSE)="","",VLOOKUP($M12,'Casos y evidencias'!$A$6:$O$83,12,FALSE)),"ID no encontrado"))</f>
        <v/>
      </c>
      <c r="R12" s="4"/>
    </row>
    <row r="13" spans="1:18" ht="75.599999999999994" customHeight="1">
      <c r="A13" s="6">
        <v>6</v>
      </c>
      <c r="B13" s="5" t="str">
        <f>IF($G13="","",IF($K13="","Falta criterio",IFERROR(IF(VLOOKUP($K13,'Historias y criterios'!$A$6:$P$83,3,FALSE)&lt;&gt;$G13,"Revisar relación requisito-criterio",IF($M13="","Falta caso de prueba",IF(VLOOKUP($M13,'Casos y evidencias'!$A$6:$O$83,2,FALSE)&lt;&gt;$K13,"Revisar relación criterio-caso",IF($O13="Aprobado",IF($P13="","Falta evidencia","Trazabilidad completa"),IF($O13="Fallido","Prueba fallida",IF($O13="Bloqueado","Prueba bloqueada","Prueba pendiente")))))),"ID no encontrado")))</f>
        <v>Prueba pendiente</v>
      </c>
      <c r="C13" s="7" t="str">
        <f>IF($G13="","",IFERROR(IF(VLOOKUP($G13,Requerimientos!$A$6:$M$43,2,FALSE)="","",VLOOKUP($G13,Requerimientos!$A$6:$M$43,2,FALSE)),"ID no encontrado"))</f>
        <v>OBJ-001</v>
      </c>
      <c r="D13" s="5" t="str">
        <f>IF($C13="","",IFERROR(IF(VLOOKUP($C13,'Objetivos y procesos'!$A$6:$H$35,2,FALSE)="","",VLOOKUP($C13,'Objetivos y procesos'!$A$6:$H$35,2,FALSE)),"ID no encontrado"))</f>
        <v>Proteger la plataforma y asegurar que cada usuario opere con el perfil, empresa y vendedor correctos.</v>
      </c>
      <c r="E13" s="7" t="str">
        <f>IF($G13="","",IFERROR(IF(VLOOKUP($G13,Requerimientos!$A$6:$M$43,3,FALSE)="","",VLOOKUP($G13,Requerimientos!$A$6:$M$43,3,FALSE)),"ID no encontrado"))</f>
        <v>PR-01</v>
      </c>
      <c r="F13" s="5" t="str">
        <f>IF($E13="","",IFERROR(IF(INDEX('Objetivos y procesos'!$D$6:$D$35,MATCH($E13,'Objetivos y procesos'!$C$6:$C$35,0))="","",IF(INDEX('Objetivos y procesos'!$D$6:$D$35,MATCH($E13,'Objetivos y procesos'!$C$6:$C$35,0))=INDEX('Objetivos y procesos'!$E$6:$E$35,MATCH($E13,'Objetivos y procesos'!$C$6:$C$35,0)),INDEX('Objetivos y procesos'!$D$6:$D$35,MATCH($E13,'Objetivos y procesos'!$C$6:$C$35,0)),INDEX('Objetivos y procesos'!$D$6:$D$35,MATCH($E13,'Objetivos y procesos'!$C$6:$C$35,0))&amp;IF(INDEX('Objetivos y procesos'!$E$6:$E$35,MATCH($E13,'Objetivos y procesos'!$C$6:$C$35,0))="",""," / "&amp;INDEX('Objetivos y procesos'!$E$6:$E$35,MATCH($E13,'Objetivos y procesos'!$C$6:$C$35,0))))),"ID no encontrado"))</f>
        <v>Gestión de usuarios, roles y permisos</v>
      </c>
      <c r="G13" s="8" t="s">
        <v>36</v>
      </c>
      <c r="H13" s="5" t="str">
        <f>IF($G13="","",IFERROR(IF(VLOOKUP($G13,Requerimientos!$A$6:$M$43,7,FALSE)="","",VLOOKUP($G13,Requerimientos!$A$6:$M$43,7,FALSE)),"ID no encontrado"))</f>
        <v>El sistema debe permitir al administrador crear, editar, desactivar y reactivar usuarios.</v>
      </c>
      <c r="I13" s="7" t="str">
        <f>IF($K13="","",IFERROR(IF(VLOOKUP($K13,'Historias y criterios'!$A$6:$P$83,2,FALSE)="","",VLOOKUP($K13,'Historias y criterios'!$A$6:$P$83,2,FALSE)),"ID no encontrado"))</f>
        <v>HU-002</v>
      </c>
      <c r="J13" s="5" t="str">
        <f>IF($K13="","",IFERROR(IF(VLOOKUP($K13,'Historias y criterios'!$A$6:$P$83,10,FALSE)="","",VLOOKUP($K13,'Historias y criterios'!$A$6:$P$83,10,FALSE)),"ID no encontrado"))</f>
        <v>Como administrador, quiero crear, editar, desactivar y reactivar usuarios asignándoles área, cargo, grupos de autorizadores y permisos directos, para mantener los accesos alineados con las responsabilidades de cada trabajador</v>
      </c>
      <c r="K13" s="8" t="s">
        <v>39</v>
      </c>
      <c r="L13" s="5" t="str">
        <f>IF($K13="","",IFERROR(IF(VLOOKUP($K13,'Historias y criterios'!$A$6:$P$83,11,FALSE)="","",VLOOKUP($K13,'Historias y criterios'!$A$6:$P$83,11,FALSE)),"ID no encontrado"))</f>
        <v>Solo el administrador puede ejecutar estas operaciones y un usuario desactivado no puede iniciar sesión.</v>
      </c>
      <c r="M13" s="8" t="s">
        <v>40</v>
      </c>
      <c r="N13" s="5" t="str">
        <f>IF($M13="","",IFERROR(IF(VLOOKUP($M13,'Casos y evidencias'!$A$6:$O$83,5,FALSE)="","",VLOOKUP($M13,'Casos y evidencias'!$A$6:$O$83,5,FALSE)),"ID no encontrado"))</f>
        <v>Operaciones exclusivas del administrador</v>
      </c>
      <c r="O13" s="5" t="str">
        <f>IF($M13="","",IFERROR(IF(VLOOKUP($M13,'Casos y evidencias'!$A$6:$O$83,10,FALSE)="","",VLOOKUP($M13,'Casos y evidencias'!$A$6:$O$83,10,FALSE)),"ID no encontrado"))</f>
        <v>No ejecutado</v>
      </c>
      <c r="P13" s="7" t="str">
        <f>IF($M13="","",IFERROR(IF(VLOOKUP($M13,'Casos y evidencias'!$A$6:$O$83,11,FALSE)="","",VLOOKUP($M13,'Casos y evidencias'!$A$6:$O$83,11,FALSE)),"ID no encontrado"))</f>
        <v/>
      </c>
      <c r="Q13" s="5" t="str">
        <f>IF($M13="","",IFERROR(IF(VLOOKUP($M13,'Casos y evidencias'!$A$6:$O$83,12,FALSE)="","",VLOOKUP($M13,'Casos y evidencias'!$A$6:$O$83,12,FALSE)),"ID no encontrado"))</f>
        <v/>
      </c>
      <c r="R13" s="4"/>
    </row>
    <row r="14" spans="1:18" ht="75.599999999999994" customHeight="1">
      <c r="A14" s="6">
        <v>7</v>
      </c>
      <c r="B14" s="5" t="str">
        <f>IF($G14="","",IF($K14="","Falta criterio",IFERROR(IF(VLOOKUP($K14,'Historias y criterios'!$A$6:$P$83,3,FALSE)&lt;&gt;$G14,"Revisar relación requisito-criterio",IF($M14="","Falta caso de prueba",IF(VLOOKUP($M14,'Casos y evidencias'!$A$6:$O$83,2,FALSE)&lt;&gt;$K14,"Revisar relación criterio-caso",IF($O14="Aprobado",IF($P14="","Falta evidencia","Trazabilidad completa"),IF($O14="Fallido","Prueba fallida",IF($O14="Bloqueado","Prueba bloqueada","Prueba pendiente")))))),"ID no encontrado")))</f>
        <v>Prueba pendiente</v>
      </c>
      <c r="C14" s="7" t="str">
        <f>IF($G14="","",IFERROR(IF(VLOOKUP($G14,Requerimientos!$A$6:$M$43,2,FALSE)="","",VLOOKUP($G14,Requerimientos!$A$6:$M$43,2,FALSE)),"ID no encontrado"))</f>
        <v>OBJ-001</v>
      </c>
      <c r="D14" s="5" t="str">
        <f>IF($C14="","",IFERROR(IF(VLOOKUP($C14,'Objetivos y procesos'!$A$6:$H$35,2,FALSE)="","",VLOOKUP($C14,'Objetivos y procesos'!$A$6:$H$35,2,FALSE)),"ID no encontrado"))</f>
        <v>Proteger la plataforma y asegurar que cada usuario opere con el perfil, empresa y vendedor correctos.</v>
      </c>
      <c r="E14" s="7" t="str">
        <f>IF($G14="","",IFERROR(IF(VLOOKUP($G14,Requerimientos!$A$6:$M$43,3,FALSE)="","",VLOOKUP($G14,Requerimientos!$A$6:$M$43,3,FALSE)),"ID no encontrado"))</f>
        <v>PR-01</v>
      </c>
      <c r="F14" s="5" t="str">
        <f>IF($E14="","",IFERROR(IF(INDEX('Objetivos y procesos'!$D$6:$D$35,MATCH($E14,'Objetivos y procesos'!$C$6:$C$35,0))="","",IF(INDEX('Objetivos y procesos'!$D$6:$D$35,MATCH($E14,'Objetivos y procesos'!$C$6:$C$35,0))=INDEX('Objetivos y procesos'!$E$6:$E$35,MATCH($E14,'Objetivos y procesos'!$C$6:$C$35,0)),INDEX('Objetivos y procesos'!$D$6:$D$35,MATCH($E14,'Objetivos y procesos'!$C$6:$C$35,0)),INDEX('Objetivos y procesos'!$D$6:$D$35,MATCH($E14,'Objetivos y procesos'!$C$6:$C$35,0))&amp;IF(INDEX('Objetivos y procesos'!$E$6:$E$35,MATCH($E14,'Objetivos y procesos'!$C$6:$C$35,0))="",""," / "&amp;INDEX('Objetivos y procesos'!$E$6:$E$35,MATCH($E14,'Objetivos y procesos'!$C$6:$C$35,0))))),"ID no encontrado"))</f>
        <v>Gestión de usuarios, roles y permisos</v>
      </c>
      <c r="G14" s="8" t="s">
        <v>41</v>
      </c>
      <c r="H14" s="5" t="str">
        <f>IF($G14="","",IFERROR(IF(VLOOKUP($G14,Requerimientos!$A$6:$M$43,7,FALSE)="","",VLOOKUP($G14,Requerimientos!$A$6:$M$43,7,FALSE)),"ID no encontrado"))</f>
        <v>El sistema debe restringir las funciones y los datos visibles según los permisos efectivos del usuario (directos, de su área y de su cargo) y los grupos de autorizadores a los que pertenece.</v>
      </c>
      <c r="I14" s="7" t="str">
        <f>IF($K14="","",IFERROR(IF(VLOOKUP($K14,'Historias y criterios'!$A$6:$P$83,2,FALSE)="","",VLOOKUP($K14,'Historias y criterios'!$A$6:$P$83,2,FALSE)),"ID no encontrado"))</f>
        <v>HU-003</v>
      </c>
      <c r="J14" s="5" t="str">
        <f>IF($K14="","",IFERROR(IF(VLOOKUP($K14,'Historias y criterios'!$A$6:$P$83,10,FALSE)="","",VLOOKUP($K14,'Historias y criterios'!$A$6:$P$83,10,FALSE)),"ID no encontrado"))</f>
        <v>Como administrador, quiero definir permisos por área, por cargo y directos por usuario, además de los integrantes de los grupos de autorizadores de cada proceso, para controlar qué funciones, datos y decisiones corresponden a cada usuario</v>
      </c>
      <c r="K14" s="8" t="s">
        <v>42</v>
      </c>
      <c r="L14" s="5" t="str">
        <f>IF($K14="","",IFERROR(IF(VLOOKUP($K14,'Historias y criterios'!$A$6:$P$83,11,FALSE)="","",VLOOKUP($K14,'Historias y criterios'!$A$6:$P$83,11,FALSE)),"ID no encontrado"))</f>
        <v>Los permisos efectivos suman los permisos directos, del área y del cargo.</v>
      </c>
      <c r="M14" s="8" t="s">
        <v>43</v>
      </c>
      <c r="N14" s="5" t="str">
        <f>IF($M14="","",IFERROR(IF(VLOOKUP($M14,'Casos y evidencias'!$A$6:$O$83,5,FALSE)="","",VLOOKUP($M14,'Casos y evidencias'!$A$6:$O$83,5,FALSE)),"ID no encontrado"))</f>
        <v>Cálculo de permisos efectivos</v>
      </c>
      <c r="O14" s="5" t="str">
        <f>IF($M14="","",IFERROR(IF(VLOOKUP($M14,'Casos y evidencias'!$A$6:$O$83,10,FALSE)="","",VLOOKUP($M14,'Casos y evidencias'!$A$6:$O$83,10,FALSE)),"ID no encontrado"))</f>
        <v>No ejecutado</v>
      </c>
      <c r="P14" s="7" t="str">
        <f>IF($M14="","",IFERROR(IF(VLOOKUP($M14,'Casos y evidencias'!$A$6:$O$83,11,FALSE)="","",VLOOKUP($M14,'Casos y evidencias'!$A$6:$O$83,11,FALSE)),"ID no encontrado"))</f>
        <v/>
      </c>
      <c r="Q14" s="5" t="str">
        <f>IF($M14="","",IFERROR(IF(VLOOKUP($M14,'Casos y evidencias'!$A$6:$O$83,12,FALSE)="","",VLOOKUP($M14,'Casos y evidencias'!$A$6:$O$83,12,FALSE)),"ID no encontrado"))</f>
        <v/>
      </c>
      <c r="R14" s="4"/>
    </row>
    <row r="15" spans="1:18" ht="75.599999999999994" customHeight="1">
      <c r="A15" s="6">
        <v>8</v>
      </c>
      <c r="B15" s="5" t="str">
        <f>IF($G15="","",IF($K15="","Falta criterio",IFERROR(IF(VLOOKUP($K15,'Historias y criterios'!$A$6:$P$83,3,FALSE)&lt;&gt;$G15,"Revisar relación requisito-criterio",IF($M15="","Falta caso de prueba",IF(VLOOKUP($M15,'Casos y evidencias'!$A$6:$O$83,2,FALSE)&lt;&gt;$K15,"Revisar relación criterio-caso",IF($O15="Aprobado",IF($P15="","Falta evidencia","Trazabilidad completa"),IF($O15="Fallido","Prueba fallida",IF($O15="Bloqueado","Prueba bloqueada","Prueba pendiente")))))),"ID no encontrado")))</f>
        <v>Prueba pendiente</v>
      </c>
      <c r="C15" s="7" t="str">
        <f>IF($G15="","",IFERROR(IF(VLOOKUP($G15,Requerimientos!$A$6:$M$43,2,FALSE)="","",VLOOKUP($G15,Requerimientos!$A$6:$M$43,2,FALSE)),"ID no encontrado"))</f>
        <v>OBJ-001</v>
      </c>
      <c r="D15" s="5" t="str">
        <f>IF($C15="","",IFERROR(IF(VLOOKUP($C15,'Objetivos y procesos'!$A$6:$H$35,2,FALSE)="","",VLOOKUP($C15,'Objetivos y procesos'!$A$6:$H$35,2,FALSE)),"ID no encontrado"))</f>
        <v>Proteger la plataforma y asegurar que cada usuario opere con el perfil, empresa y vendedor correctos.</v>
      </c>
      <c r="E15" s="7" t="str">
        <f>IF($G15="","",IFERROR(IF(VLOOKUP($G15,Requerimientos!$A$6:$M$43,3,FALSE)="","",VLOOKUP($G15,Requerimientos!$A$6:$M$43,3,FALSE)),"ID no encontrado"))</f>
        <v>PR-01</v>
      </c>
      <c r="F15" s="5" t="str">
        <f>IF($E15="","",IFERROR(IF(INDEX('Objetivos y procesos'!$D$6:$D$35,MATCH($E15,'Objetivos y procesos'!$C$6:$C$35,0))="","",IF(INDEX('Objetivos y procesos'!$D$6:$D$35,MATCH($E15,'Objetivos y procesos'!$C$6:$C$35,0))=INDEX('Objetivos y procesos'!$E$6:$E$35,MATCH($E15,'Objetivos y procesos'!$C$6:$C$35,0)),INDEX('Objetivos y procesos'!$D$6:$D$35,MATCH($E15,'Objetivos y procesos'!$C$6:$C$35,0)),INDEX('Objetivos y procesos'!$D$6:$D$35,MATCH($E15,'Objetivos y procesos'!$C$6:$C$35,0))&amp;IF(INDEX('Objetivos y procesos'!$E$6:$E$35,MATCH($E15,'Objetivos y procesos'!$C$6:$C$35,0))="",""," / "&amp;INDEX('Objetivos y procesos'!$E$6:$E$35,MATCH($E15,'Objetivos y procesos'!$C$6:$C$35,0))))),"ID no encontrado"))</f>
        <v>Gestión de usuarios, roles y permisos</v>
      </c>
      <c r="G15" s="8" t="s">
        <v>41</v>
      </c>
      <c r="H15" s="5" t="str">
        <f>IF($G15="","",IFERROR(IF(VLOOKUP($G15,Requerimientos!$A$6:$M$43,7,FALSE)="","",VLOOKUP($G15,Requerimientos!$A$6:$M$43,7,FALSE)),"ID no encontrado"))</f>
        <v>El sistema debe restringir las funciones y los datos visibles según los permisos efectivos del usuario (directos, de su área y de su cargo) y los grupos de autorizadores a los que pertenece.</v>
      </c>
      <c r="I15" s="7" t="str">
        <f>IF($K15="","",IFERROR(IF(VLOOKUP($K15,'Historias y criterios'!$A$6:$P$83,2,FALSE)="","",VLOOKUP($K15,'Historias y criterios'!$A$6:$P$83,2,FALSE)),"ID no encontrado"))</f>
        <v>HU-003</v>
      </c>
      <c r="J15" s="5" t="str">
        <f>IF($K15="","",IFERROR(IF(VLOOKUP($K15,'Historias y criterios'!$A$6:$P$83,10,FALSE)="","",VLOOKUP($K15,'Historias y criterios'!$A$6:$P$83,10,FALSE)),"ID no encontrado"))</f>
        <v>Como administrador, quiero definir permisos por área, por cargo y directos por usuario, además de los integrantes de los grupos de autorizadores de cada proceso, para controlar qué funciones, datos y decisiones corresponden a cada usuario</v>
      </c>
      <c r="K15" s="8" t="s">
        <v>44</v>
      </c>
      <c r="L15" s="5" t="str">
        <f>IF($K15="","",IFERROR(IF(VLOOKUP($K15,'Historias y criterios'!$A$6:$P$83,11,FALSE)="","",VLOOKUP($K15,'Historias y criterios'!$A$6:$P$83,11,FALSE)),"ID no encontrado"))</f>
        <v>Cada operación valida los permisos en el servidor.</v>
      </c>
      <c r="M15" s="8" t="s">
        <v>45</v>
      </c>
      <c r="N15" s="5" t="str">
        <f>IF($M15="","",IFERROR(IF(VLOOKUP($M15,'Casos y evidencias'!$A$6:$O$83,5,FALSE)="","",VLOOKUP($M15,'Casos y evidencias'!$A$6:$O$83,5,FALSE)),"ID no encontrado"))</f>
        <v>Validación de permisos en el servidor</v>
      </c>
      <c r="O15" s="5" t="str">
        <f>IF($M15="","",IFERROR(IF(VLOOKUP($M15,'Casos y evidencias'!$A$6:$O$83,10,FALSE)="","",VLOOKUP($M15,'Casos y evidencias'!$A$6:$O$83,10,FALSE)),"ID no encontrado"))</f>
        <v>No ejecutado</v>
      </c>
      <c r="P15" s="7" t="str">
        <f>IF($M15="","",IFERROR(IF(VLOOKUP($M15,'Casos y evidencias'!$A$6:$O$83,11,FALSE)="","",VLOOKUP($M15,'Casos y evidencias'!$A$6:$O$83,11,FALSE)),"ID no encontrado"))</f>
        <v/>
      </c>
      <c r="Q15" s="5" t="str">
        <f>IF($M15="","",IFERROR(IF(VLOOKUP($M15,'Casos y evidencias'!$A$6:$O$83,12,FALSE)="","",VLOOKUP($M15,'Casos y evidencias'!$A$6:$O$83,12,FALSE)),"ID no encontrado"))</f>
        <v/>
      </c>
      <c r="R15" s="4"/>
    </row>
    <row r="16" spans="1:18" ht="75.599999999999994" customHeight="1">
      <c r="A16" s="6">
        <v>9</v>
      </c>
      <c r="B16" s="5" t="str">
        <f>IF($G16="","",IF($K16="","Falta criterio",IFERROR(IF(VLOOKUP($K16,'Historias y criterios'!$A$6:$P$83,3,FALSE)&lt;&gt;$G16,"Revisar relación requisito-criterio",IF($M16="","Falta caso de prueba",IF(VLOOKUP($M16,'Casos y evidencias'!$A$6:$O$83,2,FALSE)&lt;&gt;$K16,"Revisar relación criterio-caso",IF($O16="Aprobado",IF($P16="","Falta evidencia","Trazabilidad completa"),IF($O16="Fallido","Prueba fallida",IF($O16="Bloqueado","Prueba bloqueada","Prueba pendiente")))))),"ID no encontrado")))</f>
        <v>Prueba pendiente</v>
      </c>
      <c r="C16" s="7" t="str">
        <f>IF($G16="","",IFERROR(IF(VLOOKUP($G16,Requerimientos!$A$6:$M$43,2,FALSE)="","",VLOOKUP($G16,Requerimientos!$A$6:$M$43,2,FALSE)),"ID no encontrado"))</f>
        <v>OBJ-001</v>
      </c>
      <c r="D16" s="5" t="str">
        <f>IF($C16="","",IFERROR(IF(VLOOKUP($C16,'Objetivos y procesos'!$A$6:$H$35,2,FALSE)="","",VLOOKUP($C16,'Objetivos y procesos'!$A$6:$H$35,2,FALSE)),"ID no encontrado"))</f>
        <v>Proteger la plataforma y asegurar que cada usuario opere con el perfil, empresa y vendedor correctos.</v>
      </c>
      <c r="E16" s="7" t="str">
        <f>IF($G16="","",IFERROR(IF(VLOOKUP($G16,Requerimientos!$A$6:$M$43,3,FALSE)="","",VLOOKUP($G16,Requerimientos!$A$6:$M$43,3,FALSE)),"ID no encontrado"))</f>
        <v>PR-01</v>
      </c>
      <c r="F16" s="5" t="str">
        <f>IF($E16="","",IFERROR(IF(INDEX('Objetivos y procesos'!$D$6:$D$35,MATCH($E16,'Objetivos y procesos'!$C$6:$C$35,0))="","",IF(INDEX('Objetivos y procesos'!$D$6:$D$35,MATCH($E16,'Objetivos y procesos'!$C$6:$C$35,0))=INDEX('Objetivos y procesos'!$E$6:$E$35,MATCH($E16,'Objetivos y procesos'!$C$6:$C$35,0)),INDEX('Objetivos y procesos'!$D$6:$D$35,MATCH($E16,'Objetivos y procesos'!$C$6:$C$35,0)),INDEX('Objetivos y procesos'!$D$6:$D$35,MATCH($E16,'Objetivos y procesos'!$C$6:$C$35,0))&amp;IF(INDEX('Objetivos y procesos'!$E$6:$E$35,MATCH($E16,'Objetivos y procesos'!$C$6:$C$35,0))="",""," / "&amp;INDEX('Objetivos y procesos'!$E$6:$E$35,MATCH($E16,'Objetivos y procesos'!$C$6:$C$35,0))))),"ID no encontrado"))</f>
        <v>Gestión de usuarios, roles y permisos</v>
      </c>
      <c r="G16" s="8" t="s">
        <v>46</v>
      </c>
      <c r="H16" s="5" t="str">
        <f>IF($G16="","",IFERROR(IF(VLOOKUP($G16,Requerimientos!$A$6:$M$43,7,FALSE)="","",VLOOKUP($G16,Requerimientos!$A$6:$M$43,7,FALSE)),"ID no encontrado"))</f>
        <v>El sistema debe permitir definir los integrantes de los grupos de autorizadores de cada proceso (solicitudes de código, notas de venta, posventa y nota de crédito).</v>
      </c>
      <c r="I16" s="7" t="str">
        <f>IF($K16="","",IFERROR(IF(VLOOKUP($K16,'Historias y criterios'!$A$6:$P$83,2,FALSE)="","",VLOOKUP($K16,'Historias y criterios'!$A$6:$P$83,2,FALSE)),"ID no encontrado"))</f>
        <v>HU-003</v>
      </c>
      <c r="J16" s="5" t="str">
        <f>IF($K16="","",IFERROR(IF(VLOOKUP($K16,'Historias y criterios'!$A$6:$P$83,10,FALSE)="","",VLOOKUP($K16,'Historias y criterios'!$A$6:$P$83,10,FALSE)),"ID no encontrado"))</f>
        <v>Como administrador, quiero definir permisos por área, por cargo y directos por usuario, además de los integrantes de los grupos de autorizadores de cada proceso, para controlar qué funciones, datos y decisiones corresponden a cada usuario</v>
      </c>
      <c r="K16" s="8" t="s">
        <v>47</v>
      </c>
      <c r="L16" s="5" t="str">
        <f>IF($K16="","",IFERROR(IF(VLOOKUP($K16,'Historias y criterios'!$A$6:$P$83,11,FALSE)="","",VLOOKUP($K16,'Historias y criterios'!$A$6:$P$83,11,FALSE)),"ID no encontrado"))</f>
        <v>Es posible modificar los integrantes de los grupos de cada proceso, siempre con al menos un integrante activo.</v>
      </c>
      <c r="M16" s="8" t="s">
        <v>48</v>
      </c>
      <c r="N16" s="5" t="str">
        <f>IF($M16="","",IFERROR(IF(VLOOKUP($M16,'Casos y evidencias'!$A$6:$O$83,5,FALSE)="","",VLOOKUP($M16,'Casos y evidencias'!$A$6:$O$83,5,FALSE)),"ID no encontrado"))</f>
        <v>Gestión de integrantes de los grupos de autorizadores de cada proceso</v>
      </c>
      <c r="O16" s="5" t="str">
        <f>IF($M16="","",IFERROR(IF(VLOOKUP($M16,'Casos y evidencias'!$A$6:$O$83,10,FALSE)="","",VLOOKUP($M16,'Casos y evidencias'!$A$6:$O$83,10,FALSE)),"ID no encontrado"))</f>
        <v>No ejecutado</v>
      </c>
      <c r="P16" s="7" t="str">
        <f>IF($M16="","",IFERROR(IF(VLOOKUP($M16,'Casos y evidencias'!$A$6:$O$83,11,FALSE)="","",VLOOKUP($M16,'Casos y evidencias'!$A$6:$O$83,11,FALSE)),"ID no encontrado"))</f>
        <v/>
      </c>
      <c r="Q16" s="5" t="str">
        <f>IF($M16="","",IFERROR(IF(VLOOKUP($M16,'Casos y evidencias'!$A$6:$O$83,12,FALSE)="","",VLOOKUP($M16,'Casos y evidencias'!$A$6:$O$83,12,FALSE)),"ID no encontrado"))</f>
        <v/>
      </c>
      <c r="R16" s="4"/>
    </row>
    <row r="17" spans="1:18" ht="75.599999999999994" customHeight="1">
      <c r="A17" s="6">
        <v>10</v>
      </c>
      <c r="B17" s="5" t="str">
        <f>IF($G17="","",IF($K17="","Falta criterio",IFERROR(IF(VLOOKUP($K17,'Historias y criterios'!$A$6:$P$83,3,FALSE)&lt;&gt;$G17,"Revisar relación requisito-criterio",IF($M17="","Falta caso de prueba",IF(VLOOKUP($M17,'Casos y evidencias'!$A$6:$O$83,2,FALSE)&lt;&gt;$K17,"Revisar relación criterio-caso",IF($O17="Aprobado",IF($P17="","Falta evidencia","Trazabilidad completa"),IF($O17="Fallido","Prueba fallida",IF($O17="Bloqueado","Prueba bloqueada","Prueba pendiente")))))),"ID no encontrado")))</f>
        <v>Prueba pendiente</v>
      </c>
      <c r="C17" s="7" t="str">
        <f>IF($G17="","",IFERROR(IF(VLOOKUP($G17,Requerimientos!$A$6:$M$43,2,FALSE)="","",VLOOKUP($G17,Requerimientos!$A$6:$M$43,2,FALSE)),"ID no encontrado"))</f>
        <v>OBJ-001</v>
      </c>
      <c r="D17" s="5" t="str">
        <f>IF($C17="","",IFERROR(IF(VLOOKUP($C17,'Objetivos y procesos'!$A$6:$H$35,2,FALSE)="","",VLOOKUP($C17,'Objetivos y procesos'!$A$6:$H$35,2,FALSE)),"ID no encontrado"))</f>
        <v>Proteger la plataforma y asegurar que cada usuario opere con el perfil, empresa y vendedor correctos.</v>
      </c>
      <c r="E17" s="7" t="str">
        <f>IF($G17="","",IFERROR(IF(VLOOKUP($G17,Requerimientos!$A$6:$M$43,3,FALSE)="","",VLOOKUP($G17,Requerimientos!$A$6:$M$43,3,FALSE)),"ID no encontrado"))</f>
        <v>PR-01</v>
      </c>
      <c r="F17" s="5" t="str">
        <f>IF($E17="","",IFERROR(IF(INDEX('Objetivos y procesos'!$D$6:$D$35,MATCH($E17,'Objetivos y procesos'!$C$6:$C$35,0))="","",IF(INDEX('Objetivos y procesos'!$D$6:$D$35,MATCH($E17,'Objetivos y procesos'!$C$6:$C$35,0))=INDEX('Objetivos y procesos'!$E$6:$E$35,MATCH($E17,'Objetivos y procesos'!$C$6:$C$35,0)),INDEX('Objetivos y procesos'!$D$6:$D$35,MATCH($E17,'Objetivos y procesos'!$C$6:$C$35,0)),INDEX('Objetivos y procesos'!$D$6:$D$35,MATCH($E17,'Objetivos y procesos'!$C$6:$C$35,0))&amp;IF(INDEX('Objetivos y procesos'!$E$6:$E$35,MATCH($E17,'Objetivos y procesos'!$C$6:$C$35,0))="",""," / "&amp;INDEX('Objetivos y procesos'!$E$6:$E$35,MATCH($E17,'Objetivos y procesos'!$C$6:$C$35,0))))),"ID no encontrado"))</f>
        <v>Gestión de usuarios, roles y permisos</v>
      </c>
      <c r="G17" s="8" t="s">
        <v>49</v>
      </c>
      <c r="H17" s="5" t="str">
        <f>IF($G17="","",IFERROR(IF(VLOOKUP($G17,Requerimientos!$A$6:$M$43,7,FALSE)="","",VLOOKUP($G17,Requerimientos!$A$6:$M$43,7,FALSE)),"ID no encontrado"))</f>
        <v>El sistema debe permitir al administrador definir y modificar los permisos asociados a cada área y a cada cargo, además de los permisos directos de cada usuario.</v>
      </c>
      <c r="I17" s="7" t="str">
        <f>IF($K17="","",IFERROR(IF(VLOOKUP($K17,'Historias y criterios'!$A$6:$P$83,2,FALSE)="","",VLOOKUP($K17,'Historias y criterios'!$A$6:$P$83,2,FALSE)),"ID no encontrado"))</f>
        <v>HU-003</v>
      </c>
      <c r="J17" s="5" t="str">
        <f>IF($K17="","",IFERROR(IF(VLOOKUP($K17,'Historias y criterios'!$A$6:$P$83,10,FALSE)="","",VLOOKUP($K17,'Historias y criterios'!$A$6:$P$83,10,FALSE)),"ID no encontrado"))</f>
        <v>Como administrador, quiero definir permisos por área, por cargo y directos por usuario, además de los integrantes de los grupos de autorizadores de cada proceso, para controlar qué funciones, datos y decisiones corresponden a cada usuario</v>
      </c>
      <c r="K17" s="8" t="s">
        <v>50</v>
      </c>
      <c r="L17" s="5" t="str">
        <f>IF($K17="","",IFERROR(IF(VLOOKUP($K17,'Historias y criterios'!$A$6:$P$83,11,FALSE)="","",VLOOKUP($K17,'Historias y criterios'!$A$6:$P$83,11,FALSE)),"ID no encontrado"))</f>
        <v>Solo el administrador gestiona permisos y grupos.</v>
      </c>
      <c r="M17" s="8" t="s">
        <v>51</v>
      </c>
      <c r="N17" s="5" t="str">
        <f>IF($M17="","",IFERROR(IF(VLOOKUP($M17,'Casos y evidencias'!$A$6:$O$83,5,FALSE)="","",VLOOKUP($M17,'Casos y evidencias'!$A$6:$O$83,5,FALSE)),"ID no encontrado"))</f>
        <v>Gestión de permisos exclusiva del administrador</v>
      </c>
      <c r="O17" s="5" t="str">
        <f>IF($M17="","",IFERROR(IF(VLOOKUP($M17,'Casos y evidencias'!$A$6:$O$83,10,FALSE)="","",VLOOKUP($M17,'Casos y evidencias'!$A$6:$O$83,10,FALSE)),"ID no encontrado"))</f>
        <v>No ejecutado</v>
      </c>
      <c r="P17" s="7" t="str">
        <f>IF($M17="","",IFERROR(IF(VLOOKUP($M17,'Casos y evidencias'!$A$6:$O$83,11,FALSE)="","",VLOOKUP($M17,'Casos y evidencias'!$A$6:$O$83,11,FALSE)),"ID no encontrado"))</f>
        <v/>
      </c>
      <c r="Q17" s="5" t="str">
        <f>IF($M17="","",IFERROR(IF(VLOOKUP($M17,'Casos y evidencias'!$A$6:$O$83,12,FALSE)="","",VLOOKUP($M17,'Casos y evidencias'!$A$6:$O$83,12,FALSE)),"ID no encontrado"))</f>
        <v/>
      </c>
      <c r="R17" s="4"/>
    </row>
    <row r="18" spans="1:18" ht="89.1" customHeight="1">
      <c r="A18" s="6">
        <v>11</v>
      </c>
      <c r="B18" s="5" t="str">
        <f>IF($G18="","",IF($K18="","Falta criterio",IFERROR(IF(VLOOKUP($K18,'Historias y criterios'!$A$6:$P$83,3,FALSE)&lt;&gt;$G18,"Revisar relación requisito-criterio",IF($M18="","Falta caso de prueba",IF(VLOOKUP($M18,'Casos y evidencias'!$A$6:$O$83,2,FALSE)&lt;&gt;$K18,"Revisar relación criterio-caso",IF($O18="Aprobado",IF($P18="","Falta evidencia","Trazabilidad completa"),IF($O18="Fallido","Prueba fallida",IF($O18="Bloqueado","Prueba bloqueada","Prueba pendiente")))))),"ID no encontrado")))</f>
        <v>Prueba pendiente</v>
      </c>
      <c r="C18" s="7" t="str">
        <f>IF($G18="","",IFERROR(IF(VLOOKUP($G18,Requerimientos!$A$6:$M$43,2,FALSE)="","",VLOOKUP($G18,Requerimientos!$A$6:$M$43,2,FALSE)),"ID no encontrado"))</f>
        <v>OBJ-001</v>
      </c>
      <c r="D18" s="5" t="str">
        <f>IF($C18="","",IFERROR(IF(VLOOKUP($C18,'Objetivos y procesos'!$A$6:$H$35,2,FALSE)="","",VLOOKUP($C18,'Objetivos y procesos'!$A$6:$H$35,2,FALSE)),"ID no encontrado"))</f>
        <v>Proteger la plataforma y asegurar que cada usuario opere con el perfil, empresa y vendedor correctos.</v>
      </c>
      <c r="E18" s="7" t="str">
        <f>IF($G18="","",IFERROR(IF(VLOOKUP($G18,Requerimientos!$A$6:$M$43,3,FALSE)="","",VLOOKUP($G18,Requerimientos!$A$6:$M$43,3,FALSE)),"ID no encontrado"))</f>
        <v>PR-01</v>
      </c>
      <c r="F18" s="5" t="str">
        <f>IF($E18="","",IFERROR(IF(INDEX('Objetivos y procesos'!$D$6:$D$35,MATCH($E18,'Objetivos y procesos'!$C$6:$C$35,0))="","",IF(INDEX('Objetivos y procesos'!$D$6:$D$35,MATCH($E18,'Objetivos y procesos'!$C$6:$C$35,0))=INDEX('Objetivos y procesos'!$E$6:$E$35,MATCH($E18,'Objetivos y procesos'!$C$6:$C$35,0)),INDEX('Objetivos y procesos'!$D$6:$D$35,MATCH($E18,'Objetivos y procesos'!$C$6:$C$35,0)),INDEX('Objetivos y procesos'!$D$6:$D$35,MATCH($E18,'Objetivos y procesos'!$C$6:$C$35,0))&amp;IF(INDEX('Objetivos y procesos'!$E$6:$E$35,MATCH($E18,'Objetivos y procesos'!$C$6:$C$35,0))="",""," / "&amp;INDEX('Objetivos y procesos'!$E$6:$E$35,MATCH($E18,'Objetivos y procesos'!$C$6:$C$35,0))))),"ID no encontrado"))</f>
        <v>Gestión de usuarios, roles y permisos</v>
      </c>
      <c r="G18" s="8" t="s">
        <v>52</v>
      </c>
      <c r="H18" s="5" t="str">
        <f>IF($G18="","",IFERROR(IF(VLOOKUP($G18,Requerimientos!$A$6:$M$43,7,FALSE)="","",VLOOKUP($G18,Requerimientos!$A$6:$M$43,7,FALSE)),"ID no encontrado"))</f>
        <v>El sistema debe permitir asociar a cada usuario, sea vendedor o asistente de vendedor, uno o más códigos de vendedor de SAP (SlpCode), cada uno vinculado a su empresa: Ferretería Marsella o Asland.</v>
      </c>
      <c r="I18" s="7" t="str">
        <f>IF($K18="","",IFERROR(IF(VLOOKUP($K18,'Historias y criterios'!$A$6:$P$83,2,FALSE)="","",VLOOKUP($K18,'Historias y criterios'!$A$6:$P$83,2,FALSE)),"ID no encontrado"))</f>
        <v>HU-004</v>
      </c>
      <c r="J18" s="5" t="str">
        <f>IF($K18="","",IFERROR(IF(VLOOKUP($K18,'Historias y criterios'!$A$6:$P$83,10,FALSE)="","",VLOOKUP($K18,'Historias y criterios'!$A$6:$P$83,10,FALSE)),"ID no encontrado"))</f>
        <v>Como administrador, quiero asociar SlpCode y escala de comisión por empresa a vendedores y asistentes, para asegurar que cada operación use la empresa y el vendedor correctos</v>
      </c>
      <c r="K18" s="8" t="s">
        <v>53</v>
      </c>
      <c r="L18" s="5" t="str">
        <f>IF($K18="","",IFERROR(IF(VLOOKUP($K18,'Historias y criterios'!$A$6:$P$83,11,FALSE)="","",VLOOKUP($K18,'Historias y criterios'!$A$6:$P$83,11,FALSE)),"ID no encontrado"))</f>
        <v>Cada SlpCode queda asociado a Marsella o Asland y a los usuarios autorizados.</v>
      </c>
      <c r="M18" s="8" t="s">
        <v>54</v>
      </c>
      <c r="N18" s="5" t="str">
        <f>IF($M18="","",IFERROR(IF(VLOOKUP($M18,'Casos y evidencias'!$A$6:$O$83,5,FALSE)="","",VLOOKUP($M18,'Casos y evidencias'!$A$6:$O$83,5,FALSE)),"ID no encontrado"))</f>
        <v>Asociación de SlpCode por empresa</v>
      </c>
      <c r="O18" s="5" t="str">
        <f>IF($M18="","",IFERROR(IF(VLOOKUP($M18,'Casos y evidencias'!$A$6:$O$83,10,FALSE)="","",VLOOKUP($M18,'Casos y evidencias'!$A$6:$O$83,10,FALSE)),"ID no encontrado"))</f>
        <v>No ejecutado</v>
      </c>
      <c r="P18" s="7" t="str">
        <f>IF($M18="","",IFERROR(IF(VLOOKUP($M18,'Casos y evidencias'!$A$6:$O$83,11,FALSE)="","",VLOOKUP($M18,'Casos y evidencias'!$A$6:$O$83,11,FALSE)),"ID no encontrado"))</f>
        <v/>
      </c>
      <c r="Q18" s="5" t="str">
        <f>IF($M18="","",IFERROR(IF(VLOOKUP($M18,'Casos y evidencias'!$A$6:$O$83,12,FALSE)="","",VLOOKUP($M18,'Casos y evidencias'!$A$6:$O$83,12,FALSE)),"ID no encontrado"))</f>
        <v/>
      </c>
      <c r="R18" s="4"/>
    </row>
    <row r="19" spans="1:18" ht="75.599999999999994" customHeight="1">
      <c r="A19" s="6">
        <v>12</v>
      </c>
      <c r="B19" s="5" t="str">
        <f>IF($G19="","",IF($K19="","Falta criterio",IFERROR(IF(VLOOKUP($K19,'Historias y criterios'!$A$6:$P$83,3,FALSE)&lt;&gt;$G19,"Revisar relación requisito-criterio",IF($M19="","Falta caso de prueba",IF(VLOOKUP($M19,'Casos y evidencias'!$A$6:$O$83,2,FALSE)&lt;&gt;$K19,"Revisar relación criterio-caso",IF($O19="Aprobado",IF($P19="","Falta evidencia","Trazabilidad completa"),IF($O19="Fallido","Prueba fallida",IF($O19="Bloqueado","Prueba bloqueada","Prueba pendiente")))))),"ID no encontrado")))</f>
        <v>Prueba pendiente</v>
      </c>
      <c r="C19" s="7" t="str">
        <f>IF($G19="","",IFERROR(IF(VLOOKUP($G19,Requerimientos!$A$6:$M$43,2,FALSE)="","",VLOOKUP($G19,Requerimientos!$A$6:$M$43,2,FALSE)),"ID no encontrado"))</f>
        <v>OBJ-003</v>
      </c>
      <c r="D19" s="5" t="str">
        <f>IF($C19="","",IFERROR(IF(VLOOKUP($C19,'Objetivos y procesos'!$A$6:$H$35,2,FALSE)="","",VLOOKUP($C19,'Objetivos y procesos'!$A$6:$H$35,2,FALSE)),"ID no encontrado"))</f>
        <v>Centralizar consultas, cotizaciones y órdenes de venta, aplicando vendedor, comisión, autorización e integración correctos.</v>
      </c>
      <c r="E19" s="7" t="str">
        <f>IF($G19="","",IFERROR(IF(VLOOKUP($G19,Requerimientos!$A$6:$M$43,3,FALSE)="","",VLOOKUP($G19,Requerimientos!$A$6:$M$43,3,FALSE)),"ID no encontrado"))</f>
        <v>PR-03</v>
      </c>
      <c r="F19" s="5" t="str">
        <f>IF($E19="","",IFERROR(IF(INDEX('Objetivos y procesos'!$D$6:$D$35,MATCH($E19,'Objetivos y procesos'!$C$6:$C$35,0))="","",IF(INDEX('Objetivos y procesos'!$D$6:$D$35,MATCH($E19,'Objetivos y procesos'!$C$6:$C$35,0))=INDEX('Objetivos y procesos'!$E$6:$E$35,MATCH($E19,'Objetivos y procesos'!$C$6:$C$35,0)),INDEX('Objetivos y procesos'!$D$6:$D$35,MATCH($E19,'Objetivos y procesos'!$C$6:$C$35,0)),INDEX('Objetivos y procesos'!$D$6:$D$35,MATCH($E19,'Objetivos y procesos'!$C$6:$C$35,0))&amp;IF(INDEX('Objetivos y procesos'!$E$6:$E$35,MATCH($E19,'Objetivos y procesos'!$C$6:$C$35,0))="",""," / "&amp;INDEX('Objetivos y procesos'!$E$6:$E$35,MATCH($E19,'Objetivos y procesos'!$C$6:$C$35,0))))),"ID no encontrado"))</f>
        <v>Gestión comercial, cotizaciones y órdenes de venta</v>
      </c>
      <c r="G19" s="8" t="s">
        <v>55</v>
      </c>
      <c r="H19" s="5" t="str">
        <f>IF($G19="","",IFERROR(IF(VLOOKUP($G19,Requerimientos!$A$6:$M$43,7,FALSE)="","",VLOOKUP($G19,Requerimientos!$A$6:$M$43,7,FALSE)),"ID no encontrado"))</f>
        <v>El sistema debe permitir al administrador asignar a cada código de vendedor, al editar su perfil, la escala de comisión con que se calcula su comisión.</v>
      </c>
      <c r="I19" s="7" t="str">
        <f>IF($K19="","",IFERROR(IF(VLOOKUP($K19,'Historias y criterios'!$A$6:$P$83,2,FALSE)="","",VLOOKUP($K19,'Historias y criterios'!$A$6:$P$83,2,FALSE)),"ID no encontrado"))</f>
        <v>HU-004</v>
      </c>
      <c r="J19" s="5" t="str">
        <f>IF($K19="","",IFERROR(IF(VLOOKUP($K19,'Historias y criterios'!$A$6:$P$83,10,FALSE)="","",VLOOKUP($K19,'Historias y criterios'!$A$6:$P$83,10,FALSE)),"ID no encontrado"))</f>
        <v>Como administrador, quiero asociar SlpCode y escala de comisión por empresa a vendedores y asistentes, para asegurar que cada operación use la empresa y el vendedor correctos</v>
      </c>
      <c r="K19" s="8" t="s">
        <v>56</v>
      </c>
      <c r="L19" s="5" t="str">
        <f>IF($K19="","",IFERROR(IF(VLOOKUP($K19,'Historias y criterios'!$A$6:$P$83,11,FALSE)="","",VLOOKUP($K19,'Historias y criterios'!$A$6:$P$83,11,FALSE)),"ID no encontrado"))</f>
        <v>Se asigna una escala de comisión o se usa la escala predeterminada.</v>
      </c>
      <c r="M19" s="8" t="s">
        <v>57</v>
      </c>
      <c r="N19" s="5" t="str">
        <f>IF($M19="","",IFERROR(IF(VLOOKUP($M19,'Casos y evidencias'!$A$6:$O$83,5,FALSE)="","",VLOOKUP($M19,'Casos y evidencias'!$A$6:$O$83,5,FALSE)),"ID no encontrado"))</f>
        <v>Asignación de escala de comisión</v>
      </c>
      <c r="O19" s="5" t="str">
        <f>IF($M19="","",IFERROR(IF(VLOOKUP($M19,'Casos y evidencias'!$A$6:$O$83,10,FALSE)="","",VLOOKUP($M19,'Casos y evidencias'!$A$6:$O$83,10,FALSE)),"ID no encontrado"))</f>
        <v>No ejecutado</v>
      </c>
      <c r="P19" s="7" t="str">
        <f>IF($M19="","",IFERROR(IF(VLOOKUP($M19,'Casos y evidencias'!$A$6:$O$83,11,FALSE)="","",VLOOKUP($M19,'Casos y evidencias'!$A$6:$O$83,11,FALSE)),"ID no encontrado"))</f>
        <v/>
      </c>
      <c r="Q19" s="5" t="str">
        <f>IF($M19="","",IFERROR(IF(VLOOKUP($M19,'Casos y evidencias'!$A$6:$O$83,12,FALSE)="","",VLOOKUP($M19,'Casos y evidencias'!$A$6:$O$83,12,FALSE)),"ID no encontrado"))</f>
        <v/>
      </c>
      <c r="R19" s="4"/>
    </row>
    <row r="20" spans="1:18" ht="129.6" customHeight="1">
      <c r="A20" s="6">
        <v>13</v>
      </c>
      <c r="B20" s="5" t="str">
        <f>IF($G20="","",IF($K20="","Falta criterio",IFERROR(IF(VLOOKUP($K20,'Historias y criterios'!$A$6:$P$83,3,FALSE)&lt;&gt;$G20,"Revisar relación requisito-criterio",IF($M20="","Falta caso de prueba",IF(VLOOKUP($M20,'Casos y evidencias'!$A$6:$O$83,2,FALSE)&lt;&gt;$K20,"Revisar relación criterio-caso",IF($O20="Aprobado",IF($P20="","Falta evidencia","Trazabilidad completa"),IF($O20="Fallido","Prueba fallida",IF($O20="Bloqueado","Prueba bloqueada","Prueba pendiente")))))),"ID no encontrado")))</f>
        <v>Prueba pendiente</v>
      </c>
      <c r="C20" s="7" t="str">
        <f>IF($G20="","",IFERROR(IF(VLOOKUP($G20,Requerimientos!$A$6:$M$43,2,FALSE)="","",VLOOKUP($G20,Requerimientos!$A$6:$M$43,2,FALSE)),"ID no encontrado"))</f>
        <v>OBJ-001</v>
      </c>
      <c r="D20" s="5" t="str">
        <f>IF($C20="","",IFERROR(IF(VLOOKUP($C20,'Objetivos y procesos'!$A$6:$H$35,2,FALSE)="","",VLOOKUP($C20,'Objetivos y procesos'!$A$6:$H$35,2,FALSE)),"ID no encontrado"))</f>
        <v>Proteger la plataforma y asegurar que cada usuario opere con el perfil, empresa y vendedor correctos.</v>
      </c>
      <c r="E20" s="7" t="str">
        <f>IF($G20="","",IFERROR(IF(VLOOKUP($G20,Requerimientos!$A$6:$M$43,3,FALSE)="","",VLOOKUP($G20,Requerimientos!$A$6:$M$43,3,FALSE)),"ID no encontrado"))</f>
        <v>PR-01</v>
      </c>
      <c r="F20" s="5" t="str">
        <f>IF($E20="","",IFERROR(IF(INDEX('Objetivos y procesos'!$D$6:$D$35,MATCH($E20,'Objetivos y procesos'!$C$6:$C$35,0))="","",IF(INDEX('Objetivos y procesos'!$D$6:$D$35,MATCH($E20,'Objetivos y procesos'!$C$6:$C$35,0))=INDEX('Objetivos y procesos'!$E$6:$E$35,MATCH($E20,'Objetivos y procesos'!$C$6:$C$35,0)),INDEX('Objetivos y procesos'!$D$6:$D$35,MATCH($E20,'Objetivos y procesos'!$C$6:$C$35,0)),INDEX('Objetivos y procesos'!$D$6:$D$35,MATCH($E20,'Objetivos y procesos'!$C$6:$C$35,0))&amp;IF(INDEX('Objetivos y procesos'!$E$6:$E$35,MATCH($E20,'Objetivos y procesos'!$C$6:$C$35,0))="",""," / "&amp;INDEX('Objetivos y procesos'!$E$6:$E$35,MATCH($E20,'Objetivos y procesos'!$C$6:$C$35,0))))),"ID no encontrado"))</f>
        <v>Gestión de usuarios, roles y permisos</v>
      </c>
      <c r="G20" s="8" t="s">
        <v>58</v>
      </c>
      <c r="H20" s="5" t="str">
        <f>IF($G20="","",IFERROR(IF(VLOOKUP($G20,Requerimientos!$A$6:$M$43,7,FALSE)="","",VLOOKUP($G20,Requerimientos!$A$6:$M$43,7,FALSE)),"ID no encontrado"))</f>
        <v>El sistema debe ofrecer un selector de empresa en la barra de navegación, visible para los usuarios con códigos en ambas empresas, que cambie la empresa activa en toda la plataforma: consultas, documentos, solicitudes y casos. La interfaz identifica la empresa activa por color: rojo para Ferretería Marsella y celeste para Asland.</v>
      </c>
      <c r="I20" s="7" t="str">
        <f>IF($K20="","",IFERROR(IF(VLOOKUP($K20,'Historias y criterios'!$A$6:$P$83,2,FALSE)="","",VLOOKUP($K20,'Historias y criterios'!$A$6:$P$83,2,FALSE)),"ID no encontrado"))</f>
        <v>HU-004</v>
      </c>
      <c r="J20" s="5" t="str">
        <f>IF($K20="","",IFERROR(IF(VLOOKUP($K20,'Historias y criterios'!$A$6:$P$83,10,FALSE)="","",VLOOKUP($K20,'Historias y criterios'!$A$6:$P$83,10,FALSE)),"ID no encontrado"))</f>
        <v>Como administrador, quiero asociar SlpCode y escala de comisión por empresa a vendedores y asistentes, para asegurar que cada operación use la empresa y el vendedor correctos</v>
      </c>
      <c r="K20" s="8" t="s">
        <v>59</v>
      </c>
      <c r="L20" s="5" t="str">
        <f>IF($K20="","",IFERROR(IF(VLOOKUP($K20,'Historias y criterios'!$A$6:$P$83,11,FALSE)="","",VLOOKUP($K20,'Historias y criterios'!$A$6:$P$83,11,FALSE)),"ID no encontrado"))</f>
        <v>El selector de empresa solo aparece a usuarios con códigos en ambas empresas.</v>
      </c>
      <c r="M20" s="8" t="s">
        <v>60</v>
      </c>
      <c r="N20" s="5" t="str">
        <f>IF($M20="","",IFERROR(IF(VLOOKUP($M20,'Casos y evidencias'!$A$6:$O$83,5,FALSE)="","",VLOOKUP($M20,'Casos y evidencias'!$A$6:$O$83,5,FALSE)),"ID no encontrado"))</f>
        <v>Visibilidad del selector de empresa</v>
      </c>
      <c r="O20" s="5" t="str">
        <f>IF($M20="","",IFERROR(IF(VLOOKUP($M20,'Casos y evidencias'!$A$6:$O$83,10,FALSE)="","",VLOOKUP($M20,'Casos y evidencias'!$A$6:$O$83,10,FALSE)),"ID no encontrado"))</f>
        <v>No ejecutado</v>
      </c>
      <c r="P20" s="7" t="str">
        <f>IF($M20="","",IFERROR(IF(VLOOKUP($M20,'Casos y evidencias'!$A$6:$O$83,11,FALSE)="","",VLOOKUP($M20,'Casos y evidencias'!$A$6:$O$83,11,FALSE)),"ID no encontrado"))</f>
        <v/>
      </c>
      <c r="Q20" s="5" t="str">
        <f>IF($M20="","",IFERROR(IF(VLOOKUP($M20,'Casos y evidencias'!$A$6:$O$83,12,FALSE)="","",VLOOKUP($M20,'Casos y evidencias'!$A$6:$O$83,12,FALSE)),"ID no encontrado"))</f>
        <v/>
      </c>
      <c r="R20" s="4"/>
    </row>
    <row r="21" spans="1:18" ht="129.6" customHeight="1">
      <c r="A21" s="6">
        <v>14</v>
      </c>
      <c r="B21" s="5" t="str">
        <f>IF($G21="","",IF($K21="","Falta criterio",IFERROR(IF(VLOOKUP($K21,'Historias y criterios'!$A$6:$P$83,3,FALSE)&lt;&gt;$G21,"Revisar relación requisito-criterio",IF($M21="","Falta caso de prueba",IF(VLOOKUP($M21,'Casos y evidencias'!$A$6:$O$83,2,FALSE)&lt;&gt;$K21,"Revisar relación criterio-caso",IF($O21="Aprobado",IF($P21="","Falta evidencia","Trazabilidad completa"),IF($O21="Fallido","Prueba fallida",IF($O21="Bloqueado","Prueba bloqueada","Prueba pendiente")))))),"ID no encontrado")))</f>
        <v>Prueba pendiente</v>
      </c>
      <c r="C21" s="7" t="str">
        <f>IF($G21="","",IFERROR(IF(VLOOKUP($G21,Requerimientos!$A$6:$M$43,2,FALSE)="","",VLOOKUP($G21,Requerimientos!$A$6:$M$43,2,FALSE)),"ID no encontrado"))</f>
        <v>OBJ-001</v>
      </c>
      <c r="D21" s="5" t="str">
        <f>IF($C21="","",IFERROR(IF(VLOOKUP($C21,'Objetivos y procesos'!$A$6:$H$35,2,FALSE)="","",VLOOKUP($C21,'Objetivos y procesos'!$A$6:$H$35,2,FALSE)),"ID no encontrado"))</f>
        <v>Proteger la plataforma y asegurar que cada usuario opere con el perfil, empresa y vendedor correctos.</v>
      </c>
      <c r="E21" s="7" t="str">
        <f>IF($G21="","",IFERROR(IF(VLOOKUP($G21,Requerimientos!$A$6:$M$43,3,FALSE)="","",VLOOKUP($G21,Requerimientos!$A$6:$M$43,3,FALSE)),"ID no encontrado"))</f>
        <v>PR-01</v>
      </c>
      <c r="F21" s="5" t="str">
        <f>IF($E21="","",IFERROR(IF(INDEX('Objetivos y procesos'!$D$6:$D$35,MATCH($E21,'Objetivos y procesos'!$C$6:$C$35,0))="","",IF(INDEX('Objetivos y procesos'!$D$6:$D$35,MATCH($E21,'Objetivos y procesos'!$C$6:$C$35,0))=INDEX('Objetivos y procesos'!$E$6:$E$35,MATCH($E21,'Objetivos y procesos'!$C$6:$C$35,0)),INDEX('Objetivos y procesos'!$D$6:$D$35,MATCH($E21,'Objetivos y procesos'!$C$6:$C$35,0)),INDEX('Objetivos y procesos'!$D$6:$D$35,MATCH($E21,'Objetivos y procesos'!$C$6:$C$35,0))&amp;IF(INDEX('Objetivos y procesos'!$E$6:$E$35,MATCH($E21,'Objetivos y procesos'!$C$6:$C$35,0))="",""," / "&amp;INDEX('Objetivos y procesos'!$E$6:$E$35,MATCH($E21,'Objetivos y procesos'!$C$6:$C$35,0))))),"ID no encontrado"))</f>
        <v>Gestión de usuarios, roles y permisos</v>
      </c>
      <c r="G21" s="8" t="s">
        <v>58</v>
      </c>
      <c r="H21" s="5" t="str">
        <f>IF($G21="","",IFERROR(IF(VLOOKUP($G21,Requerimientos!$A$6:$M$43,7,FALSE)="","",VLOOKUP($G21,Requerimientos!$A$6:$M$43,7,FALSE)),"ID no encontrado"))</f>
        <v>El sistema debe ofrecer un selector de empresa en la barra de navegación, visible para los usuarios con códigos en ambas empresas, que cambie la empresa activa en toda la plataforma: consultas, documentos, solicitudes y casos. La interfaz identifica la empresa activa por color: rojo para Ferretería Marsella y celeste para Asland.</v>
      </c>
      <c r="I21" s="7" t="str">
        <f>IF($K21="","",IFERROR(IF(VLOOKUP($K21,'Historias y criterios'!$A$6:$P$83,2,FALSE)="","",VLOOKUP($K21,'Historias y criterios'!$A$6:$P$83,2,FALSE)),"ID no encontrado"))</f>
        <v>HU-004</v>
      </c>
      <c r="J21" s="5" t="str">
        <f>IF($K21="","",IFERROR(IF(VLOOKUP($K21,'Historias y criterios'!$A$6:$P$83,10,FALSE)="","",VLOOKUP($K21,'Historias y criterios'!$A$6:$P$83,10,FALSE)),"ID no encontrado"))</f>
        <v>Como administrador, quiero asociar SlpCode y escala de comisión por empresa a vendedores y asistentes, para asegurar que cada operación use la empresa y el vendedor correctos</v>
      </c>
      <c r="K21" s="8" t="s">
        <v>61</v>
      </c>
      <c r="L21" s="5" t="str">
        <f>IF($K21="","",IFERROR(IF(VLOOKUP($K21,'Historias y criterios'!$A$6:$P$83,11,FALSE)="","",VLOOKUP($K21,'Historias y criterios'!$A$6:$P$83,11,FALSE)),"ID no encontrado"))</f>
        <v>Al cambiar la empresa activa, consultas, documentos, solicitudes y casos usan ese contexto y su color identificador.</v>
      </c>
      <c r="M21" s="8" t="s">
        <v>62</v>
      </c>
      <c r="N21" s="5" t="str">
        <f>IF($M21="","",IFERROR(IF(VLOOKUP($M21,'Casos y evidencias'!$A$6:$O$83,5,FALSE)="","",VLOOKUP($M21,'Casos y evidencias'!$A$6:$O$83,5,FALSE)),"ID no encontrado"))</f>
        <v>Cambio de empresa activa</v>
      </c>
      <c r="O21" s="5" t="str">
        <f>IF($M21="","",IFERROR(IF(VLOOKUP($M21,'Casos y evidencias'!$A$6:$O$83,10,FALSE)="","",VLOOKUP($M21,'Casos y evidencias'!$A$6:$O$83,10,FALSE)),"ID no encontrado"))</f>
        <v>No ejecutado</v>
      </c>
      <c r="P21" s="7" t="str">
        <f>IF($M21="","",IFERROR(IF(VLOOKUP($M21,'Casos y evidencias'!$A$6:$O$83,11,FALSE)="","",VLOOKUP($M21,'Casos y evidencias'!$A$6:$O$83,11,FALSE)),"ID no encontrado"))</f>
        <v/>
      </c>
      <c r="Q21" s="5" t="str">
        <f>IF($M21="","",IFERROR(IF(VLOOKUP($M21,'Casos y evidencias'!$A$6:$O$83,12,FALSE)="","",VLOOKUP($M21,'Casos y evidencias'!$A$6:$O$83,12,FALSE)),"ID no encontrado"))</f>
        <v/>
      </c>
      <c r="R21" s="4"/>
    </row>
    <row r="22" spans="1:18" ht="89.1" customHeight="1">
      <c r="A22" s="6">
        <v>15</v>
      </c>
      <c r="B22" s="5" t="str">
        <f>IF($G22="","",IF($K22="","Falta criterio",IFERROR(IF(VLOOKUP($K22,'Historias y criterios'!$A$6:$P$83,3,FALSE)&lt;&gt;$G22,"Revisar relación requisito-criterio",IF($M22="","Falta caso de prueba",IF(VLOOKUP($M22,'Casos y evidencias'!$A$6:$O$83,2,FALSE)&lt;&gt;$K22,"Revisar relación criterio-caso",IF($O22="Aprobado",IF($P22="","Falta evidencia","Trazabilidad completa"),IF($O22="Fallido","Prueba fallida",IF($O22="Bloqueado","Prueba bloqueada","Prueba pendiente")))))),"ID no encontrado")))</f>
        <v>Prueba pendiente</v>
      </c>
      <c r="C22" s="7" t="str">
        <f>IF($G22="","",IFERROR(IF(VLOOKUP($G22,Requerimientos!$A$6:$M$43,2,FALSE)="","",VLOOKUP($G22,Requerimientos!$A$6:$M$43,2,FALSE)),"ID no encontrado"))</f>
        <v>OBJ-002</v>
      </c>
      <c r="D22" s="5" t="str">
        <f>IF($C22="","",IFERROR(IF(VLOOKUP($C22,'Objetivos y procesos'!$A$6:$H$35,2,FALSE)="","",VLOOKUP($C22,'Objetivos y procesos'!$A$6:$H$35,2,FALSE)),"ID no encontrado"))</f>
        <v>Reducir reprocesos y hacer visible la creación, activación o modificación de artículos desde su envío hasta la resolución.</v>
      </c>
      <c r="E22" s="7" t="str">
        <f>IF($G22="","",IFERROR(IF(VLOOKUP($G22,Requerimientos!$A$6:$M$43,3,FALSE)="","",VLOOKUP($G22,Requerimientos!$A$6:$M$43,3,FALSE)),"ID no encontrado"))</f>
        <v>PR-02</v>
      </c>
      <c r="F22" s="5" t="str">
        <f>IF($E22="","",IFERROR(IF(INDEX('Objetivos y procesos'!$D$6:$D$35,MATCH($E22,'Objetivos y procesos'!$C$6:$C$35,0))="","",IF(INDEX('Objetivos y procesos'!$D$6:$D$35,MATCH($E22,'Objetivos y procesos'!$C$6:$C$35,0))=INDEX('Objetivos y procesos'!$E$6:$E$35,MATCH($E22,'Objetivos y procesos'!$C$6:$C$35,0)),INDEX('Objetivos y procesos'!$D$6:$D$35,MATCH($E22,'Objetivos y procesos'!$C$6:$C$35,0)),INDEX('Objetivos y procesos'!$D$6:$D$35,MATCH($E22,'Objetivos y procesos'!$C$6:$C$35,0))&amp;IF(INDEX('Objetivos y procesos'!$E$6:$E$35,MATCH($E22,'Objetivos y procesos'!$C$6:$C$35,0))="",""," / "&amp;INDEX('Objetivos y procesos'!$E$6:$E$35,MATCH($E22,'Objetivos y procesos'!$C$6:$C$35,0))))),"ID no encontrado"))</f>
        <v>Solicitudes y autorizaciones</v>
      </c>
      <c r="G22" s="8" t="s">
        <v>63</v>
      </c>
      <c r="H22" s="5" t="str">
        <f>IF($G22="","",IFERROR(IF(VLOOKUP($G22,Requerimientos!$A$6:$M$43,7,FALSE)="","",VLOOKUP($G22,Requerimientos!$A$6:$M$43,7,FALSE)),"ID no encontrado"))</f>
        <v>El sistema debe permitir al usuario con permiso de enviar solicitudes de código crear una solicitud de creación, activación o modificación de códigos de producto y enviarla a revisión del grupo autorizador correspondiente.</v>
      </c>
      <c r="I22" s="7" t="str">
        <f>IF($K22="","",IFERROR(IF(VLOOKUP($K22,'Historias y criterios'!$A$6:$P$83,2,FALSE)="","",VLOOKUP($K22,'Historias y criterios'!$A$6:$P$83,2,FALSE)),"ID no encontrado"))</f>
        <v>HU-005</v>
      </c>
      <c r="J22" s="5" t="str">
        <f>IF($K22="","",IFERROR(IF(VLOOKUP($K22,'Historias y criterios'!$A$6:$P$83,10,FALSE)="","",VLOOKUP($K22,'Historias y criterios'!$A$6:$P$83,10,FALSE)),"ID no encontrado"))</f>
        <v>Como vendedor autorizado, quiero crear solicitudes de creación, activación o modificación de artículos con sus respaldos, para enviar información completa al grupo autorizador correspondiente</v>
      </c>
      <c r="K22" s="8" t="s">
        <v>64</v>
      </c>
      <c r="L22" s="5" t="str">
        <f>IF($K22="","",IFERROR(IF(VLOOKUP($K22,'Historias y criterios'!$A$6:$P$83,11,FALSE)="","",VLOOKUP($K22,'Historias y criterios'!$A$6:$P$83,11,FALSE)),"ID no encontrado"))</f>
        <v>La solicitud se crea en estado Pendiente y queda asociada al usuario y empresa activa.</v>
      </c>
      <c r="M22" s="8" t="s">
        <v>65</v>
      </c>
      <c r="N22" s="5" t="str">
        <f>IF($M22="","",IFERROR(IF(VLOOKUP($M22,'Casos y evidencias'!$A$6:$O$83,5,FALSE)="","",VLOOKUP($M22,'Casos y evidencias'!$A$6:$O$83,5,FALSE)),"ID no encontrado"))</f>
        <v>Creación de solicitud en estado Pendiente</v>
      </c>
      <c r="O22" s="5" t="str">
        <f>IF($M22="","",IFERROR(IF(VLOOKUP($M22,'Casos y evidencias'!$A$6:$O$83,10,FALSE)="","",VLOOKUP($M22,'Casos y evidencias'!$A$6:$O$83,10,FALSE)),"ID no encontrado"))</f>
        <v>No ejecutado</v>
      </c>
      <c r="P22" s="7" t="str">
        <f>IF($M22="","",IFERROR(IF(VLOOKUP($M22,'Casos y evidencias'!$A$6:$O$83,11,FALSE)="","",VLOOKUP($M22,'Casos y evidencias'!$A$6:$O$83,11,FALSE)),"ID no encontrado"))</f>
        <v/>
      </c>
      <c r="Q22" s="5" t="str">
        <f>IF($M22="","",IFERROR(IF(VLOOKUP($M22,'Casos y evidencias'!$A$6:$O$83,12,FALSE)="","",VLOOKUP($M22,'Casos y evidencias'!$A$6:$O$83,12,FALSE)),"ID no encontrado"))</f>
        <v/>
      </c>
      <c r="R22" s="4"/>
    </row>
    <row r="23" spans="1:18" ht="89.1" customHeight="1">
      <c r="A23" s="6">
        <v>16</v>
      </c>
      <c r="B23" s="5" t="str">
        <f>IF($G23="","",IF($K23="","Falta criterio",IFERROR(IF(VLOOKUP($K23,'Historias y criterios'!$A$6:$P$83,3,FALSE)&lt;&gt;$G23,"Revisar relación requisito-criterio",IF($M23="","Falta caso de prueba",IF(VLOOKUP($M23,'Casos y evidencias'!$A$6:$O$83,2,FALSE)&lt;&gt;$K23,"Revisar relación criterio-caso",IF($O23="Aprobado",IF($P23="","Falta evidencia","Trazabilidad completa"),IF($O23="Fallido","Prueba fallida",IF($O23="Bloqueado","Prueba bloqueada","Prueba pendiente")))))),"ID no encontrado")))</f>
        <v>Prueba pendiente</v>
      </c>
      <c r="C23" s="7" t="str">
        <f>IF($G23="","",IFERROR(IF(VLOOKUP($G23,Requerimientos!$A$6:$M$43,2,FALSE)="","",VLOOKUP($G23,Requerimientos!$A$6:$M$43,2,FALSE)),"ID no encontrado"))</f>
        <v>OBJ-002</v>
      </c>
      <c r="D23" s="5" t="str">
        <f>IF($C23="","",IFERROR(IF(VLOOKUP($C23,'Objetivos y procesos'!$A$6:$H$35,2,FALSE)="","",VLOOKUP($C23,'Objetivos y procesos'!$A$6:$H$35,2,FALSE)),"ID no encontrado"))</f>
        <v>Reducir reprocesos y hacer visible la creación, activación o modificación de artículos desde su envío hasta la resolución.</v>
      </c>
      <c r="E23" s="7" t="str">
        <f>IF($G23="","",IFERROR(IF(VLOOKUP($G23,Requerimientos!$A$6:$M$43,3,FALSE)="","",VLOOKUP($G23,Requerimientos!$A$6:$M$43,3,FALSE)),"ID no encontrado"))</f>
        <v>PR-02</v>
      </c>
      <c r="F23" s="5" t="str">
        <f>IF($E23="","",IFERROR(IF(INDEX('Objetivos y procesos'!$D$6:$D$35,MATCH($E23,'Objetivos y procesos'!$C$6:$C$35,0))="","",IF(INDEX('Objetivos y procesos'!$D$6:$D$35,MATCH($E23,'Objetivos y procesos'!$C$6:$C$35,0))=INDEX('Objetivos y procesos'!$E$6:$E$35,MATCH($E23,'Objetivos y procesos'!$C$6:$C$35,0)),INDEX('Objetivos y procesos'!$D$6:$D$35,MATCH($E23,'Objetivos y procesos'!$C$6:$C$35,0)),INDEX('Objetivos y procesos'!$D$6:$D$35,MATCH($E23,'Objetivos y procesos'!$C$6:$C$35,0))&amp;IF(INDEX('Objetivos y procesos'!$E$6:$E$35,MATCH($E23,'Objetivos y procesos'!$C$6:$C$35,0))="",""," / "&amp;INDEX('Objetivos y procesos'!$E$6:$E$35,MATCH($E23,'Objetivos y procesos'!$C$6:$C$35,0))))),"ID no encontrado"))</f>
        <v>Solicitudes y autorizaciones</v>
      </c>
      <c r="G23" s="8" t="s">
        <v>63</v>
      </c>
      <c r="H23" s="5" t="str">
        <f>IF($G23="","",IFERROR(IF(VLOOKUP($G23,Requerimientos!$A$6:$M$43,7,FALSE)="","",VLOOKUP($G23,Requerimientos!$A$6:$M$43,7,FALSE)),"ID no encontrado"))</f>
        <v>El sistema debe permitir al usuario con permiso de enviar solicitudes de código crear una solicitud de creación, activación o modificación de códigos de producto y enviarla a revisión del grupo autorizador correspondiente.</v>
      </c>
      <c r="I23" s="7" t="str">
        <f>IF($K23="","",IFERROR(IF(VLOOKUP($K23,'Historias y criterios'!$A$6:$P$83,2,FALSE)="","",VLOOKUP($K23,'Historias y criterios'!$A$6:$P$83,2,FALSE)),"ID no encontrado"))</f>
        <v>HU-005</v>
      </c>
      <c r="J23" s="5" t="str">
        <f>IF($K23="","",IFERROR(IF(VLOOKUP($K23,'Historias y criterios'!$A$6:$P$83,10,FALSE)="","",VLOOKUP($K23,'Historias y criterios'!$A$6:$P$83,10,FALSE)),"ID no encontrado"))</f>
        <v>Como vendedor autorizado, quiero crear solicitudes de creación, activación o modificación de artículos con sus respaldos, para enviar información completa al grupo autorizador correspondiente</v>
      </c>
      <c r="K23" s="8" t="s">
        <v>66</v>
      </c>
      <c r="L23" s="5" t="str">
        <f>IF($K23="","",IFERROR(IF(VLOOKUP($K23,'Historias y criterios'!$A$6:$P$83,11,FALSE)="","",VLOOKUP($K23,'Historias y criterios'!$A$6:$P$83,11,FALSE)),"ID no encontrado"))</f>
        <v>Permite incluir uno o más productos según el tipo de solicitud.</v>
      </c>
      <c r="M23" s="8" t="s">
        <v>67</v>
      </c>
      <c r="N23" s="5" t="str">
        <f>IF($M23="","",IFERROR(IF(VLOOKUP($M23,'Casos y evidencias'!$A$6:$O$83,5,FALSE)="","",VLOOKUP($M23,'Casos y evidencias'!$A$6:$O$83,5,FALSE)),"ID no encontrado"))</f>
        <v>Solicitud con uno o más productos</v>
      </c>
      <c r="O23" s="5" t="str">
        <f>IF($M23="","",IFERROR(IF(VLOOKUP($M23,'Casos y evidencias'!$A$6:$O$83,10,FALSE)="","",VLOOKUP($M23,'Casos y evidencias'!$A$6:$O$83,10,FALSE)),"ID no encontrado"))</f>
        <v>No ejecutado</v>
      </c>
      <c r="P23" s="7" t="str">
        <f>IF($M23="","",IFERROR(IF(VLOOKUP($M23,'Casos y evidencias'!$A$6:$O$83,11,FALSE)="","",VLOOKUP($M23,'Casos y evidencias'!$A$6:$O$83,11,FALSE)),"ID no encontrado"))</f>
        <v/>
      </c>
      <c r="Q23" s="5" t="str">
        <f>IF($M23="","",IFERROR(IF(VLOOKUP($M23,'Casos y evidencias'!$A$6:$O$83,12,FALSE)="","",VLOOKUP($M23,'Casos y evidencias'!$A$6:$O$83,12,FALSE)),"ID no encontrado"))</f>
        <v/>
      </c>
      <c r="R23" s="4"/>
    </row>
    <row r="24" spans="1:18" ht="89.1" customHeight="1">
      <c r="A24" s="6">
        <v>17</v>
      </c>
      <c r="B24" s="5" t="str">
        <f>IF($G24="","",IF($K24="","Falta criterio",IFERROR(IF(VLOOKUP($K24,'Historias y criterios'!$A$6:$P$83,3,FALSE)&lt;&gt;$G24,"Revisar relación requisito-criterio",IF($M24="","Falta caso de prueba",IF(VLOOKUP($M24,'Casos y evidencias'!$A$6:$O$83,2,FALSE)&lt;&gt;$K24,"Revisar relación criterio-caso",IF($O24="Aprobado",IF($P24="","Falta evidencia","Trazabilidad completa"),IF($O24="Fallido","Prueba fallida",IF($O24="Bloqueado","Prueba bloqueada","Prueba pendiente")))))),"ID no encontrado")))</f>
        <v>Prueba pendiente</v>
      </c>
      <c r="C24" s="7" t="str">
        <f>IF($G24="","",IFERROR(IF(VLOOKUP($G24,Requerimientos!$A$6:$M$43,2,FALSE)="","",VLOOKUP($G24,Requerimientos!$A$6:$M$43,2,FALSE)),"ID no encontrado"))</f>
        <v>OBJ-002</v>
      </c>
      <c r="D24" s="5" t="str">
        <f>IF($C24="","",IFERROR(IF(VLOOKUP($C24,'Objetivos y procesos'!$A$6:$H$35,2,FALSE)="","",VLOOKUP($C24,'Objetivos y procesos'!$A$6:$H$35,2,FALSE)),"ID no encontrado"))</f>
        <v>Reducir reprocesos y hacer visible la creación, activación o modificación de artículos desde su envío hasta la resolución.</v>
      </c>
      <c r="E24" s="7" t="str">
        <f>IF($G24="","",IFERROR(IF(VLOOKUP($G24,Requerimientos!$A$6:$M$43,3,FALSE)="","",VLOOKUP($G24,Requerimientos!$A$6:$M$43,3,FALSE)),"ID no encontrado"))</f>
        <v>PR-02</v>
      </c>
      <c r="F24" s="5" t="str">
        <f>IF($E24="","",IFERROR(IF(INDEX('Objetivos y procesos'!$D$6:$D$35,MATCH($E24,'Objetivos y procesos'!$C$6:$C$35,0))="","",IF(INDEX('Objetivos y procesos'!$D$6:$D$35,MATCH($E24,'Objetivos y procesos'!$C$6:$C$35,0))=INDEX('Objetivos y procesos'!$E$6:$E$35,MATCH($E24,'Objetivos y procesos'!$C$6:$C$35,0)),INDEX('Objetivos y procesos'!$D$6:$D$35,MATCH($E24,'Objetivos y procesos'!$C$6:$C$35,0)),INDEX('Objetivos y procesos'!$D$6:$D$35,MATCH($E24,'Objetivos y procesos'!$C$6:$C$35,0))&amp;IF(INDEX('Objetivos y procesos'!$E$6:$E$35,MATCH($E24,'Objetivos y procesos'!$C$6:$C$35,0))="",""," / "&amp;INDEX('Objetivos y procesos'!$E$6:$E$35,MATCH($E24,'Objetivos y procesos'!$C$6:$C$35,0))))),"ID no encontrado"))</f>
        <v>Solicitudes y autorizaciones</v>
      </c>
      <c r="G24" s="8" t="s">
        <v>68</v>
      </c>
      <c r="H24" s="5" t="str">
        <f>IF($G24="","",IFERROR(IF(VLOOKUP($G24,Requerimientos!$A$6:$M$43,7,FALSE)="","",VLOOKUP($G24,Requerimientos!$A$6:$M$43,7,FALSE)),"ID no encontrado"))</f>
        <v>El sistema debe permitir adjuntar a la solicitud de código el respaldo de la cotización, como documentos o imágenes de WhatsApp, y, en las solicitudes de creación, permitir adjuntar un documento y una imagen por cada producto solicitado.</v>
      </c>
      <c r="I24" s="7" t="str">
        <f>IF($K24="","",IFERROR(IF(VLOOKUP($K24,'Historias y criterios'!$A$6:$P$83,2,FALSE)="","",VLOOKUP($K24,'Historias y criterios'!$A$6:$P$83,2,FALSE)),"ID no encontrado"))</f>
        <v>HU-005</v>
      </c>
      <c r="J24" s="5" t="str">
        <f>IF($K24="","",IFERROR(IF(VLOOKUP($K24,'Historias y criterios'!$A$6:$P$83,10,FALSE)="","",VLOOKUP($K24,'Historias y criterios'!$A$6:$P$83,10,FALSE)),"ID no encontrado"))</f>
        <v>Como vendedor autorizado, quiero crear solicitudes de creación, activación o modificación de artículos con sus respaldos, para enviar información completa al grupo autorizador correspondiente</v>
      </c>
      <c r="K24" s="8" t="s">
        <v>69</v>
      </c>
      <c r="L24" s="5" t="str">
        <f>IF($K24="","",IFERROR(IF(VLOOKUP($K24,'Historias y criterios'!$A$6:$P$83,11,FALSE)="","",VLOOKUP($K24,'Historias y criterios'!$A$6:$P$83,11,FALSE)),"ID no encontrado"))</f>
        <v>Exige el respaldo de cotización según su tipo y permite, para creaciones, un documento y una imagen por producto en los formatos permitidos.</v>
      </c>
      <c r="M24" s="8" t="s">
        <v>70</v>
      </c>
      <c r="N24" s="5" t="str">
        <f>IF($M24="","",IFERROR(IF(VLOOKUP($M24,'Casos y evidencias'!$A$6:$O$83,5,FALSE)="","",VLOOKUP($M24,'Casos y evidencias'!$A$6:$O$83,5,FALSE)),"ID no encontrado"))</f>
        <v>Validación de respaldos y adjuntos</v>
      </c>
      <c r="O24" s="5" t="str">
        <f>IF($M24="","",IFERROR(IF(VLOOKUP($M24,'Casos y evidencias'!$A$6:$O$83,10,FALSE)="","",VLOOKUP($M24,'Casos y evidencias'!$A$6:$O$83,10,FALSE)),"ID no encontrado"))</f>
        <v>No ejecutado</v>
      </c>
      <c r="P24" s="7" t="str">
        <f>IF($M24="","",IFERROR(IF(VLOOKUP($M24,'Casos y evidencias'!$A$6:$O$83,11,FALSE)="","",VLOOKUP($M24,'Casos y evidencias'!$A$6:$O$83,11,FALSE)),"ID no encontrado"))</f>
        <v/>
      </c>
      <c r="Q24" s="5" t="str">
        <f>IF($M24="","",IFERROR(IF(VLOOKUP($M24,'Casos y evidencias'!$A$6:$O$83,12,FALSE)="","",VLOOKUP($M24,'Casos y evidencias'!$A$6:$O$83,12,FALSE)),"ID no encontrado"))</f>
        <v/>
      </c>
      <c r="R24" s="4"/>
    </row>
    <row r="25" spans="1:18" ht="89.1" customHeight="1">
      <c r="A25" s="6">
        <v>18</v>
      </c>
      <c r="B25" s="5" t="str">
        <f>IF($G25="","",IF($K25="","Falta criterio",IFERROR(IF(VLOOKUP($K25,'Historias y criterios'!$A$6:$P$83,3,FALSE)&lt;&gt;$G25,"Revisar relación requisito-criterio",IF($M25="","Falta caso de prueba",IF(VLOOKUP($M25,'Casos y evidencias'!$A$6:$O$83,2,FALSE)&lt;&gt;$K25,"Revisar relación criterio-caso",IF($O25="Aprobado",IF($P25="","Falta evidencia","Trazabilidad completa"),IF($O25="Fallido","Prueba fallida",IF($O25="Bloqueado","Prueba bloqueada","Prueba pendiente")))))),"ID no encontrado")))</f>
        <v>Prueba pendiente</v>
      </c>
      <c r="C25" s="7" t="str">
        <f>IF($G25="","",IFERROR(IF(VLOOKUP($G25,Requerimientos!$A$6:$M$43,2,FALSE)="","",VLOOKUP($G25,Requerimientos!$A$6:$M$43,2,FALSE)),"ID no encontrado"))</f>
        <v>OBJ-002</v>
      </c>
      <c r="D25" s="5" t="str">
        <f>IF($C25="","",IFERROR(IF(VLOOKUP($C25,'Objetivos y procesos'!$A$6:$H$35,2,FALSE)="","",VLOOKUP($C25,'Objetivos y procesos'!$A$6:$H$35,2,FALSE)),"ID no encontrado"))</f>
        <v>Reducir reprocesos y hacer visible la creación, activación o modificación de artículos desde su envío hasta la resolución.</v>
      </c>
      <c r="E25" s="7" t="str">
        <f>IF($G25="","",IFERROR(IF(VLOOKUP($G25,Requerimientos!$A$6:$M$43,3,FALSE)="","",VLOOKUP($G25,Requerimientos!$A$6:$M$43,3,FALSE)),"ID no encontrado"))</f>
        <v>PR-02</v>
      </c>
      <c r="F25" s="5" t="str">
        <f>IF($E25="","",IFERROR(IF(INDEX('Objetivos y procesos'!$D$6:$D$35,MATCH($E25,'Objetivos y procesos'!$C$6:$C$35,0))="","",IF(INDEX('Objetivos y procesos'!$D$6:$D$35,MATCH($E25,'Objetivos y procesos'!$C$6:$C$35,0))=INDEX('Objetivos y procesos'!$E$6:$E$35,MATCH($E25,'Objetivos y procesos'!$C$6:$C$35,0)),INDEX('Objetivos y procesos'!$D$6:$D$35,MATCH($E25,'Objetivos y procesos'!$C$6:$C$35,0)),INDEX('Objetivos y procesos'!$D$6:$D$35,MATCH($E25,'Objetivos y procesos'!$C$6:$C$35,0))&amp;IF(INDEX('Objetivos y procesos'!$E$6:$E$35,MATCH($E25,'Objetivos y procesos'!$C$6:$C$35,0))="",""," / "&amp;INDEX('Objetivos y procesos'!$E$6:$E$35,MATCH($E25,'Objetivos y procesos'!$C$6:$C$35,0))))),"ID no encontrado"))</f>
        <v>Solicitudes y autorizaciones</v>
      </c>
      <c r="G25" s="8" t="s">
        <v>63</v>
      </c>
      <c r="H25" s="5" t="str">
        <f>IF($G25="","",IFERROR(IF(VLOOKUP($G25,Requerimientos!$A$6:$M$43,7,FALSE)="","",VLOOKUP($G25,Requerimientos!$A$6:$M$43,7,FALSE)),"ID no encontrado"))</f>
        <v>El sistema debe permitir al usuario con permiso de enviar solicitudes de código crear una solicitud de creación, activación o modificación de códigos de producto y enviarla a revisión del grupo autorizador correspondiente.</v>
      </c>
      <c r="I25" s="7" t="str">
        <f>IF($K25="","",IFERROR(IF(VLOOKUP($K25,'Historias y criterios'!$A$6:$P$83,2,FALSE)="","",VLOOKUP($K25,'Historias y criterios'!$A$6:$P$83,2,FALSE)),"ID no encontrado"))</f>
        <v>HU-005</v>
      </c>
      <c r="J25" s="5" t="str">
        <f>IF($K25="","",IFERROR(IF(VLOOKUP($K25,'Historias y criterios'!$A$6:$P$83,10,FALSE)="","",VLOOKUP($K25,'Historias y criterios'!$A$6:$P$83,10,FALSE)),"ID no encontrado"))</f>
        <v>Como vendedor autorizado, quiero crear solicitudes de creación, activación o modificación de artículos con sus respaldos, para enviar información completa al grupo autorizador correspondiente</v>
      </c>
      <c r="K25" s="8" t="s">
        <v>71</v>
      </c>
      <c r="L25" s="5" t="str">
        <f>IF($K25="","",IFERROR(IF(VLOOKUP($K25,'Historias y criterios'!$A$6:$P$83,11,FALSE)="","",VLOOKUP($K25,'Historias y criterios'!$A$6:$P$83,11,FALSE)),"ID no encontrado"))</f>
        <v>Al enviarla, ingresa a la bandeja del grupo autorizador correcto.</v>
      </c>
      <c r="M25" s="8" t="s">
        <v>72</v>
      </c>
      <c r="N25" s="5" t="str">
        <f>IF($M25="","",IFERROR(IF(VLOOKUP($M25,'Casos y evidencias'!$A$6:$O$83,5,FALSE)="","",VLOOKUP($M25,'Casos y evidencias'!$A$6:$O$83,5,FALSE)),"ID no encontrado"))</f>
        <v>Derivación a la bandeja del grupo autorizador</v>
      </c>
      <c r="O25" s="5" t="str">
        <f>IF($M25="","",IFERROR(IF(VLOOKUP($M25,'Casos y evidencias'!$A$6:$O$83,10,FALSE)="","",VLOOKUP($M25,'Casos y evidencias'!$A$6:$O$83,10,FALSE)),"ID no encontrado"))</f>
        <v>No ejecutado</v>
      </c>
      <c r="P25" s="7" t="str">
        <f>IF($M25="","",IFERROR(IF(VLOOKUP($M25,'Casos y evidencias'!$A$6:$O$83,11,FALSE)="","",VLOOKUP($M25,'Casos y evidencias'!$A$6:$O$83,11,FALSE)),"ID no encontrado"))</f>
        <v/>
      </c>
      <c r="Q25" s="5" t="str">
        <f>IF($M25="","",IFERROR(IF(VLOOKUP($M25,'Casos y evidencias'!$A$6:$O$83,12,FALSE)="","",VLOOKUP($M25,'Casos y evidencias'!$A$6:$O$83,12,FALSE)),"ID no encontrado"))</f>
        <v/>
      </c>
      <c r="R25" s="4"/>
    </row>
    <row r="26" spans="1:18" ht="62.1" customHeight="1">
      <c r="A26" s="6">
        <v>19</v>
      </c>
      <c r="B26" s="5" t="str">
        <f>IF($G26="","",IF($K26="","Falta criterio",IFERROR(IF(VLOOKUP($K26,'Historias y criterios'!$A$6:$P$83,3,FALSE)&lt;&gt;$G26,"Revisar relación requisito-criterio",IF($M26="","Falta caso de prueba",IF(VLOOKUP($M26,'Casos y evidencias'!$A$6:$O$83,2,FALSE)&lt;&gt;$K26,"Revisar relación criterio-caso",IF($O26="Aprobado",IF($P26="","Falta evidencia","Trazabilidad completa"),IF($O26="Fallido","Prueba fallida",IF($O26="Bloqueado","Prueba bloqueada","Prueba pendiente")))))),"ID no encontrado")))</f>
        <v>Prueba pendiente</v>
      </c>
      <c r="C26" s="7" t="str">
        <f>IF($G26="","",IFERROR(IF(VLOOKUP($G26,Requerimientos!$A$6:$M$43,2,FALSE)="","",VLOOKUP($G26,Requerimientos!$A$6:$M$43,2,FALSE)),"ID no encontrado"))</f>
        <v>OBJ-002</v>
      </c>
      <c r="D26" s="5" t="str">
        <f>IF($C26="","",IFERROR(IF(VLOOKUP($C26,'Objetivos y procesos'!$A$6:$H$35,2,FALSE)="","",VLOOKUP($C26,'Objetivos y procesos'!$A$6:$H$35,2,FALSE)),"ID no encontrado"))</f>
        <v>Reducir reprocesos y hacer visible la creación, activación o modificación de artículos desde su envío hasta la resolución.</v>
      </c>
      <c r="E26" s="7" t="str">
        <f>IF($G26="","",IFERROR(IF(VLOOKUP($G26,Requerimientos!$A$6:$M$43,3,FALSE)="","",VLOOKUP($G26,Requerimientos!$A$6:$M$43,3,FALSE)),"ID no encontrado"))</f>
        <v>PR-02</v>
      </c>
      <c r="F26" s="5" t="str">
        <f>IF($E26="","",IFERROR(IF(INDEX('Objetivos y procesos'!$D$6:$D$35,MATCH($E26,'Objetivos y procesos'!$C$6:$C$35,0))="","",IF(INDEX('Objetivos y procesos'!$D$6:$D$35,MATCH($E26,'Objetivos y procesos'!$C$6:$C$35,0))=INDEX('Objetivos y procesos'!$E$6:$E$35,MATCH($E26,'Objetivos y procesos'!$C$6:$C$35,0)),INDEX('Objetivos y procesos'!$D$6:$D$35,MATCH($E26,'Objetivos y procesos'!$C$6:$C$35,0)),INDEX('Objetivos y procesos'!$D$6:$D$35,MATCH($E26,'Objetivos y procesos'!$C$6:$C$35,0))&amp;IF(INDEX('Objetivos y procesos'!$E$6:$E$35,MATCH($E26,'Objetivos y procesos'!$C$6:$C$35,0))="",""," / "&amp;INDEX('Objetivos y procesos'!$E$6:$E$35,MATCH($E26,'Objetivos y procesos'!$C$6:$C$35,0))))),"ID no encontrado"))</f>
        <v>Solicitudes y autorizaciones</v>
      </c>
      <c r="G26" s="8" t="s">
        <v>73</v>
      </c>
      <c r="H26" s="5" t="str">
        <f>IF($G26="","",IFERROR(IF(VLOOKUP($G26,Requerimientos!$A$6:$M$43,7,FALSE)="","",VLOOKUP($G26,Requerimientos!$A$6:$M$43,7,FALSE)),"ID no encontrado"))</f>
        <v>El sistema debe permitir al autorizador aprobar o rechazar una solicitud, registrando el motivo cuando la rechaza.</v>
      </c>
      <c r="I26" s="7" t="str">
        <f>IF($K26="","",IFERROR(IF(VLOOKUP($K26,'Historias y criterios'!$A$6:$P$83,2,FALSE)="","",VLOOKUP($K26,'Historias y criterios'!$A$6:$P$83,2,FALSE)),"ID no encontrado"))</f>
        <v>HU-006</v>
      </c>
      <c r="J26" s="5" t="str">
        <f>IF($K26="","",IFERROR(IF(VLOOKUP($K26,'Historias y criterios'!$A$6:$P$83,10,FALSE)="","",VLOOKUP($K26,'Historias y criterios'!$A$6:$P$83,10,FALSE)),"ID no encontrado"))</f>
        <v>Como autorizador, quiero aprobar, rechazar o pedir corrección de una solicitud de la bandeja compartida, para resolverla con un responsable y una decisión trazable</v>
      </c>
      <c r="K26" s="8" t="s">
        <v>74</v>
      </c>
      <c r="L26" s="5" t="str">
        <f>IF($K26="","",IFERROR(IF(VLOOKUP($K26,'Historias y criterios'!$A$6:$P$83,11,FALSE)="","",VLOOKUP($K26,'Historias y criterios'!$A$6:$P$83,11,FALSE)),"ID no encontrado"))</f>
        <v>Solo el grupo autorizador del tipo de solicitud puede verla y resolverla.</v>
      </c>
      <c r="M26" s="8" t="s">
        <v>75</v>
      </c>
      <c r="N26" s="5" t="str">
        <f>IF($M26="","",IFERROR(IF(VLOOKUP($M26,'Casos y evidencias'!$A$6:$O$83,5,FALSE)="","",VLOOKUP($M26,'Casos y evidencias'!$A$6:$O$83,5,FALSE)),"ID no encontrado"))</f>
        <v>Acceso restringido a la bandeja del grupo</v>
      </c>
      <c r="O26" s="5" t="str">
        <f>IF($M26="","",IFERROR(IF(VLOOKUP($M26,'Casos y evidencias'!$A$6:$O$83,10,FALSE)="","",VLOOKUP($M26,'Casos y evidencias'!$A$6:$O$83,10,FALSE)),"ID no encontrado"))</f>
        <v>No ejecutado</v>
      </c>
      <c r="P26" s="7" t="str">
        <f>IF($M26="","",IFERROR(IF(VLOOKUP($M26,'Casos y evidencias'!$A$6:$O$83,11,FALSE)="","",VLOOKUP($M26,'Casos y evidencias'!$A$6:$O$83,11,FALSE)),"ID no encontrado"))</f>
        <v/>
      </c>
      <c r="Q26" s="5" t="str">
        <f>IF($M26="","",IFERROR(IF(VLOOKUP($M26,'Casos y evidencias'!$A$6:$O$83,12,FALSE)="","",VLOOKUP($M26,'Casos y evidencias'!$A$6:$O$83,12,FALSE)),"ID no encontrado"))</f>
        <v/>
      </c>
      <c r="R26" s="4"/>
    </row>
    <row r="27" spans="1:18" ht="62.1" customHeight="1">
      <c r="A27" s="6">
        <v>20</v>
      </c>
      <c r="B27" s="5" t="str">
        <f>IF($G27="","",IF($K27="","Falta criterio",IFERROR(IF(VLOOKUP($K27,'Historias y criterios'!$A$6:$P$83,3,FALSE)&lt;&gt;$G27,"Revisar relación requisito-criterio",IF($M27="","Falta caso de prueba",IF(VLOOKUP($M27,'Casos y evidencias'!$A$6:$O$83,2,FALSE)&lt;&gt;$K27,"Revisar relación criterio-caso",IF($O27="Aprobado",IF($P27="","Falta evidencia","Trazabilidad completa"),IF($O27="Fallido","Prueba fallida",IF($O27="Bloqueado","Prueba bloqueada","Prueba pendiente")))))),"ID no encontrado")))</f>
        <v>Prueba pendiente</v>
      </c>
      <c r="C27" s="7" t="str">
        <f>IF($G27="","",IFERROR(IF(VLOOKUP($G27,Requerimientos!$A$6:$M$43,2,FALSE)="","",VLOOKUP($G27,Requerimientos!$A$6:$M$43,2,FALSE)),"ID no encontrado"))</f>
        <v>OBJ-002</v>
      </c>
      <c r="D27" s="5" t="str">
        <f>IF($C27="","",IFERROR(IF(VLOOKUP($C27,'Objetivos y procesos'!$A$6:$H$35,2,FALSE)="","",VLOOKUP($C27,'Objetivos y procesos'!$A$6:$H$35,2,FALSE)),"ID no encontrado"))</f>
        <v>Reducir reprocesos y hacer visible la creación, activación o modificación de artículos desde su envío hasta la resolución.</v>
      </c>
      <c r="E27" s="7" t="str">
        <f>IF($G27="","",IFERROR(IF(VLOOKUP($G27,Requerimientos!$A$6:$M$43,3,FALSE)="","",VLOOKUP($G27,Requerimientos!$A$6:$M$43,3,FALSE)),"ID no encontrado"))</f>
        <v>PR-02</v>
      </c>
      <c r="F27" s="5" t="str">
        <f>IF($E27="","",IFERROR(IF(INDEX('Objetivos y procesos'!$D$6:$D$35,MATCH($E27,'Objetivos y procesos'!$C$6:$C$35,0))="","",IF(INDEX('Objetivos y procesos'!$D$6:$D$35,MATCH($E27,'Objetivos y procesos'!$C$6:$C$35,0))=INDEX('Objetivos y procesos'!$E$6:$E$35,MATCH($E27,'Objetivos y procesos'!$C$6:$C$35,0)),INDEX('Objetivos y procesos'!$D$6:$D$35,MATCH($E27,'Objetivos y procesos'!$C$6:$C$35,0)),INDEX('Objetivos y procesos'!$D$6:$D$35,MATCH($E27,'Objetivos y procesos'!$C$6:$C$35,0))&amp;IF(INDEX('Objetivos y procesos'!$E$6:$E$35,MATCH($E27,'Objetivos y procesos'!$C$6:$C$35,0))="",""," / "&amp;INDEX('Objetivos y procesos'!$E$6:$E$35,MATCH($E27,'Objetivos y procesos'!$C$6:$C$35,0))))),"ID no encontrado"))</f>
        <v>Solicitudes y autorizaciones</v>
      </c>
      <c r="G27" s="8" t="s">
        <v>73</v>
      </c>
      <c r="H27" s="5" t="str">
        <f>IF($G27="","",IFERROR(IF(VLOOKUP($G27,Requerimientos!$A$6:$M$43,7,FALSE)="","",VLOOKUP($G27,Requerimientos!$A$6:$M$43,7,FALSE)),"ID no encontrado"))</f>
        <v>El sistema debe permitir al autorizador aprobar o rechazar una solicitud, registrando el motivo cuando la rechaza.</v>
      </c>
      <c r="I27" s="7" t="str">
        <f>IF($K27="","",IFERROR(IF(VLOOKUP($K27,'Historias y criterios'!$A$6:$P$83,2,FALSE)="","",VLOOKUP($K27,'Historias y criterios'!$A$6:$P$83,2,FALSE)),"ID no encontrado"))</f>
        <v>HU-006</v>
      </c>
      <c r="J27" s="5" t="str">
        <f>IF($K27="","",IFERROR(IF(VLOOKUP($K27,'Historias y criterios'!$A$6:$P$83,10,FALSE)="","",VLOOKUP($K27,'Historias y criterios'!$A$6:$P$83,10,FALSE)),"ID no encontrado"))</f>
        <v>Como autorizador, quiero aprobar, rechazar o pedir corrección de una solicitud de la bandeja compartida, para resolverla con un responsable y una decisión trazable</v>
      </c>
      <c r="K27" s="8" t="s">
        <v>76</v>
      </c>
      <c r="L27" s="5" t="str">
        <f>IF($K27="","",IFERROR(IF(VLOOKUP($K27,'Historias y criterios'!$A$6:$P$83,11,FALSE)="","",VLOOKUP($K27,'Historias y criterios'!$A$6:$P$83,11,FALSE)),"ID no encontrado"))</f>
        <v>Quien resuelve la solicitud queda registrado como responsable.</v>
      </c>
      <c r="M27" s="8" t="s">
        <v>77</v>
      </c>
      <c r="N27" s="5" t="str">
        <f>IF($M27="","",IFERROR(IF(VLOOKUP($M27,'Casos y evidencias'!$A$6:$O$83,5,FALSE)="","",VLOOKUP($M27,'Casos y evidencias'!$A$6:$O$83,5,FALSE)),"ID no encontrado"))</f>
        <v>Registro del responsable al resolver la solicitud</v>
      </c>
      <c r="O27" s="5" t="str">
        <f>IF($M27="","",IFERROR(IF(VLOOKUP($M27,'Casos y evidencias'!$A$6:$O$83,10,FALSE)="","",VLOOKUP($M27,'Casos y evidencias'!$A$6:$O$83,10,FALSE)),"ID no encontrado"))</f>
        <v>No ejecutado</v>
      </c>
      <c r="P27" s="7" t="str">
        <f>IF($M27="","",IFERROR(IF(VLOOKUP($M27,'Casos y evidencias'!$A$6:$O$83,11,FALSE)="","",VLOOKUP($M27,'Casos y evidencias'!$A$6:$O$83,11,FALSE)),"ID no encontrado"))</f>
        <v/>
      </c>
      <c r="Q27" s="5" t="str">
        <f>IF($M27="","",IFERROR(IF(VLOOKUP($M27,'Casos y evidencias'!$A$6:$O$83,12,FALSE)="","",VLOOKUP($M27,'Casos y evidencias'!$A$6:$O$83,12,FALSE)),"ID no encontrado"))</f>
        <v/>
      </c>
      <c r="R27" s="4"/>
    </row>
    <row r="28" spans="1:18" ht="62.1" customHeight="1">
      <c r="A28" s="6">
        <v>21</v>
      </c>
      <c r="B28" s="5" t="str">
        <f>IF($G28="","",IF($K28="","Falta criterio",IFERROR(IF(VLOOKUP($K28,'Historias y criterios'!$A$6:$P$83,3,FALSE)&lt;&gt;$G28,"Revisar relación requisito-criterio",IF($M28="","Falta caso de prueba",IF(VLOOKUP($M28,'Casos y evidencias'!$A$6:$O$83,2,FALSE)&lt;&gt;$K28,"Revisar relación criterio-caso",IF($O28="Aprobado",IF($P28="","Falta evidencia","Trazabilidad completa"),IF($O28="Fallido","Prueba fallida",IF($O28="Bloqueado","Prueba bloqueada","Prueba pendiente")))))),"ID no encontrado")))</f>
        <v>Prueba pendiente</v>
      </c>
      <c r="C28" s="7" t="str">
        <f>IF($G28="","",IFERROR(IF(VLOOKUP($G28,Requerimientos!$A$6:$M$43,2,FALSE)="","",VLOOKUP($G28,Requerimientos!$A$6:$M$43,2,FALSE)),"ID no encontrado"))</f>
        <v>OBJ-002</v>
      </c>
      <c r="D28" s="5" t="str">
        <f>IF($C28="","",IFERROR(IF(VLOOKUP($C28,'Objetivos y procesos'!$A$6:$H$35,2,FALSE)="","",VLOOKUP($C28,'Objetivos y procesos'!$A$6:$H$35,2,FALSE)),"ID no encontrado"))</f>
        <v>Reducir reprocesos y hacer visible la creación, activación o modificación de artículos desde su envío hasta la resolución.</v>
      </c>
      <c r="E28" s="7" t="str">
        <f>IF($G28="","",IFERROR(IF(VLOOKUP($G28,Requerimientos!$A$6:$M$43,3,FALSE)="","",VLOOKUP($G28,Requerimientos!$A$6:$M$43,3,FALSE)),"ID no encontrado"))</f>
        <v>PR-02</v>
      </c>
      <c r="F28" s="5" t="str">
        <f>IF($E28="","",IFERROR(IF(INDEX('Objetivos y procesos'!$D$6:$D$35,MATCH($E28,'Objetivos y procesos'!$C$6:$C$35,0))="","",IF(INDEX('Objetivos y procesos'!$D$6:$D$35,MATCH($E28,'Objetivos y procesos'!$C$6:$C$35,0))=INDEX('Objetivos y procesos'!$E$6:$E$35,MATCH($E28,'Objetivos y procesos'!$C$6:$C$35,0)),INDEX('Objetivos y procesos'!$D$6:$D$35,MATCH($E28,'Objetivos y procesos'!$C$6:$C$35,0)),INDEX('Objetivos y procesos'!$D$6:$D$35,MATCH($E28,'Objetivos y procesos'!$C$6:$C$35,0))&amp;IF(INDEX('Objetivos y procesos'!$E$6:$E$35,MATCH($E28,'Objetivos y procesos'!$C$6:$C$35,0))="",""," / "&amp;INDEX('Objetivos y procesos'!$E$6:$E$35,MATCH($E28,'Objetivos y procesos'!$C$6:$C$35,0))))),"ID no encontrado"))</f>
        <v>Solicitudes y autorizaciones</v>
      </c>
      <c r="G28" s="8" t="s">
        <v>73</v>
      </c>
      <c r="H28" s="5" t="str">
        <f>IF($G28="","",IFERROR(IF(VLOOKUP($G28,Requerimientos!$A$6:$M$43,7,FALSE)="","",VLOOKUP($G28,Requerimientos!$A$6:$M$43,7,FALSE)),"ID no encontrado"))</f>
        <v>El sistema debe permitir al autorizador aprobar o rechazar una solicitud, registrando el motivo cuando la rechaza.</v>
      </c>
      <c r="I28" s="7" t="str">
        <f>IF($K28="","",IFERROR(IF(VLOOKUP($K28,'Historias y criterios'!$A$6:$P$83,2,FALSE)="","",VLOOKUP($K28,'Historias y criterios'!$A$6:$P$83,2,FALSE)),"ID no encontrado"))</f>
        <v>HU-006</v>
      </c>
      <c r="J28" s="5" t="str">
        <f>IF($K28="","",IFERROR(IF(VLOOKUP($K28,'Historias y criterios'!$A$6:$P$83,10,FALSE)="","",VLOOKUP($K28,'Historias y criterios'!$A$6:$P$83,10,FALSE)),"ID no encontrado"))</f>
        <v>Como autorizador, quiero aprobar, rechazar o pedir corrección de una solicitud de la bandeja compartida, para resolverla con un responsable y una decisión trazable</v>
      </c>
      <c r="K28" s="8" t="s">
        <v>78</v>
      </c>
      <c r="L28" s="5" t="str">
        <f>IF($K28="","",IFERROR(IF(VLOOKUP($K28,'Historias y criterios'!$A$6:$P$83,11,FALSE)="","",VLOOKUP($K28,'Historias y criterios'!$A$6:$P$83,11,FALSE)),"ID no encontrado"))</f>
        <v>El rechazo exige un motivo visible para el solicitante.</v>
      </c>
      <c r="M28" s="8" t="s">
        <v>79</v>
      </c>
      <c r="N28" s="5" t="str">
        <f>IF($M28="","",IFERROR(IF(VLOOKUP($M28,'Casos y evidencias'!$A$6:$O$83,5,FALSE)="","",VLOOKUP($M28,'Casos y evidencias'!$A$6:$O$83,5,FALSE)),"ID no encontrado"))</f>
        <v>Rechazo con motivo obligatorio</v>
      </c>
      <c r="O28" s="5" t="str">
        <f>IF($M28="","",IFERROR(IF(VLOOKUP($M28,'Casos y evidencias'!$A$6:$O$83,10,FALSE)="","",VLOOKUP($M28,'Casos y evidencias'!$A$6:$O$83,10,FALSE)),"ID no encontrado"))</f>
        <v>No ejecutado</v>
      </c>
      <c r="P28" s="7" t="str">
        <f>IF($M28="","",IFERROR(IF(VLOOKUP($M28,'Casos y evidencias'!$A$6:$O$83,11,FALSE)="","",VLOOKUP($M28,'Casos y evidencias'!$A$6:$O$83,11,FALSE)),"ID no encontrado"))</f>
        <v/>
      </c>
      <c r="Q28" s="5" t="str">
        <f>IF($M28="","",IFERROR(IF(VLOOKUP($M28,'Casos y evidencias'!$A$6:$O$83,12,FALSE)="","",VLOOKUP($M28,'Casos y evidencias'!$A$6:$O$83,12,FALSE)),"ID no encontrado"))</f>
        <v/>
      </c>
      <c r="R28" s="4"/>
    </row>
    <row r="29" spans="1:18" ht="62.1" customHeight="1">
      <c r="A29" s="6">
        <v>22</v>
      </c>
      <c r="B29" s="5" t="str">
        <f>IF($G29="","",IF($K29="","Falta criterio",IFERROR(IF(VLOOKUP($K29,'Historias y criterios'!$A$6:$P$83,3,FALSE)&lt;&gt;$G29,"Revisar relación requisito-criterio",IF($M29="","Falta caso de prueba",IF(VLOOKUP($M29,'Casos y evidencias'!$A$6:$O$83,2,FALSE)&lt;&gt;$K29,"Revisar relación criterio-caso",IF($O29="Aprobado",IF($P29="","Falta evidencia","Trazabilidad completa"),IF($O29="Fallido","Prueba fallida",IF($O29="Bloqueado","Prueba bloqueada","Prueba pendiente")))))),"ID no encontrado")))</f>
        <v>Prueba pendiente</v>
      </c>
      <c r="C29" s="7" t="str">
        <f>IF($G29="","",IFERROR(IF(VLOOKUP($G29,Requerimientos!$A$6:$M$43,2,FALSE)="","",VLOOKUP($G29,Requerimientos!$A$6:$M$43,2,FALSE)),"ID no encontrado"))</f>
        <v>OBJ-002</v>
      </c>
      <c r="D29" s="5" t="str">
        <f>IF($C29="","",IFERROR(IF(VLOOKUP($C29,'Objetivos y procesos'!$A$6:$H$35,2,FALSE)="","",VLOOKUP($C29,'Objetivos y procesos'!$A$6:$H$35,2,FALSE)),"ID no encontrado"))</f>
        <v>Reducir reprocesos y hacer visible la creación, activación o modificación de artículos desde su envío hasta la resolución.</v>
      </c>
      <c r="E29" s="7" t="str">
        <f>IF($G29="","",IFERROR(IF(VLOOKUP($G29,Requerimientos!$A$6:$M$43,3,FALSE)="","",VLOOKUP($G29,Requerimientos!$A$6:$M$43,3,FALSE)),"ID no encontrado"))</f>
        <v>PR-02</v>
      </c>
      <c r="F29" s="5" t="str">
        <f>IF($E29="","",IFERROR(IF(INDEX('Objetivos y procesos'!$D$6:$D$35,MATCH($E29,'Objetivos y procesos'!$C$6:$C$35,0))="","",IF(INDEX('Objetivos y procesos'!$D$6:$D$35,MATCH($E29,'Objetivos y procesos'!$C$6:$C$35,0))=INDEX('Objetivos y procesos'!$E$6:$E$35,MATCH($E29,'Objetivos y procesos'!$C$6:$C$35,0)),INDEX('Objetivos y procesos'!$D$6:$D$35,MATCH($E29,'Objetivos y procesos'!$C$6:$C$35,0)),INDEX('Objetivos y procesos'!$D$6:$D$35,MATCH($E29,'Objetivos y procesos'!$C$6:$C$35,0))&amp;IF(INDEX('Objetivos y procesos'!$E$6:$E$35,MATCH($E29,'Objetivos y procesos'!$C$6:$C$35,0))="",""," / "&amp;INDEX('Objetivos y procesos'!$E$6:$E$35,MATCH($E29,'Objetivos y procesos'!$C$6:$C$35,0))))),"ID no encontrado"))</f>
        <v>Solicitudes y autorizaciones</v>
      </c>
      <c r="G29" s="8" t="s">
        <v>73</v>
      </c>
      <c r="H29" s="5" t="str">
        <f>IF($G29="","",IFERROR(IF(VLOOKUP($G29,Requerimientos!$A$6:$M$43,7,FALSE)="","",VLOOKUP($G29,Requerimientos!$A$6:$M$43,7,FALSE)),"ID no encontrado"))</f>
        <v>El sistema debe permitir al autorizador aprobar o rechazar una solicitud, registrando el motivo cuando la rechaza.</v>
      </c>
      <c r="I29" s="7" t="str">
        <f>IF($K29="","",IFERROR(IF(VLOOKUP($K29,'Historias y criterios'!$A$6:$P$83,2,FALSE)="","",VLOOKUP($K29,'Historias y criterios'!$A$6:$P$83,2,FALSE)),"ID no encontrado"))</f>
        <v>HU-006</v>
      </c>
      <c r="J29" s="5" t="str">
        <f>IF($K29="","",IFERROR(IF(VLOOKUP($K29,'Historias y criterios'!$A$6:$P$83,10,FALSE)="","",VLOOKUP($K29,'Historias y criterios'!$A$6:$P$83,10,FALSE)),"ID no encontrado"))</f>
        <v>Como autorizador, quiero aprobar, rechazar o pedir corrección de una solicitud de la bandeja compartida, para resolverla con un responsable y una decisión trazable</v>
      </c>
      <c r="K29" s="8" t="s">
        <v>80</v>
      </c>
      <c r="L29" s="5" t="str">
        <f>IF($K29="","",IFERROR(IF(VLOOKUP($K29,'Historias y criterios'!$A$6:$P$83,11,FALSE)="","",VLOOKUP($K29,'Historias y criterios'!$A$6:$P$83,11,FALSE)),"ID no encontrado"))</f>
        <v>La solicitud aprobada no admite edición y conserva usuario, fecha, hora y comentario de la resolución.</v>
      </c>
      <c r="M29" s="8" t="s">
        <v>81</v>
      </c>
      <c r="N29" s="5" t="str">
        <f>IF($M29="","",IFERROR(IF(VLOOKUP($M29,'Casos y evidencias'!$A$6:$O$83,5,FALSE)="","",VLOOKUP($M29,'Casos y evidencias'!$A$6:$O$83,5,FALSE)),"ID no encontrado"))</f>
        <v>Aprobación y bloqueo de edición</v>
      </c>
      <c r="O29" s="5" t="str">
        <f>IF($M29="","",IFERROR(IF(VLOOKUP($M29,'Casos y evidencias'!$A$6:$O$83,10,FALSE)="","",VLOOKUP($M29,'Casos y evidencias'!$A$6:$O$83,10,FALSE)),"ID no encontrado"))</f>
        <v>No ejecutado</v>
      </c>
      <c r="P29" s="7" t="str">
        <f>IF($M29="","",IFERROR(IF(VLOOKUP($M29,'Casos y evidencias'!$A$6:$O$83,11,FALSE)="","",VLOOKUP($M29,'Casos y evidencias'!$A$6:$O$83,11,FALSE)),"ID no encontrado"))</f>
        <v/>
      </c>
      <c r="Q29" s="5" t="str">
        <f>IF($M29="","",IFERROR(IF(VLOOKUP($M29,'Casos y evidencias'!$A$6:$O$83,12,FALSE)="","",VLOOKUP($M29,'Casos y evidencias'!$A$6:$O$83,12,FALSE)),"ID no encontrado"))</f>
        <v/>
      </c>
      <c r="R29" s="4"/>
    </row>
    <row r="30" spans="1:18" ht="75.599999999999994" customHeight="1">
      <c r="A30" s="6">
        <v>23</v>
      </c>
      <c r="B30" s="5" t="str">
        <f>IF($G30="","",IF($K30="","Falta criterio",IFERROR(IF(VLOOKUP($K30,'Historias y criterios'!$A$6:$P$83,3,FALSE)&lt;&gt;$G30,"Revisar relación requisito-criterio",IF($M30="","Falta caso de prueba",IF(VLOOKUP($M30,'Casos y evidencias'!$A$6:$O$83,2,FALSE)&lt;&gt;$K30,"Revisar relación criterio-caso",IF($O30="Aprobado",IF($P30="","Falta evidencia","Trazabilidad completa"),IF($O30="Fallido","Prueba fallida",IF($O30="Bloqueado","Prueba bloqueada","Prueba pendiente")))))),"ID no encontrado")))</f>
        <v>Prueba pendiente</v>
      </c>
      <c r="C30" s="7" t="str">
        <f>IF($G30="","",IFERROR(IF(VLOOKUP($G30,Requerimientos!$A$6:$M$43,2,FALSE)="","",VLOOKUP($G30,Requerimientos!$A$6:$M$43,2,FALSE)),"ID no encontrado"))</f>
        <v>OBJ-002</v>
      </c>
      <c r="D30" s="5" t="str">
        <f>IF($C30="","",IFERROR(IF(VLOOKUP($C30,'Objetivos y procesos'!$A$6:$H$35,2,FALSE)="","",VLOOKUP($C30,'Objetivos y procesos'!$A$6:$H$35,2,FALSE)),"ID no encontrado"))</f>
        <v>Reducir reprocesos y hacer visible la creación, activación o modificación de artículos desde su envío hasta la resolución.</v>
      </c>
      <c r="E30" s="7" t="str">
        <f>IF($G30="","",IFERROR(IF(VLOOKUP($G30,Requerimientos!$A$6:$M$43,3,FALSE)="","",VLOOKUP($G30,Requerimientos!$A$6:$M$43,3,FALSE)),"ID no encontrado"))</f>
        <v>PR-02</v>
      </c>
      <c r="F30" s="5" t="str">
        <f>IF($E30="","",IFERROR(IF(INDEX('Objetivos y procesos'!$D$6:$D$35,MATCH($E30,'Objetivos y procesos'!$C$6:$C$35,0))="","",IF(INDEX('Objetivos y procesos'!$D$6:$D$35,MATCH($E30,'Objetivos y procesos'!$C$6:$C$35,0))=INDEX('Objetivos y procesos'!$E$6:$E$35,MATCH($E30,'Objetivos y procesos'!$C$6:$C$35,0)),INDEX('Objetivos y procesos'!$D$6:$D$35,MATCH($E30,'Objetivos y procesos'!$C$6:$C$35,0)),INDEX('Objetivos y procesos'!$D$6:$D$35,MATCH($E30,'Objetivos y procesos'!$C$6:$C$35,0))&amp;IF(INDEX('Objetivos y procesos'!$E$6:$E$35,MATCH($E30,'Objetivos y procesos'!$C$6:$C$35,0))="",""," / "&amp;INDEX('Objetivos y procesos'!$E$6:$E$35,MATCH($E30,'Objetivos y procesos'!$C$6:$C$35,0))))),"ID no encontrado"))</f>
        <v>Solicitudes y autorizaciones</v>
      </c>
      <c r="G30" s="8" t="s">
        <v>82</v>
      </c>
      <c r="H30" s="5" t="str">
        <f>IF($G30="","",IFERROR(IF(VLOOKUP($G30,Requerimientos!$A$6:$M$43,7,FALSE)="","",VLOOKUP($G30,Requerimientos!$A$6:$M$43,7,FALSE)),"ID no encontrado"))</f>
        <v>El sistema debe permitir al vendedor corregir y reenviar una solicitud rechazada por el autorizador.</v>
      </c>
      <c r="I30" s="7" t="str">
        <f>IF($K30="","",IFERROR(IF(VLOOKUP($K30,'Historias y criterios'!$A$6:$P$83,2,FALSE)="","",VLOOKUP($K30,'Historias y criterios'!$A$6:$P$83,2,FALSE)),"ID no encontrado"))</f>
        <v>HU-007</v>
      </c>
      <c r="J30" s="5" t="str">
        <f>IF($K30="","",IFERROR(IF(VLOOKUP($K30,'Historias y criterios'!$A$6:$P$83,10,FALSE)="","",VLOOKUP($K30,'Historias y criterios'!$A$6:$P$83,10,FALSE)),"ID no encontrado"))</f>
        <v>Como vendedor solicitante, quiero corregir y reenviar solicitudes rechazadas, además de consultar y filtrar su seguimiento, para resolver observaciones y conocer el estado de cada gestión</v>
      </c>
      <c r="K30" s="8" t="s">
        <v>83</v>
      </c>
      <c r="L30" s="5" t="str">
        <f>IF($K30="","",IFERROR(IF(VLOOKUP($K30,'Historias y criterios'!$A$6:$P$83,11,FALSE)="","",VLOOKUP($K30,'Historias y criterios'!$A$6:$P$83,11,FALSE)),"ID no encontrado"))</f>
        <v>Solo el creador puede corregir y reenviar una solicitud rechazada.</v>
      </c>
      <c r="M30" s="8" t="s">
        <v>84</v>
      </c>
      <c r="N30" s="5" t="str">
        <f>IF($M30="","",IFERROR(IF(VLOOKUP($M30,'Casos y evidencias'!$A$6:$O$83,5,FALSE)="","",VLOOKUP($M30,'Casos y evidencias'!$A$6:$O$83,5,FALSE)),"ID no encontrado"))</f>
        <v>Corrección exclusiva del creador</v>
      </c>
      <c r="O30" s="5" t="str">
        <f>IF($M30="","",IFERROR(IF(VLOOKUP($M30,'Casos y evidencias'!$A$6:$O$83,10,FALSE)="","",VLOOKUP($M30,'Casos y evidencias'!$A$6:$O$83,10,FALSE)),"ID no encontrado"))</f>
        <v>No ejecutado</v>
      </c>
      <c r="P30" s="7" t="str">
        <f>IF($M30="","",IFERROR(IF(VLOOKUP($M30,'Casos y evidencias'!$A$6:$O$83,11,FALSE)="","",VLOOKUP($M30,'Casos y evidencias'!$A$6:$O$83,11,FALSE)),"ID no encontrado"))</f>
        <v/>
      </c>
      <c r="Q30" s="5" t="str">
        <f>IF($M30="","",IFERROR(IF(VLOOKUP($M30,'Casos y evidencias'!$A$6:$O$83,12,FALSE)="","",VLOOKUP($M30,'Casos y evidencias'!$A$6:$O$83,12,FALSE)),"ID no encontrado"))</f>
        <v/>
      </c>
      <c r="R30" s="4"/>
    </row>
    <row r="31" spans="1:18" ht="75.599999999999994" customHeight="1">
      <c r="A31" s="6">
        <v>24</v>
      </c>
      <c r="B31" s="5" t="str">
        <f>IF($G31="","",IF($K31="","Falta criterio",IFERROR(IF(VLOOKUP($K31,'Historias y criterios'!$A$6:$P$83,3,FALSE)&lt;&gt;$G31,"Revisar relación requisito-criterio",IF($M31="","Falta caso de prueba",IF(VLOOKUP($M31,'Casos y evidencias'!$A$6:$O$83,2,FALSE)&lt;&gt;$K31,"Revisar relación criterio-caso",IF($O31="Aprobado",IF($P31="","Falta evidencia","Trazabilidad completa"),IF($O31="Fallido","Prueba fallida",IF($O31="Bloqueado","Prueba bloqueada","Prueba pendiente")))))),"ID no encontrado")))</f>
        <v>Prueba pendiente</v>
      </c>
      <c r="C31" s="7" t="str">
        <f>IF($G31="","",IFERROR(IF(VLOOKUP($G31,Requerimientos!$A$6:$M$43,2,FALSE)="","",VLOOKUP($G31,Requerimientos!$A$6:$M$43,2,FALSE)),"ID no encontrado"))</f>
        <v>OBJ-002</v>
      </c>
      <c r="D31" s="5" t="str">
        <f>IF($C31="","",IFERROR(IF(VLOOKUP($C31,'Objetivos y procesos'!$A$6:$H$35,2,FALSE)="","",VLOOKUP($C31,'Objetivos y procesos'!$A$6:$H$35,2,FALSE)),"ID no encontrado"))</f>
        <v>Reducir reprocesos y hacer visible la creación, activación o modificación de artículos desde su envío hasta la resolución.</v>
      </c>
      <c r="E31" s="7" t="str">
        <f>IF($G31="","",IFERROR(IF(VLOOKUP($G31,Requerimientos!$A$6:$M$43,3,FALSE)="","",VLOOKUP($G31,Requerimientos!$A$6:$M$43,3,FALSE)),"ID no encontrado"))</f>
        <v>PR-02</v>
      </c>
      <c r="F31" s="5" t="str">
        <f>IF($E31="","",IFERROR(IF(INDEX('Objetivos y procesos'!$D$6:$D$35,MATCH($E31,'Objetivos y procesos'!$C$6:$C$35,0))="","",IF(INDEX('Objetivos y procesos'!$D$6:$D$35,MATCH($E31,'Objetivos y procesos'!$C$6:$C$35,0))=INDEX('Objetivos y procesos'!$E$6:$E$35,MATCH($E31,'Objetivos y procesos'!$C$6:$C$35,0)),INDEX('Objetivos y procesos'!$D$6:$D$35,MATCH($E31,'Objetivos y procesos'!$C$6:$C$35,0)),INDEX('Objetivos y procesos'!$D$6:$D$35,MATCH($E31,'Objetivos y procesos'!$C$6:$C$35,0))&amp;IF(INDEX('Objetivos y procesos'!$E$6:$E$35,MATCH($E31,'Objetivos y procesos'!$C$6:$C$35,0))="",""," / "&amp;INDEX('Objetivos y procesos'!$E$6:$E$35,MATCH($E31,'Objetivos y procesos'!$C$6:$C$35,0))))),"ID no encontrado"))</f>
        <v>Solicitudes y autorizaciones</v>
      </c>
      <c r="G31" s="8" t="s">
        <v>82</v>
      </c>
      <c r="H31" s="5" t="str">
        <f>IF($G31="","",IFERROR(IF(VLOOKUP($G31,Requerimientos!$A$6:$M$43,7,FALSE)="","",VLOOKUP($G31,Requerimientos!$A$6:$M$43,7,FALSE)),"ID no encontrado"))</f>
        <v>El sistema debe permitir al vendedor corregir y reenviar una solicitud rechazada por el autorizador.</v>
      </c>
      <c r="I31" s="7" t="str">
        <f>IF($K31="","",IFERROR(IF(VLOOKUP($K31,'Historias y criterios'!$A$6:$P$83,2,FALSE)="","",VLOOKUP($K31,'Historias y criterios'!$A$6:$P$83,2,FALSE)),"ID no encontrado"))</f>
        <v>HU-007</v>
      </c>
      <c r="J31" s="5" t="str">
        <f>IF($K31="","",IFERROR(IF(VLOOKUP($K31,'Historias y criterios'!$A$6:$P$83,10,FALSE)="","",VLOOKUP($K31,'Historias y criterios'!$A$6:$P$83,10,FALSE)),"ID no encontrado"))</f>
        <v>Como vendedor solicitante, quiero corregir y reenviar solicitudes rechazadas, además de consultar y filtrar su seguimiento, para resolver observaciones y conocer el estado de cada gestión</v>
      </c>
      <c r="K31" s="8" t="s">
        <v>85</v>
      </c>
      <c r="L31" s="5" t="str">
        <f>IF($K31="","",IFERROR(IF(VLOOKUP($K31,'Historias y criterios'!$A$6:$P$83,11,FALSE)="","",VLOOKUP($K31,'Historias y criterios'!$A$6:$P$83,11,FALSE)),"ID no encontrado"))</f>
        <v>El reenvío vuelve a estado Pendiente y a la bandeja del grupo autorizador.</v>
      </c>
      <c r="M31" s="8" t="s">
        <v>86</v>
      </c>
      <c r="N31" s="5" t="str">
        <f>IF($M31="","",IFERROR(IF(VLOOKUP($M31,'Casos y evidencias'!$A$6:$O$83,5,FALSE)="","",VLOOKUP($M31,'Casos y evidencias'!$A$6:$O$83,5,FALSE)),"ID no encontrado"))</f>
        <v>Reenvío a estado Pendiente</v>
      </c>
      <c r="O31" s="5" t="str">
        <f>IF($M31="","",IFERROR(IF(VLOOKUP($M31,'Casos y evidencias'!$A$6:$O$83,10,FALSE)="","",VLOOKUP($M31,'Casos y evidencias'!$A$6:$O$83,10,FALSE)),"ID no encontrado"))</f>
        <v>No ejecutado</v>
      </c>
      <c r="P31" s="7" t="str">
        <f>IF($M31="","",IFERROR(IF(VLOOKUP($M31,'Casos y evidencias'!$A$6:$O$83,11,FALSE)="","",VLOOKUP($M31,'Casos y evidencias'!$A$6:$O$83,11,FALSE)),"ID no encontrado"))</f>
        <v/>
      </c>
      <c r="Q31" s="5" t="str">
        <f>IF($M31="","",IFERROR(IF(VLOOKUP($M31,'Casos y evidencias'!$A$6:$O$83,12,FALSE)="","",VLOOKUP($M31,'Casos y evidencias'!$A$6:$O$83,12,FALSE)),"ID no encontrado"))</f>
        <v/>
      </c>
      <c r="R31" s="4"/>
    </row>
    <row r="32" spans="1:18" ht="75.599999999999994" customHeight="1">
      <c r="A32" s="6">
        <v>25</v>
      </c>
      <c r="B32" s="5" t="str">
        <f>IF($G32="","",IF($K32="","Falta criterio",IFERROR(IF(VLOOKUP($K32,'Historias y criterios'!$A$6:$P$83,3,FALSE)&lt;&gt;$G32,"Revisar relación requisito-criterio",IF($M32="","Falta caso de prueba",IF(VLOOKUP($M32,'Casos y evidencias'!$A$6:$O$83,2,FALSE)&lt;&gt;$K32,"Revisar relación criterio-caso",IF($O32="Aprobado",IF($P32="","Falta evidencia","Trazabilidad completa"),IF($O32="Fallido","Prueba fallida",IF($O32="Bloqueado","Prueba bloqueada","Prueba pendiente")))))),"ID no encontrado")))</f>
        <v>Prueba pendiente</v>
      </c>
      <c r="C32" s="7" t="str">
        <f>IF($G32="","",IFERROR(IF(VLOOKUP($G32,Requerimientos!$A$6:$M$43,2,FALSE)="","",VLOOKUP($G32,Requerimientos!$A$6:$M$43,2,FALSE)),"ID no encontrado"))</f>
        <v>OBJ-002</v>
      </c>
      <c r="D32" s="5" t="str">
        <f>IF($C32="","",IFERROR(IF(VLOOKUP($C32,'Objetivos y procesos'!$A$6:$H$35,2,FALSE)="","",VLOOKUP($C32,'Objetivos y procesos'!$A$6:$H$35,2,FALSE)),"ID no encontrado"))</f>
        <v>Reducir reprocesos y hacer visible la creación, activación o modificación de artículos desde su envío hasta la resolución.</v>
      </c>
      <c r="E32" s="7" t="str">
        <f>IF($G32="","",IFERROR(IF(VLOOKUP($G32,Requerimientos!$A$6:$M$43,3,FALSE)="","",VLOOKUP($G32,Requerimientos!$A$6:$M$43,3,FALSE)),"ID no encontrado"))</f>
        <v>PR-02</v>
      </c>
      <c r="F32" s="5" t="str">
        <f>IF($E32="","",IFERROR(IF(INDEX('Objetivos y procesos'!$D$6:$D$35,MATCH($E32,'Objetivos y procesos'!$C$6:$C$35,0))="","",IF(INDEX('Objetivos y procesos'!$D$6:$D$35,MATCH($E32,'Objetivos y procesos'!$C$6:$C$35,0))=INDEX('Objetivos y procesos'!$E$6:$E$35,MATCH($E32,'Objetivos y procesos'!$C$6:$C$35,0)),INDEX('Objetivos y procesos'!$D$6:$D$35,MATCH($E32,'Objetivos y procesos'!$C$6:$C$35,0)),INDEX('Objetivos y procesos'!$D$6:$D$35,MATCH($E32,'Objetivos y procesos'!$C$6:$C$35,0))&amp;IF(INDEX('Objetivos y procesos'!$E$6:$E$35,MATCH($E32,'Objetivos y procesos'!$C$6:$C$35,0))="",""," / "&amp;INDEX('Objetivos y procesos'!$E$6:$E$35,MATCH($E32,'Objetivos y procesos'!$C$6:$C$35,0))))),"ID no encontrado"))</f>
        <v>Solicitudes y autorizaciones</v>
      </c>
      <c r="G32" s="8" t="s">
        <v>87</v>
      </c>
      <c r="H32" s="5" t="str">
        <f>IF($G32="","",IFERROR(IF(VLOOKUP($G32,Requerimientos!$A$6:$M$43,7,FALSE)="","",VLOOKUP($G32,Requerimientos!$A$6:$M$43,7,FALSE)),"ID no encontrado"))</f>
        <v>El sistema debe permitir consultar el estado actual, el responsable, la fecha de respuesta y el comentario de cada solicitud.</v>
      </c>
      <c r="I32" s="7" t="str">
        <f>IF($K32="","",IFERROR(IF(VLOOKUP($K32,'Historias y criterios'!$A$6:$P$83,2,FALSE)="","",VLOOKUP($K32,'Historias y criterios'!$A$6:$P$83,2,FALSE)),"ID no encontrado"))</f>
        <v>HU-007</v>
      </c>
      <c r="J32" s="5" t="str">
        <f>IF($K32="","",IFERROR(IF(VLOOKUP($K32,'Historias y criterios'!$A$6:$P$83,10,FALSE)="","",VLOOKUP($K32,'Historias y criterios'!$A$6:$P$83,10,FALSE)),"ID no encontrado"))</f>
        <v>Como vendedor solicitante, quiero corregir y reenviar solicitudes rechazadas, además de consultar y filtrar su seguimiento, para resolver observaciones y conocer el estado de cada gestión</v>
      </c>
      <c r="K32" s="8" t="s">
        <v>88</v>
      </c>
      <c r="L32" s="5" t="str">
        <f>IF($K32="","",IFERROR(IF(VLOOKUP($K32,'Historias y criterios'!$A$6:$P$83,11,FALSE)="","",VLOOKUP($K32,'Historias y criterios'!$A$6:$P$83,11,FALSE)),"ID no encontrado"))</f>
        <v>El usuario consulta estado, responsable, fecha y comentario.</v>
      </c>
      <c r="M32" s="8" t="s">
        <v>89</v>
      </c>
      <c r="N32" s="5" t="str">
        <f>IF($M32="","",IFERROR(IF(VLOOKUP($M32,'Casos y evidencias'!$A$6:$O$83,5,FALSE)="","",VLOOKUP($M32,'Casos y evidencias'!$A$6:$O$83,5,FALSE)),"ID no encontrado"))</f>
        <v>Consulta del seguimiento</v>
      </c>
      <c r="O32" s="5" t="str">
        <f>IF($M32="","",IFERROR(IF(VLOOKUP($M32,'Casos y evidencias'!$A$6:$O$83,10,FALSE)="","",VLOOKUP($M32,'Casos y evidencias'!$A$6:$O$83,10,FALSE)),"ID no encontrado"))</f>
        <v>No ejecutado</v>
      </c>
      <c r="P32" s="7" t="str">
        <f>IF($M32="","",IFERROR(IF(VLOOKUP($M32,'Casos y evidencias'!$A$6:$O$83,11,FALSE)="","",VLOOKUP($M32,'Casos y evidencias'!$A$6:$O$83,11,FALSE)),"ID no encontrado"))</f>
        <v/>
      </c>
      <c r="Q32" s="5" t="str">
        <f>IF($M32="","",IFERROR(IF(VLOOKUP($M32,'Casos y evidencias'!$A$6:$O$83,12,FALSE)="","",VLOOKUP($M32,'Casos y evidencias'!$A$6:$O$83,12,FALSE)),"ID no encontrado"))</f>
        <v/>
      </c>
      <c r="R32" s="4"/>
    </row>
    <row r="33" spans="1:18" ht="75.599999999999994" customHeight="1">
      <c r="A33" s="6">
        <v>26</v>
      </c>
      <c r="B33" s="5" t="str">
        <f>IF($G33="","",IF($K33="","Falta criterio",IFERROR(IF(VLOOKUP($K33,'Historias y criterios'!$A$6:$P$83,3,FALSE)&lt;&gt;$G33,"Revisar relación requisito-criterio",IF($M33="","Falta caso de prueba",IF(VLOOKUP($M33,'Casos y evidencias'!$A$6:$O$83,2,FALSE)&lt;&gt;$K33,"Revisar relación criterio-caso",IF($O33="Aprobado",IF($P33="","Falta evidencia","Trazabilidad completa"),IF($O33="Fallido","Prueba fallida",IF($O33="Bloqueado","Prueba bloqueada","Prueba pendiente")))))),"ID no encontrado")))</f>
        <v>Prueba pendiente</v>
      </c>
      <c r="C33" s="7" t="str">
        <f>IF($G33="","",IFERROR(IF(VLOOKUP($G33,Requerimientos!$A$6:$M$43,2,FALSE)="","",VLOOKUP($G33,Requerimientos!$A$6:$M$43,2,FALSE)),"ID no encontrado"))</f>
        <v>OBJ-002</v>
      </c>
      <c r="D33" s="5" t="str">
        <f>IF($C33="","",IFERROR(IF(VLOOKUP($C33,'Objetivos y procesos'!$A$6:$H$35,2,FALSE)="","",VLOOKUP($C33,'Objetivos y procesos'!$A$6:$H$35,2,FALSE)),"ID no encontrado"))</f>
        <v>Reducir reprocesos y hacer visible la creación, activación o modificación de artículos desde su envío hasta la resolución.</v>
      </c>
      <c r="E33" s="7" t="str">
        <f>IF($G33="","",IFERROR(IF(VLOOKUP($G33,Requerimientos!$A$6:$M$43,3,FALSE)="","",VLOOKUP($G33,Requerimientos!$A$6:$M$43,3,FALSE)),"ID no encontrado"))</f>
        <v>PR-02</v>
      </c>
      <c r="F33" s="5" t="str">
        <f>IF($E33="","",IFERROR(IF(INDEX('Objetivos y procesos'!$D$6:$D$35,MATCH($E33,'Objetivos y procesos'!$C$6:$C$35,0))="","",IF(INDEX('Objetivos y procesos'!$D$6:$D$35,MATCH($E33,'Objetivos y procesos'!$C$6:$C$35,0))=INDEX('Objetivos y procesos'!$E$6:$E$35,MATCH($E33,'Objetivos y procesos'!$C$6:$C$35,0)),INDEX('Objetivos y procesos'!$D$6:$D$35,MATCH($E33,'Objetivos y procesos'!$C$6:$C$35,0)),INDEX('Objetivos y procesos'!$D$6:$D$35,MATCH($E33,'Objetivos y procesos'!$C$6:$C$35,0))&amp;IF(INDEX('Objetivos y procesos'!$E$6:$E$35,MATCH($E33,'Objetivos y procesos'!$C$6:$C$35,0))="",""," / "&amp;INDEX('Objetivos y procesos'!$E$6:$E$35,MATCH($E33,'Objetivos y procesos'!$C$6:$C$35,0))))),"ID no encontrado"))</f>
        <v>Solicitudes y autorizaciones</v>
      </c>
      <c r="G33" s="8" t="s">
        <v>90</v>
      </c>
      <c r="H33" s="5" t="str">
        <f>IF($G33="","",IFERROR(IF(VLOOKUP($G33,Requerimientos!$A$6:$M$43,7,FALSE)="","",VLOOKUP($G33,Requerimientos!$A$6:$M$43,7,FALSE)),"ID no encontrado"))</f>
        <v>El sistema debe permitir filtrar y buscar solicitudes por estado, fecha, área y responsable.</v>
      </c>
      <c r="I33" s="7" t="str">
        <f>IF($K33="","",IFERROR(IF(VLOOKUP($K33,'Historias y criterios'!$A$6:$P$83,2,FALSE)="","",VLOOKUP($K33,'Historias y criterios'!$A$6:$P$83,2,FALSE)),"ID no encontrado"))</f>
        <v>HU-007</v>
      </c>
      <c r="J33" s="5" t="str">
        <f>IF($K33="","",IFERROR(IF(VLOOKUP($K33,'Historias y criterios'!$A$6:$P$83,10,FALSE)="","",VLOOKUP($K33,'Historias y criterios'!$A$6:$P$83,10,FALSE)),"ID no encontrado"))</f>
        <v>Como vendedor solicitante, quiero corregir y reenviar solicitudes rechazadas, además de consultar y filtrar su seguimiento, para resolver observaciones y conocer el estado de cada gestión</v>
      </c>
      <c r="K33" s="8" t="s">
        <v>91</v>
      </c>
      <c r="L33" s="5" t="str">
        <f>IF($K33="","",IFERROR(IF(VLOOKUP($K33,'Historias y criterios'!$A$6:$P$83,11,FALSE)="","",VLOOKUP($K33,'Historias y criterios'!$A$6:$P$83,11,FALSE)),"ID no encontrado"))</f>
        <v>Los filtros por estado, fecha, área y responsable devuelven resultados acordes con sus permisos.</v>
      </c>
      <c r="M33" s="8" t="s">
        <v>92</v>
      </c>
      <c r="N33" s="5" t="str">
        <f>IF($M33="","",IFERROR(IF(VLOOKUP($M33,'Casos y evidencias'!$A$6:$O$83,5,FALSE)="","",VLOOKUP($M33,'Casos y evidencias'!$A$6:$O$83,5,FALSE)),"ID no encontrado"))</f>
        <v>Filtros y búsqueda según permisos</v>
      </c>
      <c r="O33" s="5" t="str">
        <f>IF($M33="","",IFERROR(IF(VLOOKUP($M33,'Casos y evidencias'!$A$6:$O$83,10,FALSE)="","",VLOOKUP($M33,'Casos y evidencias'!$A$6:$O$83,10,FALSE)),"ID no encontrado"))</f>
        <v>No ejecutado</v>
      </c>
      <c r="P33" s="7" t="str">
        <f>IF($M33="","",IFERROR(IF(VLOOKUP($M33,'Casos y evidencias'!$A$6:$O$83,11,FALSE)="","",VLOOKUP($M33,'Casos y evidencias'!$A$6:$O$83,11,FALSE)),"ID no encontrado"))</f>
        <v/>
      </c>
      <c r="Q33" s="5" t="str">
        <f>IF($M33="","",IFERROR(IF(VLOOKUP($M33,'Casos y evidencias'!$A$6:$O$83,12,FALSE)="","",VLOOKUP($M33,'Casos y evidencias'!$A$6:$O$83,12,FALSE)),"ID no encontrado"))</f>
        <v/>
      </c>
      <c r="R33" s="4"/>
    </row>
    <row r="34" spans="1:18" ht="75.599999999999994" customHeight="1">
      <c r="A34" s="6">
        <v>27</v>
      </c>
      <c r="B34" s="5" t="str">
        <f>IF($G34="","",IF($K34="","Falta criterio",IFERROR(IF(VLOOKUP($K34,'Historias y criterios'!$A$6:$P$83,3,FALSE)&lt;&gt;$G34,"Revisar relación requisito-criterio",IF($M34="","Falta caso de prueba",IF(VLOOKUP($M34,'Casos y evidencias'!$A$6:$O$83,2,FALSE)&lt;&gt;$K34,"Revisar relación criterio-caso",IF($O34="Aprobado",IF($P34="","Falta evidencia","Trazabilidad completa"),IF($O34="Fallido","Prueba fallida",IF($O34="Bloqueado","Prueba bloqueada","Prueba pendiente")))))),"ID no encontrado")))</f>
        <v>Prueba pendiente</v>
      </c>
      <c r="C34" s="7" t="str">
        <f>IF($G34="","",IFERROR(IF(VLOOKUP($G34,Requerimientos!$A$6:$M$43,2,FALSE)="","",VLOOKUP($G34,Requerimientos!$A$6:$M$43,2,FALSE)),"ID no encontrado"))</f>
        <v>OBJ-003</v>
      </c>
      <c r="D34" s="5" t="str">
        <f>IF($C34="","",IFERROR(IF(VLOOKUP($C34,'Objetivos y procesos'!$A$6:$H$35,2,FALSE)="","",VLOOKUP($C34,'Objetivos y procesos'!$A$6:$H$35,2,FALSE)),"ID no encontrado"))</f>
        <v>Centralizar consultas, cotizaciones y órdenes de venta, aplicando vendedor, comisión, autorización e integración correctos.</v>
      </c>
      <c r="E34" s="7" t="str">
        <f>IF($G34="","",IFERROR(IF(VLOOKUP($G34,Requerimientos!$A$6:$M$43,3,FALSE)="","",VLOOKUP($G34,Requerimientos!$A$6:$M$43,3,FALSE)),"ID no encontrado"))</f>
        <v>PR-03</v>
      </c>
      <c r="F34" s="5" t="str">
        <f>IF($E34="","",IFERROR(IF(INDEX('Objetivos y procesos'!$D$6:$D$35,MATCH($E34,'Objetivos y procesos'!$C$6:$C$35,0))="","",IF(INDEX('Objetivos y procesos'!$D$6:$D$35,MATCH($E34,'Objetivos y procesos'!$C$6:$C$35,0))=INDEX('Objetivos y procesos'!$E$6:$E$35,MATCH($E34,'Objetivos y procesos'!$C$6:$C$35,0)),INDEX('Objetivos y procesos'!$D$6:$D$35,MATCH($E34,'Objetivos y procesos'!$C$6:$C$35,0)),INDEX('Objetivos y procesos'!$D$6:$D$35,MATCH($E34,'Objetivos y procesos'!$C$6:$C$35,0))&amp;IF(INDEX('Objetivos y procesos'!$E$6:$E$35,MATCH($E34,'Objetivos y procesos'!$C$6:$C$35,0))="",""," / "&amp;INDEX('Objetivos y procesos'!$E$6:$E$35,MATCH($E34,'Objetivos y procesos'!$C$6:$C$35,0))))),"ID no encontrado"))</f>
        <v>Gestión comercial, cotizaciones y órdenes de venta</v>
      </c>
      <c r="G34" s="8" t="s">
        <v>93</v>
      </c>
      <c r="H34" s="5" t="str">
        <f>IF($G34="","",IFERROR(IF(VLOOKUP($G34,Requerimientos!$A$6:$M$43,7,FALSE)="","",VLOOKUP($G34,Requerimientos!$A$6:$M$43,7,FALSE)),"ID no encontrado"))</f>
        <v>El sistema debe permitir consultar el catálogo de productos con su disponibilidad de stock.</v>
      </c>
      <c r="I34" s="7" t="str">
        <f>IF($K34="","",IFERROR(IF(VLOOKUP($K34,'Historias y criterios'!$A$6:$P$83,2,FALSE)="","",VLOOKUP($K34,'Historias y criterios'!$A$6:$P$83,2,FALSE)),"ID no encontrado"))</f>
        <v>HU-008</v>
      </c>
      <c r="J34" s="5" t="str">
        <f>IF($K34="","",IFERROR(IF(VLOOKUP($K34,'Historias y criterios'!$A$6:$P$83,10,FALSE)="","",VLOOKUP($K34,'Historias y criterios'!$A$6:$P$83,10,FALSE)),"ID no encontrado"))</f>
        <v>Como vendedor o asistente de vendedor, quiero consultar productos, stock, clientes, crédito y bloqueo en la empresa activa, para tomar decisiones comerciales con información vigente del ERP</v>
      </c>
      <c r="K34" s="8" t="s">
        <v>94</v>
      </c>
      <c r="L34" s="5" t="str">
        <f>IF($K34="","",IFERROR(IF(VLOOKUP($K34,'Historias y criterios'!$A$6:$P$83,11,FALSE)="","",VLOOKUP($K34,'Historias y criterios'!$A$6:$P$83,11,FALSE)),"ID no encontrado"))</f>
        <v>Las consultas muestran datos vigentes del ERP para la empresa activa.</v>
      </c>
      <c r="M34" s="8" t="s">
        <v>95</v>
      </c>
      <c r="N34" s="5" t="str">
        <f>IF($M34="","",IFERROR(IF(VLOOKUP($M34,'Casos y evidencias'!$A$6:$O$83,5,FALSE)="","",VLOOKUP($M34,'Casos y evidencias'!$A$6:$O$83,5,FALSE)),"ID no encontrado"))</f>
        <v>Consulta de productos y stock en la empresa activa</v>
      </c>
      <c r="O34" s="5" t="str">
        <f>IF($M34="","",IFERROR(IF(VLOOKUP($M34,'Casos y evidencias'!$A$6:$O$83,10,FALSE)="","",VLOOKUP($M34,'Casos y evidencias'!$A$6:$O$83,10,FALSE)),"ID no encontrado"))</f>
        <v>No ejecutado</v>
      </c>
      <c r="P34" s="7" t="str">
        <f>IF($M34="","",IFERROR(IF(VLOOKUP($M34,'Casos y evidencias'!$A$6:$O$83,11,FALSE)="","",VLOOKUP($M34,'Casos y evidencias'!$A$6:$O$83,11,FALSE)),"ID no encontrado"))</f>
        <v/>
      </c>
      <c r="Q34" s="5" t="str">
        <f>IF($M34="","",IFERROR(IF(VLOOKUP($M34,'Casos y evidencias'!$A$6:$O$83,12,FALSE)="","",VLOOKUP($M34,'Casos y evidencias'!$A$6:$O$83,12,FALSE)),"ID no encontrado"))</f>
        <v/>
      </c>
      <c r="R34" s="4"/>
    </row>
    <row r="35" spans="1:18" ht="75.599999999999994" customHeight="1">
      <c r="A35" s="6">
        <v>28</v>
      </c>
      <c r="B35" s="5" t="str">
        <f>IF($G35="","",IF($K35="","Falta criterio",IFERROR(IF(VLOOKUP($K35,'Historias y criterios'!$A$6:$P$83,3,FALSE)&lt;&gt;$G35,"Revisar relación requisito-criterio",IF($M35="","Falta caso de prueba",IF(VLOOKUP($M35,'Casos y evidencias'!$A$6:$O$83,2,FALSE)&lt;&gt;$K35,"Revisar relación criterio-caso",IF($O35="Aprobado",IF($P35="","Falta evidencia","Trazabilidad completa"),IF($O35="Fallido","Prueba fallida",IF($O35="Bloqueado","Prueba bloqueada","Prueba pendiente")))))),"ID no encontrado")))</f>
        <v>Prueba pendiente</v>
      </c>
      <c r="C35" s="7" t="str">
        <f>IF($G35="","",IFERROR(IF(VLOOKUP($G35,Requerimientos!$A$6:$M$43,2,FALSE)="","",VLOOKUP($G35,Requerimientos!$A$6:$M$43,2,FALSE)),"ID no encontrado"))</f>
        <v>OBJ-003</v>
      </c>
      <c r="D35" s="5" t="str">
        <f>IF($C35="","",IFERROR(IF(VLOOKUP($C35,'Objetivos y procesos'!$A$6:$H$35,2,FALSE)="","",VLOOKUP($C35,'Objetivos y procesos'!$A$6:$H$35,2,FALSE)),"ID no encontrado"))</f>
        <v>Centralizar consultas, cotizaciones y órdenes de venta, aplicando vendedor, comisión, autorización e integración correctos.</v>
      </c>
      <c r="E35" s="7" t="str">
        <f>IF($G35="","",IFERROR(IF(VLOOKUP($G35,Requerimientos!$A$6:$M$43,3,FALSE)="","",VLOOKUP($G35,Requerimientos!$A$6:$M$43,3,FALSE)),"ID no encontrado"))</f>
        <v>PR-03</v>
      </c>
      <c r="F35" s="5" t="str">
        <f>IF($E35="","",IFERROR(IF(INDEX('Objetivos y procesos'!$D$6:$D$35,MATCH($E35,'Objetivos y procesos'!$C$6:$C$35,0))="","",IF(INDEX('Objetivos y procesos'!$D$6:$D$35,MATCH($E35,'Objetivos y procesos'!$C$6:$C$35,0))=INDEX('Objetivos y procesos'!$E$6:$E$35,MATCH($E35,'Objetivos y procesos'!$C$6:$C$35,0)),INDEX('Objetivos y procesos'!$D$6:$D$35,MATCH($E35,'Objetivos y procesos'!$C$6:$C$35,0)),INDEX('Objetivos y procesos'!$D$6:$D$35,MATCH($E35,'Objetivos y procesos'!$C$6:$C$35,0))&amp;IF(INDEX('Objetivos y procesos'!$E$6:$E$35,MATCH($E35,'Objetivos y procesos'!$C$6:$C$35,0))="",""," / "&amp;INDEX('Objetivos y procesos'!$E$6:$E$35,MATCH($E35,'Objetivos y procesos'!$C$6:$C$35,0))))),"ID no encontrado"))</f>
        <v>Gestión comercial, cotizaciones y órdenes de venta</v>
      </c>
      <c r="G35" s="8" t="s">
        <v>96</v>
      </c>
      <c r="H35" s="5" t="str">
        <f>IF($G35="","",IFERROR(IF(VLOOKUP($G35,Requerimientos!$A$6:$M$43,7,FALSE)="","",VLOOKUP($G35,Requerimientos!$A$6:$M$43,7,FALSE)),"ID no encontrado"))</f>
        <v>El sistema debe permitir consultar los datos del cliente, incluidos su crédito disponible y su estado de bloqueo.</v>
      </c>
      <c r="I35" s="7" t="str">
        <f>IF($K35="","",IFERROR(IF(VLOOKUP($K35,'Historias y criterios'!$A$6:$P$83,2,FALSE)="","",VLOOKUP($K35,'Historias y criterios'!$A$6:$P$83,2,FALSE)),"ID no encontrado"))</f>
        <v>HU-008</v>
      </c>
      <c r="J35" s="5" t="str">
        <f>IF($K35="","",IFERROR(IF(VLOOKUP($K35,'Historias y criterios'!$A$6:$P$83,10,FALSE)="","",VLOOKUP($K35,'Historias y criterios'!$A$6:$P$83,10,FALSE)),"ID no encontrado"))</f>
        <v>Como vendedor o asistente de vendedor, quiero consultar productos, stock, clientes, crédito y bloqueo en la empresa activa, para tomar decisiones comerciales con información vigente del ERP</v>
      </c>
      <c r="K35" s="8" t="s">
        <v>97</v>
      </c>
      <c r="L35" s="5" t="str">
        <f>IF($K35="","",IFERROR(IF(VLOOKUP($K35,'Historias y criterios'!$A$6:$P$83,11,FALSE)="","",VLOOKUP($K35,'Historias y criterios'!$A$6:$P$83,11,FALSE)),"ID no encontrado"))</f>
        <v>El vendedor ve sus clientes y el asistente los de los vendedores asignados.</v>
      </c>
      <c r="M35" s="8" t="s">
        <v>98</v>
      </c>
      <c r="N35" s="5" t="str">
        <f>IF($M35="","",IFERROR(IF(VLOOKUP($M35,'Casos y evidencias'!$A$6:$O$83,5,FALSE)="","",VLOOKUP($M35,'Casos y evidencias'!$A$6:$O$83,5,FALSE)),"ID no encontrado"))</f>
        <v>Cartera de clientes de vendedor y asistente</v>
      </c>
      <c r="O35" s="5" t="str">
        <f>IF($M35="","",IFERROR(IF(VLOOKUP($M35,'Casos y evidencias'!$A$6:$O$83,10,FALSE)="","",VLOOKUP($M35,'Casos y evidencias'!$A$6:$O$83,10,FALSE)),"ID no encontrado"))</f>
        <v>No ejecutado</v>
      </c>
      <c r="P35" s="7" t="str">
        <f>IF($M35="","",IFERROR(IF(VLOOKUP($M35,'Casos y evidencias'!$A$6:$O$83,11,FALSE)="","",VLOOKUP($M35,'Casos y evidencias'!$A$6:$O$83,11,FALSE)),"ID no encontrado"))</f>
        <v/>
      </c>
      <c r="Q35" s="5" t="str">
        <f>IF($M35="","",IFERROR(IF(VLOOKUP($M35,'Casos y evidencias'!$A$6:$O$83,12,FALSE)="","",VLOOKUP($M35,'Casos y evidencias'!$A$6:$O$83,12,FALSE)),"ID no encontrado"))</f>
        <v/>
      </c>
      <c r="R35" s="4"/>
    </row>
    <row r="36" spans="1:18" ht="75.599999999999994" customHeight="1">
      <c r="A36" s="6">
        <v>29</v>
      </c>
      <c r="B36" s="5" t="str">
        <f>IF($G36="","",IF($K36="","Falta criterio",IFERROR(IF(VLOOKUP($K36,'Historias y criterios'!$A$6:$P$83,3,FALSE)&lt;&gt;$G36,"Revisar relación requisito-criterio",IF($M36="","Falta caso de prueba",IF(VLOOKUP($M36,'Casos y evidencias'!$A$6:$O$83,2,FALSE)&lt;&gt;$K36,"Revisar relación criterio-caso",IF($O36="Aprobado",IF($P36="","Falta evidencia","Trazabilidad completa"),IF($O36="Fallido","Prueba fallida",IF($O36="Bloqueado","Prueba bloqueada","Prueba pendiente")))))),"ID no encontrado")))</f>
        <v>Prueba pendiente</v>
      </c>
      <c r="C36" s="7" t="str">
        <f>IF($G36="","",IFERROR(IF(VLOOKUP($G36,Requerimientos!$A$6:$M$43,2,FALSE)="","",VLOOKUP($G36,Requerimientos!$A$6:$M$43,2,FALSE)),"ID no encontrado"))</f>
        <v>OBJ-003</v>
      </c>
      <c r="D36" s="5" t="str">
        <f>IF($C36="","",IFERROR(IF(VLOOKUP($C36,'Objetivos y procesos'!$A$6:$H$35,2,FALSE)="","",VLOOKUP($C36,'Objetivos y procesos'!$A$6:$H$35,2,FALSE)),"ID no encontrado"))</f>
        <v>Centralizar consultas, cotizaciones y órdenes de venta, aplicando vendedor, comisión, autorización e integración correctos.</v>
      </c>
      <c r="E36" s="7" t="str">
        <f>IF($G36="","",IFERROR(IF(VLOOKUP($G36,Requerimientos!$A$6:$M$43,3,FALSE)="","",VLOOKUP($G36,Requerimientos!$A$6:$M$43,3,FALSE)),"ID no encontrado"))</f>
        <v>PR-03</v>
      </c>
      <c r="F36" s="5" t="str">
        <f>IF($E36="","",IFERROR(IF(INDEX('Objetivos y procesos'!$D$6:$D$35,MATCH($E36,'Objetivos y procesos'!$C$6:$C$35,0))="","",IF(INDEX('Objetivos y procesos'!$D$6:$D$35,MATCH($E36,'Objetivos y procesos'!$C$6:$C$35,0))=INDEX('Objetivos y procesos'!$E$6:$E$35,MATCH($E36,'Objetivos y procesos'!$C$6:$C$35,0)),INDEX('Objetivos y procesos'!$D$6:$D$35,MATCH($E36,'Objetivos y procesos'!$C$6:$C$35,0)),INDEX('Objetivos y procesos'!$D$6:$D$35,MATCH($E36,'Objetivos y procesos'!$C$6:$C$35,0))&amp;IF(INDEX('Objetivos y procesos'!$E$6:$E$35,MATCH($E36,'Objetivos y procesos'!$C$6:$C$35,0))="",""," / "&amp;INDEX('Objetivos y procesos'!$E$6:$E$35,MATCH($E36,'Objetivos y procesos'!$C$6:$C$35,0))))),"ID no encontrado"))</f>
        <v>Gestión comercial, cotizaciones y órdenes de venta</v>
      </c>
      <c r="G36" s="8" t="s">
        <v>93</v>
      </c>
      <c r="H36" s="5" t="str">
        <f>IF($G36="","",IFERROR(IF(VLOOKUP($G36,Requerimientos!$A$6:$M$43,7,FALSE)="","",VLOOKUP($G36,Requerimientos!$A$6:$M$43,7,FALSE)),"ID no encontrado"))</f>
        <v>El sistema debe permitir consultar el catálogo de productos con su disponibilidad de stock.</v>
      </c>
      <c r="I36" s="7" t="str">
        <f>IF($K36="","",IFERROR(IF(VLOOKUP($K36,'Historias y criterios'!$A$6:$P$83,2,FALSE)="","",VLOOKUP($K36,'Historias y criterios'!$A$6:$P$83,2,FALSE)),"ID no encontrado"))</f>
        <v>HU-008</v>
      </c>
      <c r="J36" s="5" t="str">
        <f>IF($K36="","",IFERROR(IF(VLOOKUP($K36,'Historias y criterios'!$A$6:$P$83,10,FALSE)="","",VLOOKUP($K36,'Historias y criterios'!$A$6:$P$83,10,FALSE)),"ID no encontrado"))</f>
        <v>Como vendedor o asistente de vendedor, quiero consultar productos, stock, clientes, crédito y bloqueo en la empresa activa, para tomar decisiones comerciales con información vigente del ERP</v>
      </c>
      <c r="K36" s="8" t="s">
        <v>99</v>
      </c>
      <c r="L36" s="5" t="str">
        <f>IF($K36="","",IFERROR(IF(VLOOKUP($K36,'Historias y criterios'!$A$6:$P$83,11,FALSE)="","",VLOOKUP($K36,'Historias y criterios'!$A$6:$P$83,11,FALSE)),"ID no encontrado"))</f>
        <v>Stock, precios, crédito y bloqueo son de solo lectura y no se duplican como maestros locales.</v>
      </c>
      <c r="M36" s="8" t="s">
        <v>100</v>
      </c>
      <c r="N36" s="5" t="str">
        <f>IF($M36="","",IFERROR(IF(VLOOKUP($M36,'Casos y evidencias'!$A$6:$O$83,5,FALSE)="","",VLOOKUP($M36,'Casos y evidencias'!$A$6:$O$83,5,FALSE)),"ID no encontrado"))</f>
        <v>Datos del ERP en solo lectura</v>
      </c>
      <c r="O36" s="5" t="str">
        <f>IF($M36="","",IFERROR(IF(VLOOKUP($M36,'Casos y evidencias'!$A$6:$O$83,10,FALSE)="","",VLOOKUP($M36,'Casos y evidencias'!$A$6:$O$83,10,FALSE)),"ID no encontrado"))</f>
        <v>No ejecutado</v>
      </c>
      <c r="P36" s="7" t="str">
        <f>IF($M36="","",IFERROR(IF(VLOOKUP($M36,'Casos y evidencias'!$A$6:$O$83,11,FALSE)="","",VLOOKUP($M36,'Casos y evidencias'!$A$6:$O$83,11,FALSE)),"ID no encontrado"))</f>
        <v/>
      </c>
      <c r="Q36" s="5" t="str">
        <f>IF($M36="","",IFERROR(IF(VLOOKUP($M36,'Casos y evidencias'!$A$6:$O$83,12,FALSE)="","",VLOOKUP($M36,'Casos y evidencias'!$A$6:$O$83,12,FALSE)),"ID no encontrado"))</f>
        <v/>
      </c>
      <c r="R36" s="4"/>
    </row>
    <row r="37" spans="1:18" ht="75.599999999999994" customHeight="1">
      <c r="A37" s="6">
        <v>30</v>
      </c>
      <c r="B37" s="5" t="str">
        <f>IF($G37="","",IF($K37="","Falta criterio",IFERROR(IF(VLOOKUP($K37,'Historias y criterios'!$A$6:$P$83,3,FALSE)&lt;&gt;$G37,"Revisar relación requisito-criterio",IF($M37="","Falta caso de prueba",IF(VLOOKUP($M37,'Casos y evidencias'!$A$6:$O$83,2,FALSE)&lt;&gt;$K37,"Revisar relación criterio-caso",IF($O37="Aprobado",IF($P37="","Falta evidencia","Trazabilidad completa"),IF($O37="Fallido","Prueba fallida",IF($O37="Bloqueado","Prueba bloqueada","Prueba pendiente")))))),"ID no encontrado")))</f>
        <v>Prueba pendiente</v>
      </c>
      <c r="C37" s="7" t="str">
        <f>IF($G37="","",IFERROR(IF(VLOOKUP($G37,Requerimientos!$A$6:$M$43,2,FALSE)="","",VLOOKUP($G37,Requerimientos!$A$6:$M$43,2,FALSE)),"ID no encontrado"))</f>
        <v>OBJ-003</v>
      </c>
      <c r="D37" s="5" t="str">
        <f>IF($C37="","",IFERROR(IF(VLOOKUP($C37,'Objetivos y procesos'!$A$6:$H$35,2,FALSE)="","",VLOOKUP($C37,'Objetivos y procesos'!$A$6:$H$35,2,FALSE)),"ID no encontrado"))</f>
        <v>Centralizar consultas, cotizaciones y órdenes de venta, aplicando vendedor, comisión, autorización e integración correctos.</v>
      </c>
      <c r="E37" s="7" t="str">
        <f>IF($G37="","",IFERROR(IF(VLOOKUP($G37,Requerimientos!$A$6:$M$43,3,FALSE)="","",VLOOKUP($G37,Requerimientos!$A$6:$M$43,3,FALSE)),"ID no encontrado"))</f>
        <v>PR-03</v>
      </c>
      <c r="F37" s="5" t="str">
        <f>IF($E37="","",IFERROR(IF(INDEX('Objetivos y procesos'!$D$6:$D$35,MATCH($E37,'Objetivos y procesos'!$C$6:$C$35,0))="","",IF(INDEX('Objetivos y procesos'!$D$6:$D$35,MATCH($E37,'Objetivos y procesos'!$C$6:$C$35,0))=INDEX('Objetivos y procesos'!$E$6:$E$35,MATCH($E37,'Objetivos y procesos'!$C$6:$C$35,0)),INDEX('Objetivos y procesos'!$D$6:$D$35,MATCH($E37,'Objetivos y procesos'!$C$6:$C$35,0)),INDEX('Objetivos y procesos'!$D$6:$D$35,MATCH($E37,'Objetivos y procesos'!$C$6:$C$35,0))&amp;IF(INDEX('Objetivos y procesos'!$E$6:$E$35,MATCH($E37,'Objetivos y procesos'!$C$6:$C$35,0))="",""," / "&amp;INDEX('Objetivos y procesos'!$E$6:$E$35,MATCH($E37,'Objetivos y procesos'!$C$6:$C$35,0))))),"ID no encontrado"))</f>
        <v>Gestión comercial, cotizaciones y órdenes de venta</v>
      </c>
      <c r="G37" s="8" t="s">
        <v>96</v>
      </c>
      <c r="H37" s="5" t="str">
        <f>IF($G37="","",IFERROR(IF(VLOOKUP($G37,Requerimientos!$A$6:$M$43,7,FALSE)="","",VLOOKUP($G37,Requerimientos!$A$6:$M$43,7,FALSE)),"ID no encontrado"))</f>
        <v>El sistema debe permitir consultar los datos del cliente, incluidos su crédito disponible y su estado de bloqueo.</v>
      </c>
      <c r="I37" s="7" t="str">
        <f>IF($K37="","",IFERROR(IF(VLOOKUP($K37,'Historias y criterios'!$A$6:$P$83,2,FALSE)="","",VLOOKUP($K37,'Historias y criterios'!$A$6:$P$83,2,FALSE)),"ID no encontrado"))</f>
        <v>HU-008</v>
      </c>
      <c r="J37" s="5" t="str">
        <f>IF($K37="","",IFERROR(IF(VLOOKUP($K37,'Historias y criterios'!$A$6:$P$83,10,FALSE)="","",VLOOKUP($K37,'Historias y criterios'!$A$6:$P$83,10,FALSE)),"ID no encontrado"))</f>
        <v>Como vendedor o asistente de vendedor, quiero consultar productos, stock, clientes, crédito y bloqueo en la empresa activa, para tomar decisiones comerciales con información vigente del ERP</v>
      </c>
      <c r="K37" s="8" t="s">
        <v>101</v>
      </c>
      <c r="L37" s="5" t="str">
        <f>IF($K37="","",IFERROR(IF(VLOOKUP($K37,'Historias y criterios'!$A$6:$P$83,11,FALSE)="","",VLOOKUP($K37,'Historias y criterios'!$A$6:$P$83,11,FALSE)),"ID no encontrado"))</f>
        <v>Un cliente bloqueado queda identificado antes de solicitar una orden de venta.</v>
      </c>
      <c r="M37" s="8" t="s">
        <v>102</v>
      </c>
      <c r="N37" s="5" t="str">
        <f>IF($M37="","",IFERROR(IF(VLOOKUP($M37,'Casos y evidencias'!$A$6:$O$83,5,FALSE)="","",VLOOKUP($M37,'Casos y evidencias'!$A$6:$O$83,5,FALSE)),"ID no encontrado"))</f>
        <v>Identificación de cliente bloqueado</v>
      </c>
      <c r="O37" s="5" t="str">
        <f>IF($M37="","",IFERROR(IF(VLOOKUP($M37,'Casos y evidencias'!$A$6:$O$83,10,FALSE)="","",VLOOKUP($M37,'Casos y evidencias'!$A$6:$O$83,10,FALSE)),"ID no encontrado"))</f>
        <v>No ejecutado</v>
      </c>
      <c r="P37" s="7" t="str">
        <f>IF($M37="","",IFERROR(IF(VLOOKUP($M37,'Casos y evidencias'!$A$6:$O$83,11,FALSE)="","",VLOOKUP($M37,'Casos y evidencias'!$A$6:$O$83,11,FALSE)),"ID no encontrado"))</f>
        <v/>
      </c>
      <c r="Q37" s="5" t="str">
        <f>IF($M37="","",IFERROR(IF(VLOOKUP($M37,'Casos y evidencias'!$A$6:$O$83,12,FALSE)="","",VLOOKUP($M37,'Casos y evidencias'!$A$6:$O$83,12,FALSE)),"ID no encontrado"))</f>
        <v/>
      </c>
      <c r="R37" s="4"/>
    </row>
    <row r="38" spans="1:18" ht="75.599999999999994" customHeight="1">
      <c r="A38" s="6">
        <v>31</v>
      </c>
      <c r="B38" s="5" t="str">
        <f>IF($G38="","",IF($K38="","Falta criterio",IFERROR(IF(VLOOKUP($K38,'Historias y criterios'!$A$6:$P$83,3,FALSE)&lt;&gt;$G38,"Revisar relación requisito-criterio",IF($M38="","Falta caso de prueba",IF(VLOOKUP($M38,'Casos y evidencias'!$A$6:$O$83,2,FALSE)&lt;&gt;$K38,"Revisar relación criterio-caso",IF($O38="Aprobado",IF($P38="","Falta evidencia","Trazabilidad completa"),IF($O38="Fallido","Prueba fallida",IF($O38="Bloqueado","Prueba bloqueada","Prueba pendiente")))))),"ID no encontrado")))</f>
        <v>Prueba pendiente</v>
      </c>
      <c r="C38" s="7" t="str">
        <f>IF($G38="","",IFERROR(IF(VLOOKUP($G38,Requerimientos!$A$6:$M$43,2,FALSE)="","",VLOOKUP($G38,Requerimientos!$A$6:$M$43,2,FALSE)),"ID no encontrado"))</f>
        <v>OBJ-003</v>
      </c>
      <c r="D38" s="5" t="str">
        <f>IF($C38="","",IFERROR(IF(VLOOKUP($C38,'Objetivos y procesos'!$A$6:$H$35,2,FALSE)="","",VLOOKUP($C38,'Objetivos y procesos'!$A$6:$H$35,2,FALSE)),"ID no encontrado"))</f>
        <v>Centralizar consultas, cotizaciones y órdenes de venta, aplicando vendedor, comisión, autorización e integración correctos.</v>
      </c>
      <c r="E38" s="7" t="str">
        <f>IF($G38="","",IFERROR(IF(VLOOKUP($G38,Requerimientos!$A$6:$M$43,3,FALSE)="","",VLOOKUP($G38,Requerimientos!$A$6:$M$43,3,FALSE)),"ID no encontrado"))</f>
        <v>PR-03</v>
      </c>
      <c r="F38" s="5" t="str">
        <f>IF($E38="","",IFERROR(IF(INDEX('Objetivos y procesos'!$D$6:$D$35,MATCH($E38,'Objetivos y procesos'!$C$6:$C$35,0))="","",IF(INDEX('Objetivos y procesos'!$D$6:$D$35,MATCH($E38,'Objetivos y procesos'!$C$6:$C$35,0))=INDEX('Objetivos y procesos'!$E$6:$E$35,MATCH($E38,'Objetivos y procesos'!$C$6:$C$35,0)),INDEX('Objetivos y procesos'!$D$6:$D$35,MATCH($E38,'Objetivos y procesos'!$C$6:$C$35,0)),INDEX('Objetivos y procesos'!$D$6:$D$35,MATCH($E38,'Objetivos y procesos'!$C$6:$C$35,0))&amp;IF(INDEX('Objetivos y procesos'!$E$6:$E$35,MATCH($E38,'Objetivos y procesos'!$C$6:$C$35,0))="",""," / "&amp;INDEX('Objetivos y procesos'!$E$6:$E$35,MATCH($E38,'Objetivos y procesos'!$C$6:$C$35,0))))),"ID no encontrado"))</f>
        <v>Gestión comercial, cotizaciones y órdenes de venta</v>
      </c>
      <c r="G38" s="8" t="s">
        <v>103</v>
      </c>
      <c r="H38" s="5" t="str">
        <f>IF($G38="","",IFERROR(IF(VLOOKUP($G38,Requerimientos!$A$6:$M$43,7,FALSE)="","",VLOOKUP($G38,Requerimientos!$A$6:$M$43,7,FALSE)),"ID no encontrado"))</f>
        <v>El sistema debe permitir al vendedor crear y administrar cotizaciones con múltiples líneas de producto.</v>
      </c>
      <c r="I38" s="7" t="str">
        <f>IF($K38="","",IFERROR(IF(VLOOKUP($K38,'Historias y criterios'!$A$6:$P$83,2,FALSE)="","",VLOOKUP($K38,'Historias y criterios'!$A$6:$P$83,2,FALSE)),"ID no encontrado"))</f>
        <v>HU-009</v>
      </c>
      <c r="J38" s="5" t="str">
        <f>IF($K38="","",IFERROR(IF(VLOOKUP($K38,'Historias y criterios'!$A$6:$P$83,10,FALSE)="","",VLOOKUP($K38,'Historias y criterios'!$A$6:$P$83,10,FALSE)),"ID no encontrado"))</f>
        <v>Como vendedor o asistente de vendedor, quiero crear cotizaciones con varias líneas y el vendedor correspondiente, para presentar una oferta comercial consistente con la empresa activa</v>
      </c>
      <c r="K38" s="8" t="s">
        <v>104</v>
      </c>
      <c r="L38" s="5" t="str">
        <f>IF($K38="","",IFERROR(IF(VLOOKUP($K38,'Historias y criterios'!$A$6:$P$83,11,FALSE)="","",VLOOKUP($K38,'Historias y criterios'!$A$6:$P$83,11,FALSE)),"ID no encontrado"))</f>
        <v>La cotización exige un cliente y al menos una línea de producto.</v>
      </c>
      <c r="M38" s="8" t="s">
        <v>105</v>
      </c>
      <c r="N38" s="5" t="str">
        <f>IF($M38="","",IFERROR(IF(VLOOKUP($M38,'Casos y evidencias'!$A$6:$O$83,5,FALSE)="","",VLOOKUP($M38,'Casos y evidencias'!$A$6:$O$83,5,FALSE)),"ID no encontrado"))</f>
        <v>Validación de cliente y líneas de la cotización</v>
      </c>
      <c r="O38" s="5" t="str">
        <f>IF($M38="","",IFERROR(IF(VLOOKUP($M38,'Casos y evidencias'!$A$6:$O$83,10,FALSE)="","",VLOOKUP($M38,'Casos y evidencias'!$A$6:$O$83,10,FALSE)),"ID no encontrado"))</f>
        <v>No ejecutado</v>
      </c>
      <c r="P38" s="7" t="str">
        <f>IF($M38="","",IFERROR(IF(VLOOKUP($M38,'Casos y evidencias'!$A$6:$O$83,11,FALSE)="","",VLOOKUP($M38,'Casos y evidencias'!$A$6:$O$83,11,FALSE)),"ID no encontrado"))</f>
        <v/>
      </c>
      <c r="Q38" s="5" t="str">
        <f>IF($M38="","",IFERROR(IF(VLOOKUP($M38,'Casos y evidencias'!$A$6:$O$83,12,FALSE)="","",VLOOKUP($M38,'Casos y evidencias'!$A$6:$O$83,12,FALSE)),"ID no encontrado"))</f>
        <v/>
      </c>
      <c r="R38" s="4"/>
    </row>
    <row r="39" spans="1:18" ht="102.6" customHeight="1">
      <c r="A39" s="6">
        <v>32</v>
      </c>
      <c r="B39" s="5" t="str">
        <f>IF($G39="","",IF($K39="","Falta criterio",IFERROR(IF(VLOOKUP($K39,'Historias y criterios'!$A$6:$P$83,3,FALSE)&lt;&gt;$G39,"Revisar relación requisito-criterio",IF($M39="","Falta caso de prueba",IF(VLOOKUP($M39,'Casos y evidencias'!$A$6:$O$83,2,FALSE)&lt;&gt;$K39,"Revisar relación criterio-caso",IF($O39="Aprobado",IF($P39="","Falta evidencia","Trazabilidad completa"),IF($O39="Fallido","Prueba fallida",IF($O39="Bloqueado","Prueba bloqueada","Prueba pendiente")))))),"ID no encontrado")))</f>
        <v>Prueba pendiente</v>
      </c>
      <c r="C39" s="7" t="str">
        <f>IF($G39="","",IFERROR(IF(VLOOKUP($G39,Requerimientos!$A$6:$M$43,2,FALSE)="","",VLOOKUP($G39,Requerimientos!$A$6:$M$43,2,FALSE)),"ID no encontrado"))</f>
        <v>OBJ-003</v>
      </c>
      <c r="D39" s="5" t="str">
        <f>IF($C39="","",IFERROR(IF(VLOOKUP($C39,'Objetivos y procesos'!$A$6:$H$35,2,FALSE)="","",VLOOKUP($C39,'Objetivos y procesos'!$A$6:$H$35,2,FALSE)),"ID no encontrado"))</f>
        <v>Centralizar consultas, cotizaciones y órdenes de venta, aplicando vendedor, comisión, autorización e integración correctos.</v>
      </c>
      <c r="E39" s="7" t="str">
        <f>IF($G39="","",IFERROR(IF(VLOOKUP($G39,Requerimientos!$A$6:$M$43,3,FALSE)="","",VLOOKUP($G39,Requerimientos!$A$6:$M$43,3,FALSE)),"ID no encontrado"))</f>
        <v>PR-03</v>
      </c>
      <c r="F39" s="5" t="str">
        <f>IF($E39="","",IFERROR(IF(INDEX('Objetivos y procesos'!$D$6:$D$35,MATCH($E39,'Objetivos y procesos'!$C$6:$C$35,0))="","",IF(INDEX('Objetivos y procesos'!$D$6:$D$35,MATCH($E39,'Objetivos y procesos'!$C$6:$C$35,0))=INDEX('Objetivos y procesos'!$E$6:$E$35,MATCH($E39,'Objetivos y procesos'!$C$6:$C$35,0)),INDEX('Objetivos y procesos'!$D$6:$D$35,MATCH($E39,'Objetivos y procesos'!$C$6:$C$35,0)),INDEX('Objetivos y procesos'!$D$6:$D$35,MATCH($E39,'Objetivos y procesos'!$C$6:$C$35,0))&amp;IF(INDEX('Objetivos y procesos'!$E$6:$E$35,MATCH($E39,'Objetivos y procesos'!$C$6:$C$35,0))="",""," / "&amp;INDEX('Objetivos y procesos'!$E$6:$E$35,MATCH($E39,'Objetivos y procesos'!$C$6:$C$35,0))))),"ID no encontrado"))</f>
        <v>Gestión comercial, cotizaciones y órdenes de venta</v>
      </c>
      <c r="G39" s="8" t="s">
        <v>106</v>
      </c>
      <c r="H39" s="5" t="str">
        <f>IF($G39="","",IFERROR(IF(VLOOKUP($G39,Requerimientos!$A$6:$M$43,7,FALSE)="","",VLOOKUP($G39,Requerimientos!$A$6:$M$43,7,FALSE)),"ID no encontrado"))</f>
        <v>El sistema debe permitir que el asistente de vendedor seleccione, al crear una cotización, una nota de venta u otro documento comercial, el SlpCode del vendedor a cuyo nombre se emite, entre los vendedores que tiene asignados en la empresa activa.</v>
      </c>
      <c r="I39" s="7" t="str">
        <f>IF($K39="","",IFERROR(IF(VLOOKUP($K39,'Historias y criterios'!$A$6:$P$83,2,FALSE)="","",VLOOKUP($K39,'Historias y criterios'!$A$6:$P$83,2,FALSE)),"ID no encontrado"))</f>
        <v>HU-009</v>
      </c>
      <c r="J39" s="5" t="str">
        <f>IF($K39="","",IFERROR(IF(VLOOKUP($K39,'Historias y criterios'!$A$6:$P$83,10,FALSE)="","",VLOOKUP($K39,'Historias y criterios'!$A$6:$P$83,10,FALSE)),"ID no encontrado"))</f>
        <v>Como vendedor o asistente de vendedor, quiero crear cotizaciones con varias líneas y el vendedor correspondiente, para presentar una oferta comercial consistente con la empresa activa</v>
      </c>
      <c r="K39" s="8" t="s">
        <v>107</v>
      </c>
      <c r="L39" s="5" t="str">
        <f>IF($K39="","",IFERROR(IF(VLOOKUP($K39,'Historias y criterios'!$A$6:$P$83,11,FALSE)="","",VLOOKUP($K39,'Historias y criterios'!$A$6:$P$83,11,FALSE)),"ID no encontrado"))</f>
        <v>El vendedor usa su SlpCode; el asistente elige solo entre los vendedores asignados en la empresa activa.</v>
      </c>
      <c r="M39" s="8" t="s">
        <v>108</v>
      </c>
      <c r="N39" s="5" t="str">
        <f>IF($M39="","",IFERROR(IF(VLOOKUP($M39,'Casos y evidencias'!$A$6:$O$83,5,FALSE)="","",VLOOKUP($M39,'Casos y evidencias'!$A$6:$O$83,5,FALSE)),"ID no encontrado"))</f>
        <v>Selección del vendedor por parte del asistente</v>
      </c>
      <c r="O39" s="5" t="str">
        <f>IF($M39="","",IFERROR(IF(VLOOKUP($M39,'Casos y evidencias'!$A$6:$O$83,10,FALSE)="","",VLOOKUP($M39,'Casos y evidencias'!$A$6:$O$83,10,FALSE)),"ID no encontrado"))</f>
        <v>No ejecutado</v>
      </c>
      <c r="P39" s="7" t="str">
        <f>IF($M39="","",IFERROR(IF(VLOOKUP($M39,'Casos y evidencias'!$A$6:$O$83,11,FALSE)="","",VLOOKUP($M39,'Casos y evidencias'!$A$6:$O$83,11,FALSE)),"ID no encontrado"))</f>
        <v/>
      </c>
      <c r="Q39" s="5" t="str">
        <f>IF($M39="","",IFERROR(IF(VLOOKUP($M39,'Casos y evidencias'!$A$6:$O$83,12,FALSE)="","",VLOOKUP($M39,'Casos y evidencias'!$A$6:$O$83,12,FALSE)),"ID no encontrado"))</f>
        <v/>
      </c>
      <c r="R39" s="4"/>
    </row>
    <row r="40" spans="1:18" ht="102.6" customHeight="1">
      <c r="A40" s="6">
        <v>33</v>
      </c>
      <c r="B40" s="5" t="str">
        <f>IF($G40="","",IF($K40="","Falta criterio",IFERROR(IF(VLOOKUP($K40,'Historias y criterios'!$A$6:$P$83,3,FALSE)&lt;&gt;$G40,"Revisar relación requisito-criterio",IF($M40="","Falta caso de prueba",IF(VLOOKUP($M40,'Casos y evidencias'!$A$6:$O$83,2,FALSE)&lt;&gt;$K40,"Revisar relación criterio-caso",IF($O40="Aprobado",IF($P40="","Falta evidencia","Trazabilidad completa"),IF($O40="Fallido","Prueba fallida",IF($O40="Bloqueado","Prueba bloqueada","Prueba pendiente")))))),"ID no encontrado")))</f>
        <v>Prueba pendiente</v>
      </c>
      <c r="C40" s="7" t="str">
        <f>IF($G40="","",IFERROR(IF(VLOOKUP($G40,Requerimientos!$A$6:$M$43,2,FALSE)="","",VLOOKUP($G40,Requerimientos!$A$6:$M$43,2,FALSE)),"ID no encontrado"))</f>
        <v>OBJ-003</v>
      </c>
      <c r="D40" s="5" t="str">
        <f>IF($C40="","",IFERROR(IF(VLOOKUP($C40,'Objetivos y procesos'!$A$6:$H$35,2,FALSE)="","",VLOOKUP($C40,'Objetivos y procesos'!$A$6:$H$35,2,FALSE)),"ID no encontrado"))</f>
        <v>Centralizar consultas, cotizaciones y órdenes de venta, aplicando vendedor, comisión, autorización e integración correctos.</v>
      </c>
      <c r="E40" s="7" t="str">
        <f>IF($G40="","",IFERROR(IF(VLOOKUP($G40,Requerimientos!$A$6:$M$43,3,FALSE)="","",VLOOKUP($G40,Requerimientos!$A$6:$M$43,3,FALSE)),"ID no encontrado"))</f>
        <v>PR-03</v>
      </c>
      <c r="F40" s="5" t="str">
        <f>IF($E40="","",IFERROR(IF(INDEX('Objetivos y procesos'!$D$6:$D$35,MATCH($E40,'Objetivos y procesos'!$C$6:$C$35,0))="","",IF(INDEX('Objetivos y procesos'!$D$6:$D$35,MATCH($E40,'Objetivos y procesos'!$C$6:$C$35,0))=INDEX('Objetivos y procesos'!$E$6:$E$35,MATCH($E40,'Objetivos y procesos'!$C$6:$C$35,0)),INDEX('Objetivos y procesos'!$D$6:$D$35,MATCH($E40,'Objetivos y procesos'!$C$6:$C$35,0)),INDEX('Objetivos y procesos'!$D$6:$D$35,MATCH($E40,'Objetivos y procesos'!$C$6:$C$35,0))&amp;IF(INDEX('Objetivos y procesos'!$E$6:$E$35,MATCH($E40,'Objetivos y procesos'!$C$6:$C$35,0))="",""," / "&amp;INDEX('Objetivos y procesos'!$E$6:$E$35,MATCH($E40,'Objetivos y procesos'!$C$6:$C$35,0))))),"ID no encontrado"))</f>
        <v>Gestión comercial, cotizaciones y órdenes de venta</v>
      </c>
      <c r="G40" s="8" t="s">
        <v>106</v>
      </c>
      <c r="H40" s="5" t="str">
        <f>IF($G40="","",IFERROR(IF(VLOOKUP($G40,Requerimientos!$A$6:$M$43,7,FALSE)="","",VLOOKUP($G40,Requerimientos!$A$6:$M$43,7,FALSE)),"ID no encontrado"))</f>
        <v>El sistema debe permitir que el asistente de vendedor seleccione, al crear una cotización, una nota de venta u otro documento comercial, el SlpCode del vendedor a cuyo nombre se emite, entre los vendedores que tiene asignados en la empresa activa.</v>
      </c>
      <c r="I40" s="7" t="str">
        <f>IF($K40="","",IFERROR(IF(VLOOKUP($K40,'Historias y criterios'!$A$6:$P$83,2,FALSE)="","",VLOOKUP($K40,'Historias y criterios'!$A$6:$P$83,2,FALSE)),"ID no encontrado"))</f>
        <v>HU-009</v>
      </c>
      <c r="J40" s="5" t="str">
        <f>IF($K40="","",IFERROR(IF(VLOOKUP($K40,'Historias y criterios'!$A$6:$P$83,10,FALSE)="","",VLOOKUP($K40,'Historias y criterios'!$A$6:$P$83,10,FALSE)),"ID no encontrado"))</f>
        <v>Como vendedor o asistente de vendedor, quiero crear cotizaciones con varias líneas y el vendedor correspondiente, para presentar una oferta comercial consistente con la empresa activa</v>
      </c>
      <c r="K40" s="8" t="s">
        <v>109</v>
      </c>
      <c r="L40" s="5" t="str">
        <f>IF($K40="","",IFERROR(IF(VLOOKUP($K40,'Historias y criterios'!$A$6:$P$83,11,FALSE)="","",VLOOKUP($K40,'Historias y criterios'!$A$6:$P$83,11,FALSE)),"ID no encontrado"))</f>
        <v>Se registra tanto al creador como al vendedor del documento.</v>
      </c>
      <c r="M40" s="8" t="s">
        <v>110</v>
      </c>
      <c r="N40" s="5" t="str">
        <f>IF($M40="","",IFERROR(IF(VLOOKUP($M40,'Casos y evidencias'!$A$6:$O$83,5,FALSE)="","",VLOOKUP($M40,'Casos y evidencias'!$A$6:$O$83,5,FALSE)),"ID no encontrado"))</f>
        <v>Registro de creador y vendedor del documento</v>
      </c>
      <c r="O40" s="5" t="str">
        <f>IF($M40="","",IFERROR(IF(VLOOKUP($M40,'Casos y evidencias'!$A$6:$O$83,10,FALSE)="","",VLOOKUP($M40,'Casos y evidencias'!$A$6:$O$83,10,FALSE)),"ID no encontrado"))</f>
        <v>No ejecutado</v>
      </c>
      <c r="P40" s="7" t="str">
        <f>IF($M40="","",IFERROR(IF(VLOOKUP($M40,'Casos y evidencias'!$A$6:$O$83,11,FALSE)="","",VLOOKUP($M40,'Casos y evidencias'!$A$6:$O$83,11,FALSE)),"ID no encontrado"))</f>
        <v/>
      </c>
      <c r="Q40" s="5" t="str">
        <f>IF($M40="","",IFERROR(IF(VLOOKUP($M40,'Casos y evidencias'!$A$6:$O$83,12,FALSE)="","",VLOOKUP($M40,'Casos y evidencias'!$A$6:$O$83,12,FALSE)),"ID no encontrado"))</f>
        <v/>
      </c>
      <c r="R40" s="4"/>
    </row>
    <row r="41" spans="1:18" ht="102.6" customHeight="1">
      <c r="A41" s="6">
        <v>34</v>
      </c>
      <c r="B41" s="5" t="str">
        <f>IF($G41="","",IF($K41="","Falta criterio",IFERROR(IF(VLOOKUP($K41,'Historias y criterios'!$A$6:$P$83,3,FALSE)&lt;&gt;$G41,"Revisar relación requisito-criterio",IF($M41="","Falta caso de prueba",IF(VLOOKUP($M41,'Casos y evidencias'!$A$6:$O$83,2,FALSE)&lt;&gt;$K41,"Revisar relación criterio-caso",IF($O41="Aprobado",IF($P41="","Falta evidencia","Trazabilidad completa"),IF($O41="Fallido","Prueba fallida",IF($O41="Bloqueado","Prueba bloqueada","Prueba pendiente")))))),"ID no encontrado")))</f>
        <v>Prueba pendiente</v>
      </c>
      <c r="C41" s="7" t="str">
        <f>IF($G41="","",IFERROR(IF(VLOOKUP($G41,Requerimientos!$A$6:$M$43,2,FALSE)="","",VLOOKUP($G41,Requerimientos!$A$6:$M$43,2,FALSE)),"ID no encontrado"))</f>
        <v>OBJ-003</v>
      </c>
      <c r="D41" s="5" t="str">
        <f>IF($C41="","",IFERROR(IF(VLOOKUP($C41,'Objetivos y procesos'!$A$6:$H$35,2,FALSE)="","",VLOOKUP($C41,'Objetivos y procesos'!$A$6:$H$35,2,FALSE)),"ID no encontrado"))</f>
        <v>Centralizar consultas, cotizaciones y órdenes de venta, aplicando vendedor, comisión, autorización e integración correctos.</v>
      </c>
      <c r="E41" s="7" t="str">
        <f>IF($G41="","",IFERROR(IF(VLOOKUP($G41,Requerimientos!$A$6:$M$43,3,FALSE)="","",VLOOKUP($G41,Requerimientos!$A$6:$M$43,3,FALSE)),"ID no encontrado"))</f>
        <v>PR-03</v>
      </c>
      <c r="F41" s="5" t="str">
        <f>IF($E41="","",IFERROR(IF(INDEX('Objetivos y procesos'!$D$6:$D$35,MATCH($E41,'Objetivos y procesos'!$C$6:$C$35,0))="","",IF(INDEX('Objetivos y procesos'!$D$6:$D$35,MATCH($E41,'Objetivos y procesos'!$C$6:$C$35,0))=INDEX('Objetivos y procesos'!$E$6:$E$35,MATCH($E41,'Objetivos y procesos'!$C$6:$C$35,0)),INDEX('Objetivos y procesos'!$D$6:$D$35,MATCH($E41,'Objetivos y procesos'!$C$6:$C$35,0)),INDEX('Objetivos y procesos'!$D$6:$D$35,MATCH($E41,'Objetivos y procesos'!$C$6:$C$35,0))&amp;IF(INDEX('Objetivos y procesos'!$E$6:$E$35,MATCH($E41,'Objetivos y procesos'!$C$6:$C$35,0))="",""," / "&amp;INDEX('Objetivos y procesos'!$E$6:$E$35,MATCH($E41,'Objetivos y procesos'!$C$6:$C$35,0))))),"ID no encontrado"))</f>
        <v>Gestión comercial, cotizaciones y órdenes de venta</v>
      </c>
      <c r="G41" s="8" t="s">
        <v>106</v>
      </c>
      <c r="H41" s="5" t="str">
        <f>IF($G41="","",IFERROR(IF(VLOOKUP($G41,Requerimientos!$A$6:$M$43,7,FALSE)="","",VLOOKUP($G41,Requerimientos!$A$6:$M$43,7,FALSE)),"ID no encontrado"))</f>
        <v>El sistema debe permitir que el asistente de vendedor seleccione, al crear una cotización, una nota de venta u otro documento comercial, el SlpCode del vendedor a cuyo nombre se emite, entre los vendedores que tiene asignados en la empresa activa.</v>
      </c>
      <c r="I41" s="7" t="str">
        <f>IF($K41="","",IFERROR(IF(VLOOKUP($K41,'Historias y criterios'!$A$6:$P$83,2,FALSE)="","",VLOOKUP($K41,'Historias y criterios'!$A$6:$P$83,2,FALSE)),"ID no encontrado"))</f>
        <v>HU-009</v>
      </c>
      <c r="J41" s="5" t="str">
        <f>IF($K41="","",IFERROR(IF(VLOOKUP($K41,'Historias y criterios'!$A$6:$P$83,10,FALSE)="","",VLOOKUP($K41,'Historias y criterios'!$A$6:$P$83,10,FALSE)),"ID no encontrado"))</f>
        <v>Como vendedor o asistente de vendedor, quiero crear cotizaciones con varias líneas y el vendedor correspondiente, para presentar una oferta comercial consistente con la empresa activa</v>
      </c>
      <c r="K41" s="8" t="s">
        <v>111</v>
      </c>
      <c r="L41" s="5" t="str">
        <f>IF($K41="","",IFERROR(IF(VLOOKUP($K41,'Historias y criterios'!$A$6:$P$83,11,FALSE)="","",VLOOKUP($K41,'Historias y criterios'!$A$6:$P$83,11,FALSE)),"ID no encontrado"))</f>
        <v>La comisión se calcula con la escala del vendedor o con la predeterminada si no tiene una asignada.</v>
      </c>
      <c r="M41" s="8" t="s">
        <v>112</v>
      </c>
      <c r="N41" s="5" t="str">
        <f>IF($M41="","",IFERROR(IF(VLOOKUP($M41,'Casos y evidencias'!$A$6:$O$83,5,FALSE)="","",VLOOKUP($M41,'Casos y evidencias'!$A$6:$O$83,5,FALSE)),"ID no encontrado"))</f>
        <v>Cálculo de comisión según escala</v>
      </c>
      <c r="O41" s="5" t="str">
        <f>IF($M41="","",IFERROR(IF(VLOOKUP($M41,'Casos y evidencias'!$A$6:$O$83,10,FALSE)="","",VLOOKUP($M41,'Casos y evidencias'!$A$6:$O$83,10,FALSE)),"ID no encontrado"))</f>
        <v>No ejecutado</v>
      </c>
      <c r="P41" s="7" t="str">
        <f>IF($M41="","",IFERROR(IF(VLOOKUP($M41,'Casos y evidencias'!$A$6:$O$83,11,FALSE)="","",VLOOKUP($M41,'Casos y evidencias'!$A$6:$O$83,11,FALSE)),"ID no encontrado"))</f>
        <v/>
      </c>
      <c r="Q41" s="5" t="str">
        <f>IF($M41="","",IFERROR(IF(VLOOKUP($M41,'Casos y evidencias'!$A$6:$O$83,12,FALSE)="","",VLOOKUP($M41,'Casos y evidencias'!$A$6:$O$83,12,FALSE)),"ID no encontrado"))</f>
        <v/>
      </c>
      <c r="R41" s="4"/>
    </row>
    <row r="42" spans="1:18" ht="75.599999999999994" customHeight="1">
      <c r="A42" s="6">
        <v>35</v>
      </c>
      <c r="B42" s="5" t="str">
        <f>IF($G42="","",IF($K42="","Falta criterio",IFERROR(IF(VLOOKUP($K42,'Historias y criterios'!$A$6:$P$83,3,FALSE)&lt;&gt;$G42,"Revisar relación requisito-criterio",IF($M42="","Falta caso de prueba",IF(VLOOKUP($M42,'Casos y evidencias'!$A$6:$O$83,2,FALSE)&lt;&gt;$K42,"Revisar relación criterio-caso",IF($O42="Aprobado",IF($P42="","Falta evidencia","Trazabilidad completa"),IF($O42="Fallido","Prueba fallida",IF($O42="Bloqueado","Prueba bloqueada","Prueba pendiente")))))),"ID no encontrado")))</f>
        <v>Prueba pendiente</v>
      </c>
      <c r="C42" s="7" t="str">
        <f>IF($G42="","",IFERROR(IF(VLOOKUP($G42,Requerimientos!$A$6:$M$43,2,FALSE)="","",VLOOKUP($G42,Requerimientos!$A$6:$M$43,2,FALSE)),"ID no encontrado"))</f>
        <v>OBJ-003</v>
      </c>
      <c r="D42" s="5" t="str">
        <f>IF($C42="","",IFERROR(IF(VLOOKUP($C42,'Objetivos y procesos'!$A$6:$H$35,2,FALSE)="","",VLOOKUP($C42,'Objetivos y procesos'!$A$6:$H$35,2,FALSE)),"ID no encontrado"))</f>
        <v>Centralizar consultas, cotizaciones y órdenes de venta, aplicando vendedor, comisión, autorización e integración correctos.</v>
      </c>
      <c r="E42" s="7" t="str">
        <f>IF($G42="","",IFERROR(IF(VLOOKUP($G42,Requerimientos!$A$6:$M$43,3,FALSE)="","",VLOOKUP($G42,Requerimientos!$A$6:$M$43,3,FALSE)),"ID no encontrado"))</f>
        <v>PR-03</v>
      </c>
      <c r="F42" s="5" t="str">
        <f>IF($E42="","",IFERROR(IF(INDEX('Objetivos y procesos'!$D$6:$D$35,MATCH($E42,'Objetivos y procesos'!$C$6:$C$35,0))="","",IF(INDEX('Objetivos y procesos'!$D$6:$D$35,MATCH($E42,'Objetivos y procesos'!$C$6:$C$35,0))=INDEX('Objetivos y procesos'!$E$6:$E$35,MATCH($E42,'Objetivos y procesos'!$C$6:$C$35,0)),INDEX('Objetivos y procesos'!$D$6:$D$35,MATCH($E42,'Objetivos y procesos'!$C$6:$C$35,0)),INDEX('Objetivos y procesos'!$D$6:$D$35,MATCH($E42,'Objetivos y procesos'!$C$6:$C$35,0))&amp;IF(INDEX('Objetivos y procesos'!$E$6:$E$35,MATCH($E42,'Objetivos y procesos'!$C$6:$C$35,0))="",""," / "&amp;INDEX('Objetivos y procesos'!$E$6:$E$35,MATCH($E42,'Objetivos y procesos'!$C$6:$C$35,0))))),"ID no encontrado"))</f>
        <v>Gestión comercial, cotizaciones y órdenes de venta</v>
      </c>
      <c r="G42" s="8" t="s">
        <v>113</v>
      </c>
      <c r="H42" s="5" t="str">
        <f>IF($G42="","",IFERROR(IF(VLOOKUP($G42,Requerimientos!$A$6:$M$43,7,FALSE)="","",VLOOKUP($G42,Requerimientos!$A$6:$M$43,7,FALSE)),"ID no encontrado"))</f>
        <v>El sistema debe permitir generar el documento de la cotización en formato imprimible o descargable.</v>
      </c>
      <c r="I42" s="7" t="str">
        <f>IF($K42="","",IFERROR(IF(VLOOKUP($K42,'Historias y criterios'!$A$6:$P$83,2,FALSE)="","",VLOOKUP($K42,'Historias y criterios'!$A$6:$P$83,2,FALSE)),"ID no encontrado"))</f>
        <v>HU-010</v>
      </c>
      <c r="J42" s="5" t="str">
        <f>IF($K42="","",IFERROR(IF(VLOOKUP($K42,'Historias y criterios'!$A$6:$P$83,10,FALSE)="","",VLOOKUP($K42,'Historias y criterios'!$A$6:$P$83,10,FALSE)),"ID no encontrado"))</f>
        <v>Como vendedor, quiero descargar la cotización y convertir una cotización aceptada en solicitud de orden de venta, para continuar el proceso comercial sin volver a ingresar sus datos</v>
      </c>
      <c r="K42" s="8" t="s">
        <v>114</v>
      </c>
      <c r="L42" s="5" t="str">
        <f>IF($K42="","",IFERROR(IF(VLOOKUP($K42,'Historias y criterios'!$A$6:$P$83,11,FALSE)="","",VLOOKUP($K42,'Historias y criterios'!$A$6:$P$83,11,FALSE)),"ID no encontrado"))</f>
        <v>La cotización puede generarse en un formato imprimible o descargable.</v>
      </c>
      <c r="M42" s="8" t="s">
        <v>115</v>
      </c>
      <c r="N42" s="5" t="str">
        <f>IF($M42="","",IFERROR(IF(VLOOKUP($M42,'Casos y evidencias'!$A$6:$O$83,5,FALSE)="","",VLOOKUP($M42,'Casos y evidencias'!$A$6:$O$83,5,FALSE)),"ID no encontrado"))</f>
        <v>Generación de cotización imprimible</v>
      </c>
      <c r="O42" s="5" t="str">
        <f>IF($M42="","",IFERROR(IF(VLOOKUP($M42,'Casos y evidencias'!$A$6:$O$83,10,FALSE)="","",VLOOKUP($M42,'Casos y evidencias'!$A$6:$O$83,10,FALSE)),"ID no encontrado"))</f>
        <v>No ejecutado</v>
      </c>
      <c r="P42" s="7" t="str">
        <f>IF($M42="","",IFERROR(IF(VLOOKUP($M42,'Casos y evidencias'!$A$6:$O$83,11,FALSE)="","",VLOOKUP($M42,'Casos y evidencias'!$A$6:$O$83,11,FALSE)),"ID no encontrado"))</f>
        <v/>
      </c>
      <c r="Q42" s="5" t="str">
        <f>IF($M42="","",IFERROR(IF(VLOOKUP($M42,'Casos y evidencias'!$A$6:$O$83,12,FALSE)="","",VLOOKUP($M42,'Casos y evidencias'!$A$6:$O$83,12,FALSE)),"ID no encontrado"))</f>
        <v/>
      </c>
      <c r="R42" s="4"/>
    </row>
    <row r="43" spans="1:18" ht="75.599999999999994" customHeight="1">
      <c r="A43" s="6">
        <v>36</v>
      </c>
      <c r="B43" s="5" t="str">
        <f>IF($G43="","",IF($K43="","Falta criterio",IFERROR(IF(VLOOKUP($K43,'Historias y criterios'!$A$6:$P$83,3,FALSE)&lt;&gt;$G43,"Revisar relación requisito-criterio",IF($M43="","Falta caso de prueba",IF(VLOOKUP($M43,'Casos y evidencias'!$A$6:$O$83,2,FALSE)&lt;&gt;$K43,"Revisar relación criterio-caso",IF($O43="Aprobado",IF($P43="","Falta evidencia","Trazabilidad completa"),IF($O43="Fallido","Prueba fallida",IF($O43="Bloqueado","Prueba bloqueada","Prueba pendiente")))))),"ID no encontrado")))</f>
        <v>Prueba pendiente</v>
      </c>
      <c r="C43" s="7" t="str">
        <f>IF($G43="","",IFERROR(IF(VLOOKUP($G43,Requerimientos!$A$6:$M$43,2,FALSE)="","",VLOOKUP($G43,Requerimientos!$A$6:$M$43,2,FALSE)),"ID no encontrado"))</f>
        <v>OBJ-003</v>
      </c>
      <c r="D43" s="5" t="str">
        <f>IF($C43="","",IFERROR(IF(VLOOKUP($C43,'Objetivos y procesos'!$A$6:$H$35,2,FALSE)="","",VLOOKUP($C43,'Objetivos y procesos'!$A$6:$H$35,2,FALSE)),"ID no encontrado"))</f>
        <v>Centralizar consultas, cotizaciones y órdenes de venta, aplicando vendedor, comisión, autorización e integración correctos.</v>
      </c>
      <c r="E43" s="7" t="str">
        <f>IF($G43="","",IFERROR(IF(VLOOKUP($G43,Requerimientos!$A$6:$M$43,3,FALSE)="","",VLOOKUP($G43,Requerimientos!$A$6:$M$43,3,FALSE)),"ID no encontrado"))</f>
        <v>PR-03</v>
      </c>
      <c r="F43" s="5" t="str">
        <f>IF($E43="","",IFERROR(IF(INDEX('Objetivos y procesos'!$D$6:$D$35,MATCH($E43,'Objetivos y procesos'!$C$6:$C$35,0))="","",IF(INDEX('Objetivos y procesos'!$D$6:$D$35,MATCH($E43,'Objetivos y procesos'!$C$6:$C$35,0))=INDEX('Objetivos y procesos'!$E$6:$E$35,MATCH($E43,'Objetivos y procesos'!$C$6:$C$35,0)),INDEX('Objetivos y procesos'!$D$6:$D$35,MATCH($E43,'Objetivos y procesos'!$C$6:$C$35,0)),INDEX('Objetivos y procesos'!$D$6:$D$35,MATCH($E43,'Objetivos y procesos'!$C$6:$C$35,0))&amp;IF(INDEX('Objetivos y procesos'!$E$6:$E$35,MATCH($E43,'Objetivos y procesos'!$C$6:$C$35,0))="",""," / "&amp;INDEX('Objetivos y procesos'!$E$6:$E$35,MATCH($E43,'Objetivos y procesos'!$C$6:$C$35,0))))),"ID no encontrado"))</f>
        <v>Gestión comercial, cotizaciones y órdenes de venta</v>
      </c>
      <c r="G43" s="8" t="s">
        <v>116</v>
      </c>
      <c r="H43" s="5" t="str">
        <f>IF($G43="","",IFERROR(IF(VLOOKUP($G43,Requerimientos!$A$6:$M$43,7,FALSE)="","",VLOOKUP($G43,Requerimientos!$A$6:$M$43,7,FALSE)),"ID no encontrado"))</f>
        <v>El sistema debe permitir convertir una cotización aceptada por el cliente en una solicitud de orden de venta.</v>
      </c>
      <c r="I43" s="7" t="str">
        <f>IF($K43="","",IFERROR(IF(VLOOKUP($K43,'Historias y criterios'!$A$6:$P$83,2,FALSE)="","",VLOOKUP($K43,'Historias y criterios'!$A$6:$P$83,2,FALSE)),"ID no encontrado"))</f>
        <v>HU-010</v>
      </c>
      <c r="J43" s="5" t="str">
        <f>IF($K43="","",IFERROR(IF(VLOOKUP($K43,'Historias y criterios'!$A$6:$P$83,10,FALSE)="","",VLOOKUP($K43,'Historias y criterios'!$A$6:$P$83,10,FALSE)),"ID no encontrado"))</f>
        <v>Como vendedor, quiero descargar la cotización y convertir una cotización aceptada en solicitud de orden de venta, para continuar el proceso comercial sin volver a ingresar sus datos</v>
      </c>
      <c r="K43" s="8" t="s">
        <v>117</v>
      </c>
      <c r="L43" s="5" t="str">
        <f>IF($K43="","",IFERROR(IF(VLOOKUP($K43,'Historias y criterios'!$A$6:$P$83,11,FALSE)="","",VLOOKUP($K43,'Historias y criterios'!$A$6:$P$83,11,FALSE)),"ID no encontrado"))</f>
        <v>Solo una cotización abierta y aceptada puede convertirse.</v>
      </c>
      <c r="M43" s="8" t="s">
        <v>118</v>
      </c>
      <c r="N43" s="5" t="str">
        <f>IF($M43="","",IFERROR(IF(VLOOKUP($M43,'Casos y evidencias'!$A$6:$O$83,5,FALSE)="","",VLOOKUP($M43,'Casos y evidencias'!$A$6:$O$83,5,FALSE)),"ID no encontrado"))</f>
        <v>Conversión solo de cotizaciones abiertas y aceptadas</v>
      </c>
      <c r="O43" s="5" t="str">
        <f>IF($M43="","",IFERROR(IF(VLOOKUP($M43,'Casos y evidencias'!$A$6:$O$83,10,FALSE)="","",VLOOKUP($M43,'Casos y evidencias'!$A$6:$O$83,10,FALSE)),"ID no encontrado"))</f>
        <v>No ejecutado</v>
      </c>
      <c r="P43" s="7" t="str">
        <f>IF($M43="","",IFERROR(IF(VLOOKUP($M43,'Casos y evidencias'!$A$6:$O$83,11,FALSE)="","",VLOOKUP($M43,'Casos y evidencias'!$A$6:$O$83,11,FALSE)),"ID no encontrado"))</f>
        <v/>
      </c>
      <c r="Q43" s="5" t="str">
        <f>IF($M43="","",IFERROR(IF(VLOOKUP($M43,'Casos y evidencias'!$A$6:$O$83,12,FALSE)="","",VLOOKUP($M43,'Casos y evidencias'!$A$6:$O$83,12,FALSE)),"ID no encontrado"))</f>
        <v/>
      </c>
      <c r="R43" s="4"/>
    </row>
    <row r="44" spans="1:18" ht="75.599999999999994" customHeight="1">
      <c r="A44" s="6">
        <v>37</v>
      </c>
      <c r="B44" s="5" t="str">
        <f>IF($G44="","",IF($K44="","Falta criterio",IFERROR(IF(VLOOKUP($K44,'Historias y criterios'!$A$6:$P$83,3,FALSE)&lt;&gt;$G44,"Revisar relación requisito-criterio",IF($M44="","Falta caso de prueba",IF(VLOOKUP($M44,'Casos y evidencias'!$A$6:$O$83,2,FALSE)&lt;&gt;$K44,"Revisar relación criterio-caso",IF($O44="Aprobado",IF($P44="","Falta evidencia","Trazabilidad completa"),IF($O44="Fallido","Prueba fallida",IF($O44="Bloqueado","Prueba bloqueada","Prueba pendiente")))))),"ID no encontrado")))</f>
        <v>Prueba pendiente</v>
      </c>
      <c r="C44" s="7" t="str">
        <f>IF($G44="","",IFERROR(IF(VLOOKUP($G44,Requerimientos!$A$6:$M$43,2,FALSE)="","",VLOOKUP($G44,Requerimientos!$A$6:$M$43,2,FALSE)),"ID no encontrado"))</f>
        <v>OBJ-003</v>
      </c>
      <c r="D44" s="5" t="str">
        <f>IF($C44="","",IFERROR(IF(VLOOKUP($C44,'Objetivos y procesos'!$A$6:$H$35,2,FALSE)="","",VLOOKUP($C44,'Objetivos y procesos'!$A$6:$H$35,2,FALSE)),"ID no encontrado"))</f>
        <v>Centralizar consultas, cotizaciones y órdenes de venta, aplicando vendedor, comisión, autorización e integración correctos.</v>
      </c>
      <c r="E44" s="7" t="str">
        <f>IF($G44="","",IFERROR(IF(VLOOKUP($G44,Requerimientos!$A$6:$M$43,3,FALSE)="","",VLOOKUP($G44,Requerimientos!$A$6:$M$43,3,FALSE)),"ID no encontrado"))</f>
        <v>PR-03</v>
      </c>
      <c r="F44" s="5" t="str">
        <f>IF($E44="","",IFERROR(IF(INDEX('Objetivos y procesos'!$D$6:$D$35,MATCH($E44,'Objetivos y procesos'!$C$6:$C$35,0))="","",IF(INDEX('Objetivos y procesos'!$D$6:$D$35,MATCH($E44,'Objetivos y procesos'!$C$6:$C$35,0))=INDEX('Objetivos y procesos'!$E$6:$E$35,MATCH($E44,'Objetivos y procesos'!$C$6:$C$35,0)),INDEX('Objetivos y procesos'!$D$6:$D$35,MATCH($E44,'Objetivos y procesos'!$C$6:$C$35,0)),INDEX('Objetivos y procesos'!$D$6:$D$35,MATCH($E44,'Objetivos y procesos'!$C$6:$C$35,0))&amp;IF(INDEX('Objetivos y procesos'!$E$6:$E$35,MATCH($E44,'Objetivos y procesos'!$C$6:$C$35,0))="",""," / "&amp;INDEX('Objetivos y procesos'!$E$6:$E$35,MATCH($E44,'Objetivos y procesos'!$C$6:$C$35,0))))),"ID no encontrado"))</f>
        <v>Gestión comercial, cotizaciones y órdenes de venta</v>
      </c>
      <c r="G44" s="8" t="s">
        <v>116</v>
      </c>
      <c r="H44" s="5" t="str">
        <f>IF($G44="","",IFERROR(IF(VLOOKUP($G44,Requerimientos!$A$6:$M$43,7,FALSE)="","",VLOOKUP($G44,Requerimientos!$A$6:$M$43,7,FALSE)),"ID no encontrado"))</f>
        <v>El sistema debe permitir convertir una cotización aceptada por el cliente en una solicitud de orden de venta.</v>
      </c>
      <c r="I44" s="7" t="str">
        <f>IF($K44="","",IFERROR(IF(VLOOKUP($K44,'Historias y criterios'!$A$6:$P$83,2,FALSE)="","",VLOOKUP($K44,'Historias y criterios'!$A$6:$P$83,2,FALSE)),"ID no encontrado"))</f>
        <v>HU-010</v>
      </c>
      <c r="J44" s="5" t="str">
        <f>IF($K44="","",IFERROR(IF(VLOOKUP($K44,'Historias y criterios'!$A$6:$P$83,10,FALSE)="","",VLOOKUP($K44,'Historias y criterios'!$A$6:$P$83,10,FALSE)),"ID no encontrado"))</f>
        <v>Como vendedor, quiero descargar la cotización y convertir una cotización aceptada en solicitud de orden de venta, para continuar el proceso comercial sin volver a ingresar sus datos</v>
      </c>
      <c r="K44" s="8" t="s">
        <v>119</v>
      </c>
      <c r="L44" s="5" t="str">
        <f>IF($K44="","",IFERROR(IF(VLOOKUP($K44,'Historias y criterios'!$A$6:$P$83,11,FALSE)="","",VLOOKUP($K44,'Historias y criterios'!$A$6:$P$83,11,FALSE)),"ID no encontrado"))</f>
        <v>La solicitud hereda cliente, líneas y condiciones, y conserva el vínculo con la cotización.</v>
      </c>
      <c r="M44" s="8" t="s">
        <v>120</v>
      </c>
      <c r="N44" s="5" t="str">
        <f>IF($M44="","",IFERROR(IF(VLOOKUP($M44,'Casos y evidencias'!$A$6:$O$83,5,FALSE)="","",VLOOKUP($M44,'Casos y evidencias'!$A$6:$O$83,5,FALSE)),"ID no encontrado"))</f>
        <v>Herencia de datos y vínculo con la cotización</v>
      </c>
      <c r="O44" s="5" t="str">
        <f>IF($M44="","",IFERROR(IF(VLOOKUP($M44,'Casos y evidencias'!$A$6:$O$83,10,FALSE)="","",VLOOKUP($M44,'Casos y evidencias'!$A$6:$O$83,10,FALSE)),"ID no encontrado"))</f>
        <v>No ejecutado</v>
      </c>
      <c r="P44" s="7" t="str">
        <f>IF($M44="","",IFERROR(IF(VLOOKUP($M44,'Casos y evidencias'!$A$6:$O$83,11,FALSE)="","",VLOOKUP($M44,'Casos y evidencias'!$A$6:$O$83,11,FALSE)),"ID no encontrado"))</f>
        <v/>
      </c>
      <c r="Q44" s="5" t="str">
        <f>IF($M44="","",IFERROR(IF(VLOOKUP($M44,'Casos y evidencias'!$A$6:$O$83,12,FALSE)="","",VLOOKUP($M44,'Casos y evidencias'!$A$6:$O$83,12,FALSE)),"ID no encontrado"))</f>
        <v/>
      </c>
      <c r="R44" s="4"/>
    </row>
    <row r="45" spans="1:18" ht="75.599999999999994" customHeight="1">
      <c r="A45" s="6">
        <v>38</v>
      </c>
      <c r="B45" s="5" t="str">
        <f>IF($G45="","",IF($K45="","Falta criterio",IFERROR(IF(VLOOKUP($K45,'Historias y criterios'!$A$6:$P$83,3,FALSE)&lt;&gt;$G45,"Revisar relación requisito-criterio",IF($M45="","Falta caso de prueba",IF(VLOOKUP($M45,'Casos y evidencias'!$A$6:$O$83,2,FALSE)&lt;&gt;$K45,"Revisar relación criterio-caso",IF($O45="Aprobado",IF($P45="","Falta evidencia","Trazabilidad completa"),IF($O45="Fallido","Prueba fallida",IF($O45="Bloqueado","Prueba bloqueada","Prueba pendiente")))))),"ID no encontrado")))</f>
        <v>Prueba pendiente</v>
      </c>
      <c r="C45" s="7" t="str">
        <f>IF($G45="","",IFERROR(IF(VLOOKUP($G45,Requerimientos!$A$6:$M$43,2,FALSE)="","",VLOOKUP($G45,Requerimientos!$A$6:$M$43,2,FALSE)),"ID no encontrado"))</f>
        <v>OBJ-003</v>
      </c>
      <c r="D45" s="5" t="str">
        <f>IF($C45="","",IFERROR(IF(VLOOKUP($C45,'Objetivos y procesos'!$A$6:$H$35,2,FALSE)="","",VLOOKUP($C45,'Objetivos y procesos'!$A$6:$H$35,2,FALSE)),"ID no encontrado"))</f>
        <v>Centralizar consultas, cotizaciones y órdenes de venta, aplicando vendedor, comisión, autorización e integración correctos.</v>
      </c>
      <c r="E45" s="7" t="str">
        <f>IF($G45="","",IFERROR(IF(VLOOKUP($G45,Requerimientos!$A$6:$M$43,3,FALSE)="","",VLOOKUP($G45,Requerimientos!$A$6:$M$43,3,FALSE)),"ID no encontrado"))</f>
        <v>PR-03</v>
      </c>
      <c r="F45" s="5" t="str">
        <f>IF($E45="","",IFERROR(IF(INDEX('Objetivos y procesos'!$D$6:$D$35,MATCH($E45,'Objetivos y procesos'!$C$6:$C$35,0))="","",IF(INDEX('Objetivos y procesos'!$D$6:$D$35,MATCH($E45,'Objetivos y procesos'!$C$6:$C$35,0))=INDEX('Objetivos y procesos'!$E$6:$E$35,MATCH($E45,'Objetivos y procesos'!$C$6:$C$35,0)),INDEX('Objetivos y procesos'!$D$6:$D$35,MATCH($E45,'Objetivos y procesos'!$C$6:$C$35,0)),INDEX('Objetivos y procesos'!$D$6:$D$35,MATCH($E45,'Objetivos y procesos'!$C$6:$C$35,0))&amp;IF(INDEX('Objetivos y procesos'!$E$6:$E$35,MATCH($E45,'Objetivos y procesos'!$C$6:$C$35,0))="",""," / "&amp;INDEX('Objetivos y procesos'!$E$6:$E$35,MATCH($E45,'Objetivos y procesos'!$C$6:$C$35,0))))),"ID no encontrado"))</f>
        <v>Gestión comercial, cotizaciones y órdenes de venta</v>
      </c>
      <c r="G45" s="8" t="s">
        <v>116</v>
      </c>
      <c r="H45" s="5" t="str">
        <f>IF($G45="","",IFERROR(IF(VLOOKUP($G45,Requerimientos!$A$6:$M$43,7,FALSE)="","",VLOOKUP($G45,Requerimientos!$A$6:$M$43,7,FALSE)),"ID no encontrado"))</f>
        <v>El sistema debe permitir convertir una cotización aceptada por el cliente en una solicitud de orden de venta.</v>
      </c>
      <c r="I45" s="7" t="str">
        <f>IF($K45="","",IFERROR(IF(VLOOKUP($K45,'Historias y criterios'!$A$6:$P$83,2,FALSE)="","",VLOOKUP($K45,'Historias y criterios'!$A$6:$P$83,2,FALSE)),"ID no encontrado"))</f>
        <v>HU-010</v>
      </c>
      <c r="J45" s="5" t="str">
        <f>IF($K45="","",IFERROR(IF(VLOOKUP($K45,'Historias y criterios'!$A$6:$P$83,10,FALSE)="","",VLOOKUP($K45,'Historias y criterios'!$A$6:$P$83,10,FALSE)),"ID no encontrado"))</f>
        <v>Como vendedor, quiero descargar la cotización y convertir una cotización aceptada en solicitud de orden de venta, para continuar el proceso comercial sin volver a ingresar sus datos</v>
      </c>
      <c r="K45" s="8" t="s">
        <v>121</v>
      </c>
      <c r="L45" s="5" t="str">
        <f>IF($K45="","",IFERROR(IF(VLOOKUP($K45,'Historias y criterios'!$A$6:$P$83,11,FALSE)="","",VLOOKUP($K45,'Historias y criterios'!$A$6:$P$83,11,FALSE)),"ID no encontrado"))</f>
        <v>Se impide continuar si el cliente está bloqueado.</v>
      </c>
      <c r="M45" s="8" t="s">
        <v>122</v>
      </c>
      <c r="N45" s="5" t="str">
        <f>IF($M45="","",IFERROR(IF(VLOOKUP($M45,'Casos y evidencias'!$A$6:$O$83,5,FALSE)="","",VLOOKUP($M45,'Casos y evidencias'!$A$6:$O$83,5,FALSE)),"ID no encontrado"))</f>
        <v>Bloqueo por cliente bloqueado</v>
      </c>
      <c r="O45" s="5" t="str">
        <f>IF($M45="","",IFERROR(IF(VLOOKUP($M45,'Casos y evidencias'!$A$6:$O$83,10,FALSE)="","",VLOOKUP($M45,'Casos y evidencias'!$A$6:$O$83,10,FALSE)),"ID no encontrado"))</f>
        <v>No ejecutado</v>
      </c>
      <c r="P45" s="7" t="str">
        <f>IF($M45="","",IFERROR(IF(VLOOKUP($M45,'Casos y evidencias'!$A$6:$O$83,11,FALSE)="","",VLOOKUP($M45,'Casos y evidencias'!$A$6:$O$83,11,FALSE)),"ID no encontrado"))</f>
        <v/>
      </c>
      <c r="Q45" s="5" t="str">
        <f>IF($M45="","",IFERROR(IF(VLOOKUP($M45,'Casos y evidencias'!$A$6:$O$83,12,FALSE)="","",VLOOKUP($M45,'Casos y evidencias'!$A$6:$O$83,12,FALSE)),"ID no encontrado"))</f>
        <v/>
      </c>
      <c r="R45" s="4"/>
    </row>
    <row r="46" spans="1:18" ht="75.599999999999994" customHeight="1">
      <c r="A46" s="6">
        <v>39</v>
      </c>
      <c r="B46" s="5" t="str">
        <f>IF($G46="","",IF($K46="","Falta criterio",IFERROR(IF(VLOOKUP($K46,'Historias y criterios'!$A$6:$P$83,3,FALSE)&lt;&gt;$G46,"Revisar relación requisito-criterio",IF($M46="","Falta caso de prueba",IF(VLOOKUP($M46,'Casos y evidencias'!$A$6:$O$83,2,FALSE)&lt;&gt;$K46,"Revisar relación criterio-caso",IF($O46="Aprobado",IF($P46="","Falta evidencia","Trazabilidad completa"),IF($O46="Fallido","Prueba fallida",IF($O46="Bloqueado","Prueba bloqueada","Prueba pendiente")))))),"ID no encontrado")))</f>
        <v>Prueba pendiente</v>
      </c>
      <c r="C46" s="7" t="str">
        <f>IF($G46="","",IFERROR(IF(VLOOKUP($G46,Requerimientos!$A$6:$M$43,2,FALSE)="","",VLOOKUP($G46,Requerimientos!$A$6:$M$43,2,FALSE)),"ID no encontrado"))</f>
        <v>OBJ-003</v>
      </c>
      <c r="D46" s="5" t="str">
        <f>IF($C46="","",IFERROR(IF(VLOOKUP($C46,'Objetivos y procesos'!$A$6:$H$35,2,FALSE)="","",VLOOKUP($C46,'Objetivos y procesos'!$A$6:$H$35,2,FALSE)),"ID no encontrado"))</f>
        <v>Centralizar consultas, cotizaciones y órdenes de venta, aplicando vendedor, comisión, autorización e integración correctos.</v>
      </c>
      <c r="E46" s="7" t="str">
        <f>IF($G46="","",IFERROR(IF(VLOOKUP($G46,Requerimientos!$A$6:$M$43,3,FALSE)="","",VLOOKUP($G46,Requerimientos!$A$6:$M$43,3,FALSE)),"ID no encontrado"))</f>
        <v>PR-03</v>
      </c>
      <c r="F46" s="5" t="str">
        <f>IF($E46="","",IFERROR(IF(INDEX('Objetivos y procesos'!$D$6:$D$35,MATCH($E46,'Objetivos y procesos'!$C$6:$C$35,0))="","",IF(INDEX('Objetivos y procesos'!$D$6:$D$35,MATCH($E46,'Objetivos y procesos'!$C$6:$C$35,0))=INDEX('Objetivos y procesos'!$E$6:$E$35,MATCH($E46,'Objetivos y procesos'!$C$6:$C$35,0)),INDEX('Objetivos y procesos'!$D$6:$D$35,MATCH($E46,'Objetivos y procesos'!$C$6:$C$35,0)),INDEX('Objetivos y procesos'!$D$6:$D$35,MATCH($E46,'Objetivos y procesos'!$C$6:$C$35,0))&amp;IF(INDEX('Objetivos y procesos'!$E$6:$E$35,MATCH($E46,'Objetivos y procesos'!$C$6:$C$35,0))="",""," / "&amp;INDEX('Objetivos y procesos'!$E$6:$E$35,MATCH($E46,'Objetivos y procesos'!$C$6:$C$35,0))))),"ID no encontrado"))</f>
        <v>Gestión comercial, cotizaciones y órdenes de venta</v>
      </c>
      <c r="G46" s="8" t="s">
        <v>123</v>
      </c>
      <c r="H46" s="5" t="str">
        <f>IF($G46="","",IFERROR(IF(VLOOKUP($G46,Requerimientos!$A$6:$M$43,7,FALSE)="","",VLOOKUP($G46,Requerimientos!$A$6:$M$43,7,FALSE)),"ID no encontrado"))</f>
        <v>El sistema debe enviar al ERP únicamente los documentos que cuenten con autorización previa registrada.</v>
      </c>
      <c r="I46" s="7" t="str">
        <f>IF($K46="","",IFERROR(IF(VLOOKUP($K46,'Historias y criterios'!$A$6:$P$83,2,FALSE)="","",VLOOKUP($K46,'Historias y criterios'!$A$6:$P$83,2,FALSE)),"ID no encontrado"))</f>
        <v>HU-011</v>
      </c>
      <c r="J46" s="5" t="str">
        <f>IF($K46="","",IFERROR(IF(VLOOKUP($K46,'Historias y criterios'!$A$6:$P$83,10,FALSE)="","",VLOOKUP($K46,'Historias y criterios'!$A$6:$P$83,10,FALSE)),"ID no encontrado"))</f>
        <v>Como autorizador comercial, quiero aprobar las solicitudes que correspondan y enviar la orden de venta al ERP, para crear únicamente documentos validados y mantener su trazabilidad</v>
      </c>
      <c r="K46" s="8" t="s">
        <v>124</v>
      </c>
      <c r="L46" s="5" t="str">
        <f>IF($K46="","",IFERROR(IF(VLOOKUP($K46,'Historias y criterios'!$A$6:$P$83,11,FALSE)="","",VLOOKUP($K46,'Historias y criterios'!$A$6:$P$83,11,FALSE)),"ID no encontrado"))</f>
        <v>Toda orden requiere autorización previa y, si alguna línea tiene un margen inferior al mínimo definido, también la de Gerencia.</v>
      </c>
      <c r="M46" s="8" t="s">
        <v>125</v>
      </c>
      <c r="N46" s="5" t="str">
        <f>IF($M46="","",IFERROR(IF(VLOOKUP($M46,'Casos y evidencias'!$A$6:$O$83,5,FALSE)="","",VLOOKUP($M46,'Casos y evidencias'!$A$6:$O$83,5,FALSE)),"ID no encontrado"))</f>
        <v>Autorización previa con línea bajo el margen mínimo</v>
      </c>
      <c r="O46" s="5" t="str">
        <f>IF($M46="","",IFERROR(IF(VLOOKUP($M46,'Casos y evidencias'!$A$6:$O$83,10,FALSE)="","",VLOOKUP($M46,'Casos y evidencias'!$A$6:$O$83,10,FALSE)),"ID no encontrado"))</f>
        <v>No ejecutado</v>
      </c>
      <c r="P46" s="7" t="str">
        <f>IF($M46="","",IFERROR(IF(VLOOKUP($M46,'Casos y evidencias'!$A$6:$O$83,11,FALSE)="","",VLOOKUP($M46,'Casos y evidencias'!$A$6:$O$83,11,FALSE)),"ID no encontrado"))</f>
        <v/>
      </c>
      <c r="Q46" s="5" t="str">
        <f>IF($M46="","",IFERROR(IF(VLOOKUP($M46,'Casos y evidencias'!$A$6:$O$83,12,FALSE)="","",VLOOKUP($M46,'Casos y evidencias'!$A$6:$O$83,12,FALSE)),"ID no encontrado"))</f>
        <v/>
      </c>
      <c r="R46" s="4"/>
    </row>
    <row r="47" spans="1:18" ht="75.599999999999994" customHeight="1">
      <c r="A47" s="6">
        <v>40</v>
      </c>
      <c r="B47" s="5" t="str">
        <f>IF($G47="","",IF($K47="","Falta criterio",IFERROR(IF(VLOOKUP($K47,'Historias y criterios'!$A$6:$P$83,3,FALSE)&lt;&gt;$G47,"Revisar relación requisito-criterio",IF($M47="","Falta caso de prueba",IF(VLOOKUP($M47,'Casos y evidencias'!$A$6:$O$83,2,FALSE)&lt;&gt;$K47,"Revisar relación criterio-caso",IF($O47="Aprobado",IF($P47="","Falta evidencia","Trazabilidad completa"),IF($O47="Fallido","Prueba fallida",IF($O47="Bloqueado","Prueba bloqueada","Prueba pendiente")))))),"ID no encontrado")))</f>
        <v>Prueba pendiente</v>
      </c>
      <c r="C47" s="7" t="str">
        <f>IF($G47="","",IFERROR(IF(VLOOKUP($G47,Requerimientos!$A$6:$M$43,2,FALSE)="","",VLOOKUP($G47,Requerimientos!$A$6:$M$43,2,FALSE)),"ID no encontrado"))</f>
        <v>OBJ-003</v>
      </c>
      <c r="D47" s="5" t="str">
        <f>IF($C47="","",IFERROR(IF(VLOOKUP($C47,'Objetivos y procesos'!$A$6:$H$35,2,FALSE)="","",VLOOKUP($C47,'Objetivos y procesos'!$A$6:$H$35,2,FALSE)),"ID no encontrado"))</f>
        <v>Centralizar consultas, cotizaciones y órdenes de venta, aplicando vendedor, comisión, autorización e integración correctos.</v>
      </c>
      <c r="E47" s="7" t="str">
        <f>IF($G47="","",IFERROR(IF(VLOOKUP($G47,Requerimientos!$A$6:$M$43,3,FALSE)="","",VLOOKUP($G47,Requerimientos!$A$6:$M$43,3,FALSE)),"ID no encontrado"))</f>
        <v>PR-03</v>
      </c>
      <c r="F47" s="5" t="str">
        <f>IF($E47="","",IFERROR(IF(INDEX('Objetivos y procesos'!$D$6:$D$35,MATCH($E47,'Objetivos y procesos'!$C$6:$C$35,0))="","",IF(INDEX('Objetivos y procesos'!$D$6:$D$35,MATCH($E47,'Objetivos y procesos'!$C$6:$C$35,0))=INDEX('Objetivos y procesos'!$E$6:$E$35,MATCH($E47,'Objetivos y procesos'!$C$6:$C$35,0)),INDEX('Objetivos y procesos'!$D$6:$D$35,MATCH($E47,'Objetivos y procesos'!$C$6:$C$35,0)),INDEX('Objetivos y procesos'!$D$6:$D$35,MATCH($E47,'Objetivos y procesos'!$C$6:$C$35,0))&amp;IF(INDEX('Objetivos y procesos'!$E$6:$E$35,MATCH($E47,'Objetivos y procesos'!$C$6:$C$35,0))="",""," / "&amp;INDEX('Objetivos y procesos'!$E$6:$E$35,MATCH($E47,'Objetivos y procesos'!$C$6:$C$35,0))))),"ID no encontrado"))</f>
        <v>Gestión comercial, cotizaciones y órdenes de venta</v>
      </c>
      <c r="G47" s="8" t="s">
        <v>123</v>
      </c>
      <c r="H47" s="5" t="str">
        <f>IF($G47="","",IFERROR(IF(VLOOKUP($G47,Requerimientos!$A$6:$M$43,7,FALSE)="","",VLOOKUP($G47,Requerimientos!$A$6:$M$43,7,FALSE)),"ID no encontrado"))</f>
        <v>El sistema debe enviar al ERP únicamente los documentos que cuenten con autorización previa registrada.</v>
      </c>
      <c r="I47" s="7" t="str">
        <f>IF($K47="","",IFERROR(IF(VLOOKUP($K47,'Historias y criterios'!$A$6:$P$83,2,FALSE)="","",VLOOKUP($K47,'Historias y criterios'!$A$6:$P$83,2,FALSE)),"ID no encontrado"))</f>
        <v>HU-011</v>
      </c>
      <c r="J47" s="5" t="str">
        <f>IF($K47="","",IFERROR(IF(VLOOKUP($K47,'Historias y criterios'!$A$6:$P$83,10,FALSE)="","",VLOOKUP($K47,'Historias y criterios'!$A$6:$P$83,10,FALSE)),"ID no encontrado"))</f>
        <v>Como autorizador comercial, quiero aprobar las solicitudes que correspondan y enviar la orden de venta al ERP, para crear únicamente documentos validados y mantener su trazabilidad</v>
      </c>
      <c r="K47" s="8" t="s">
        <v>126</v>
      </c>
      <c r="L47" s="5" t="str">
        <f>IF($K47="","",IFERROR(IF(VLOOKUP($K47,'Historias y criterios'!$A$6:$P$83,11,FALSE)="","",VLOOKUP($K47,'Historias y criterios'!$A$6:$P$83,11,FALSE)),"ID no encontrado"))</f>
        <v>Solo un rol autorizado puede aprobar el envío.</v>
      </c>
      <c r="M47" s="8" t="s">
        <v>127</v>
      </c>
      <c r="N47" s="5" t="str">
        <f>IF($M47="","",IFERROR(IF(VLOOKUP($M47,'Casos y evidencias'!$A$6:$O$83,5,FALSE)="","",VLOOKUP($M47,'Casos y evidencias'!$A$6:$O$83,5,FALSE)),"ID no encontrado"))</f>
        <v>Aprobación solo por rol autorizado</v>
      </c>
      <c r="O47" s="5" t="str">
        <f>IF($M47="","",IFERROR(IF(VLOOKUP($M47,'Casos y evidencias'!$A$6:$O$83,10,FALSE)="","",VLOOKUP($M47,'Casos y evidencias'!$A$6:$O$83,10,FALSE)),"ID no encontrado"))</f>
        <v>No ejecutado</v>
      </c>
      <c r="P47" s="7" t="str">
        <f>IF($M47="","",IFERROR(IF(VLOOKUP($M47,'Casos y evidencias'!$A$6:$O$83,11,FALSE)="","",VLOOKUP($M47,'Casos y evidencias'!$A$6:$O$83,11,FALSE)),"ID no encontrado"))</f>
        <v/>
      </c>
      <c r="Q47" s="5" t="str">
        <f>IF($M47="","",IFERROR(IF(VLOOKUP($M47,'Casos y evidencias'!$A$6:$O$83,12,FALSE)="","",VLOOKUP($M47,'Casos y evidencias'!$A$6:$O$83,12,FALSE)),"ID no encontrado"))</f>
        <v/>
      </c>
      <c r="R47" s="4"/>
    </row>
    <row r="48" spans="1:18" ht="75.599999999999994" customHeight="1">
      <c r="A48" s="6">
        <v>41</v>
      </c>
      <c r="B48" s="5" t="str">
        <f>IF($G48="","",IF($K48="","Falta criterio",IFERROR(IF(VLOOKUP($K48,'Historias y criterios'!$A$6:$P$83,3,FALSE)&lt;&gt;$G48,"Revisar relación requisito-criterio",IF($M48="","Falta caso de prueba",IF(VLOOKUP($M48,'Casos y evidencias'!$A$6:$O$83,2,FALSE)&lt;&gt;$K48,"Revisar relación criterio-caso",IF($O48="Aprobado",IF($P48="","Falta evidencia","Trazabilidad completa"),IF($O48="Fallido","Prueba fallida",IF($O48="Bloqueado","Prueba bloqueada","Prueba pendiente")))))),"ID no encontrado")))</f>
        <v>Prueba pendiente</v>
      </c>
      <c r="C48" s="7" t="str">
        <f>IF($G48="","",IFERROR(IF(VLOOKUP($G48,Requerimientos!$A$6:$M$43,2,FALSE)="","",VLOOKUP($G48,Requerimientos!$A$6:$M$43,2,FALSE)),"ID no encontrado"))</f>
        <v>OBJ-003</v>
      </c>
      <c r="D48" s="5" t="str">
        <f>IF($C48="","",IFERROR(IF(VLOOKUP($C48,'Objetivos y procesos'!$A$6:$H$35,2,FALSE)="","",VLOOKUP($C48,'Objetivos y procesos'!$A$6:$H$35,2,FALSE)),"ID no encontrado"))</f>
        <v>Centralizar consultas, cotizaciones y órdenes de venta, aplicando vendedor, comisión, autorización e integración correctos.</v>
      </c>
      <c r="E48" s="7" t="str">
        <f>IF($G48="","",IFERROR(IF(VLOOKUP($G48,Requerimientos!$A$6:$M$43,3,FALSE)="","",VLOOKUP($G48,Requerimientos!$A$6:$M$43,3,FALSE)),"ID no encontrado"))</f>
        <v>PR-03</v>
      </c>
      <c r="F48" s="5" t="str">
        <f>IF($E48="","",IFERROR(IF(INDEX('Objetivos y procesos'!$D$6:$D$35,MATCH($E48,'Objetivos y procesos'!$C$6:$C$35,0))="","",IF(INDEX('Objetivos y procesos'!$D$6:$D$35,MATCH($E48,'Objetivos y procesos'!$C$6:$C$35,0))=INDEX('Objetivos y procesos'!$E$6:$E$35,MATCH($E48,'Objetivos y procesos'!$C$6:$C$35,0)),INDEX('Objetivos y procesos'!$D$6:$D$35,MATCH($E48,'Objetivos y procesos'!$C$6:$C$35,0)),INDEX('Objetivos y procesos'!$D$6:$D$35,MATCH($E48,'Objetivos y procesos'!$C$6:$C$35,0))&amp;IF(INDEX('Objetivos y procesos'!$E$6:$E$35,MATCH($E48,'Objetivos y procesos'!$C$6:$C$35,0))="",""," / "&amp;INDEX('Objetivos y procesos'!$E$6:$E$35,MATCH($E48,'Objetivos y procesos'!$C$6:$C$35,0))))),"ID no encontrado"))</f>
        <v>Gestión comercial, cotizaciones y órdenes de venta</v>
      </c>
      <c r="G48" s="8" t="s">
        <v>123</v>
      </c>
      <c r="H48" s="5" t="str">
        <f>IF($G48="","",IFERROR(IF(VLOOKUP($G48,Requerimientos!$A$6:$M$43,7,FALSE)="","",VLOOKUP($G48,Requerimientos!$A$6:$M$43,7,FALSE)),"ID no encontrado"))</f>
        <v>El sistema debe enviar al ERP únicamente los documentos que cuenten con autorización previa registrada.</v>
      </c>
      <c r="I48" s="7" t="str">
        <f>IF($K48="","",IFERROR(IF(VLOOKUP($K48,'Historias y criterios'!$A$6:$P$83,2,FALSE)="","",VLOOKUP($K48,'Historias y criterios'!$A$6:$P$83,2,FALSE)),"ID no encontrado"))</f>
        <v>HU-011</v>
      </c>
      <c r="J48" s="5" t="str">
        <f>IF($K48="","",IFERROR(IF(VLOOKUP($K48,'Historias y criterios'!$A$6:$P$83,10,FALSE)="","",VLOOKUP($K48,'Historias y criterios'!$A$6:$P$83,10,FALSE)),"ID no encontrado"))</f>
        <v>Como autorizador comercial, quiero aprobar las solicitudes que correspondan y enviar la orden de venta al ERP, para crear únicamente documentos validados y mantener su trazabilidad</v>
      </c>
      <c r="K48" s="8" t="s">
        <v>128</v>
      </c>
      <c r="L48" s="5" t="str">
        <f>IF($K48="","",IFERROR(IF(VLOOKUP($K48,'Historias y criterios'!$A$6:$P$83,11,FALSE)="","",VLOOKUP($K48,'Historias y criterios'!$A$6:$P$83,11,FALSE)),"ID no encontrado"))</f>
        <v>El ERP recibe exactamente el documento autorizado y devuelve un resultado e identificador.</v>
      </c>
      <c r="M48" s="8" t="s">
        <v>129</v>
      </c>
      <c r="N48" s="5" t="str">
        <f>IF($M48="","",IFERROR(IF(VLOOKUP($M48,'Casos y evidencias'!$A$6:$O$83,5,FALSE)="","",VLOOKUP($M48,'Casos y evidencias'!$A$6:$O$83,5,FALSE)),"ID no encontrado"))</f>
        <v>Envío exacto del documento autorizado</v>
      </c>
      <c r="O48" s="5" t="str">
        <f>IF($M48="","",IFERROR(IF(VLOOKUP($M48,'Casos y evidencias'!$A$6:$O$83,10,FALSE)="","",VLOOKUP($M48,'Casos y evidencias'!$A$6:$O$83,10,FALSE)),"ID no encontrado"))</f>
        <v>No ejecutado</v>
      </c>
      <c r="P48" s="7" t="str">
        <f>IF($M48="","",IFERROR(IF(VLOOKUP($M48,'Casos y evidencias'!$A$6:$O$83,11,FALSE)="","",VLOOKUP($M48,'Casos y evidencias'!$A$6:$O$83,11,FALSE)),"ID no encontrado"))</f>
        <v/>
      </c>
      <c r="Q48" s="5" t="str">
        <f>IF($M48="","",IFERROR(IF(VLOOKUP($M48,'Casos y evidencias'!$A$6:$O$83,12,FALSE)="","",VLOOKUP($M48,'Casos y evidencias'!$A$6:$O$83,12,FALSE)),"ID no encontrado"))</f>
        <v/>
      </c>
      <c r="R48" s="4"/>
    </row>
    <row r="49" spans="1:18" ht="75.599999999999994" customHeight="1">
      <c r="A49" s="6">
        <v>42</v>
      </c>
      <c r="B49" s="5" t="str">
        <f>IF($G49="","",IF($K49="","Falta criterio",IFERROR(IF(VLOOKUP($K49,'Historias y criterios'!$A$6:$P$83,3,FALSE)&lt;&gt;$G49,"Revisar relación requisito-criterio",IF($M49="","Falta caso de prueba",IF(VLOOKUP($M49,'Casos y evidencias'!$A$6:$O$83,2,FALSE)&lt;&gt;$K49,"Revisar relación criterio-caso",IF($O49="Aprobado",IF($P49="","Falta evidencia","Trazabilidad completa"),IF($O49="Fallido","Prueba fallida",IF($O49="Bloqueado","Prueba bloqueada","Prueba pendiente")))))),"ID no encontrado")))</f>
        <v>Prueba pendiente</v>
      </c>
      <c r="C49" s="7" t="str">
        <f>IF($G49="","",IFERROR(IF(VLOOKUP($G49,Requerimientos!$A$6:$M$43,2,FALSE)="","",VLOOKUP($G49,Requerimientos!$A$6:$M$43,2,FALSE)),"ID no encontrado"))</f>
        <v>OBJ-003</v>
      </c>
      <c r="D49" s="5" t="str">
        <f>IF($C49="","",IFERROR(IF(VLOOKUP($C49,'Objetivos y procesos'!$A$6:$H$35,2,FALSE)="","",VLOOKUP($C49,'Objetivos y procesos'!$A$6:$H$35,2,FALSE)),"ID no encontrado"))</f>
        <v>Centralizar consultas, cotizaciones y órdenes de venta, aplicando vendedor, comisión, autorización e integración correctos.</v>
      </c>
      <c r="E49" s="7" t="str">
        <f>IF($G49="","",IFERROR(IF(VLOOKUP($G49,Requerimientos!$A$6:$M$43,3,FALSE)="","",VLOOKUP($G49,Requerimientos!$A$6:$M$43,3,FALSE)),"ID no encontrado"))</f>
        <v>PR-03</v>
      </c>
      <c r="F49" s="5" t="str">
        <f>IF($E49="","",IFERROR(IF(INDEX('Objetivos y procesos'!$D$6:$D$35,MATCH($E49,'Objetivos y procesos'!$C$6:$C$35,0))="","",IF(INDEX('Objetivos y procesos'!$D$6:$D$35,MATCH($E49,'Objetivos y procesos'!$C$6:$C$35,0))=INDEX('Objetivos y procesos'!$E$6:$E$35,MATCH($E49,'Objetivos y procesos'!$C$6:$C$35,0)),INDEX('Objetivos y procesos'!$D$6:$D$35,MATCH($E49,'Objetivos y procesos'!$C$6:$C$35,0)),INDEX('Objetivos y procesos'!$D$6:$D$35,MATCH($E49,'Objetivos y procesos'!$C$6:$C$35,0))&amp;IF(INDEX('Objetivos y procesos'!$E$6:$E$35,MATCH($E49,'Objetivos y procesos'!$C$6:$C$35,0))="",""," / "&amp;INDEX('Objetivos y procesos'!$E$6:$E$35,MATCH($E49,'Objetivos y procesos'!$C$6:$C$35,0))))),"ID no encontrado"))</f>
        <v>Gestión comercial, cotizaciones y órdenes de venta</v>
      </c>
      <c r="G49" s="8" t="s">
        <v>130</v>
      </c>
      <c r="H49" s="5" t="str">
        <f>IF($G49="","",IFERROR(IF(VLOOKUP($G49,Requerimientos!$A$6:$M$43,7,FALSE)="","",VLOOKUP($G49,Requerimientos!$A$6:$M$43,7,FALSE)),"ID no encontrado"))</f>
        <v>El sistema debe permitir consultar el estado y la trazabilidad de los documentos comerciales enviados a SAP Business One.</v>
      </c>
      <c r="I49" s="7" t="str">
        <f>IF($K49="","",IFERROR(IF(VLOOKUP($K49,'Historias y criterios'!$A$6:$P$83,2,FALSE)="","",VLOOKUP($K49,'Historias y criterios'!$A$6:$P$83,2,FALSE)),"ID no encontrado"))</f>
        <v>HU-011</v>
      </c>
      <c r="J49" s="5" t="str">
        <f>IF($K49="","",IFERROR(IF(VLOOKUP($K49,'Historias y criterios'!$A$6:$P$83,10,FALSE)="","",VLOOKUP($K49,'Historias y criterios'!$A$6:$P$83,10,FALSE)),"ID no encontrado"))</f>
        <v>Como autorizador comercial, quiero aprobar las solicitudes que correspondan y enviar la orden de venta al ERP, para crear únicamente documentos validados y mantener su trazabilidad</v>
      </c>
      <c r="K49" s="8" t="s">
        <v>131</v>
      </c>
      <c r="L49" s="5" t="str">
        <f>IF($K49="","",IFERROR(IF(VLOOKUP($K49,'Historias y criterios'!$A$6:$P$83,11,FALSE)="","",VLOOKUP($K49,'Historias y criterios'!$A$6:$P$83,11,FALSE)),"ID no encontrado"))</f>
        <v>El usuario consulta el estado, vínculo y trazabilidad del documento enviado.</v>
      </c>
      <c r="M49" s="8" t="s">
        <v>132</v>
      </c>
      <c r="N49" s="5" t="str">
        <f>IF($M49="","",IFERROR(IF(VLOOKUP($M49,'Casos y evidencias'!$A$6:$O$83,5,FALSE)="","",VLOOKUP($M49,'Casos y evidencias'!$A$6:$O$83,5,FALSE)),"ID no encontrado"))</f>
        <v>Consulta de estado y trazabilidad del documento</v>
      </c>
      <c r="O49" s="5" t="str">
        <f>IF($M49="","",IFERROR(IF(VLOOKUP($M49,'Casos y evidencias'!$A$6:$O$83,10,FALSE)="","",VLOOKUP($M49,'Casos y evidencias'!$A$6:$O$83,10,FALSE)),"ID no encontrado"))</f>
        <v>No ejecutado</v>
      </c>
      <c r="P49" s="7" t="str">
        <f>IF($M49="","",IFERROR(IF(VLOOKUP($M49,'Casos y evidencias'!$A$6:$O$83,11,FALSE)="","",VLOOKUP($M49,'Casos y evidencias'!$A$6:$O$83,11,FALSE)),"ID no encontrado"))</f>
        <v/>
      </c>
      <c r="Q49" s="5" t="str">
        <f>IF($M49="","",IFERROR(IF(VLOOKUP($M49,'Casos y evidencias'!$A$6:$O$83,12,FALSE)="","",VLOOKUP($M49,'Casos y evidencias'!$A$6:$O$83,12,FALSE)),"ID no encontrado"))</f>
        <v/>
      </c>
      <c r="R49" s="4"/>
    </row>
    <row r="50" spans="1:18" ht="89.1" customHeight="1">
      <c r="A50" s="6">
        <v>43</v>
      </c>
      <c r="B50" s="5" t="str">
        <f>IF($G50="","",IF($K50="","Falta criterio",IFERROR(IF(VLOOKUP($K50,'Historias y criterios'!$A$6:$P$83,3,FALSE)&lt;&gt;$G50,"Revisar relación requisito-criterio",IF($M50="","Falta caso de prueba",IF(VLOOKUP($M50,'Casos y evidencias'!$A$6:$O$83,2,FALSE)&lt;&gt;$K50,"Revisar relación criterio-caso",IF($O50="Aprobado",IF($P50="","Falta evidencia","Trazabilidad completa"),IF($O50="Fallido","Prueba fallida",IF($O50="Bloqueado","Prueba bloqueada","Prueba pendiente")))))),"ID no encontrado")))</f>
        <v>Prueba pendiente</v>
      </c>
      <c r="C50" s="7" t="str">
        <f>IF($G50="","",IFERROR(IF(VLOOKUP($G50,Requerimientos!$A$6:$M$43,2,FALSE)="","",VLOOKUP($G50,Requerimientos!$A$6:$M$43,2,FALSE)),"ID no encontrado"))</f>
        <v>OBJ-004</v>
      </c>
      <c r="D50" s="5" t="str">
        <f>IF($C50="","",IFERROR(IF(VLOOKUP($C50,'Objetivos y procesos'!$A$6:$H$35,2,FALSE)="","",VLOOKUP($C50,'Objetivos y procesos'!$A$6:$H$35,2,FALSE)),"ID no encontrado"))</f>
        <v>Entregar avisos oportunos y una trazabilidad común para todos los procesos incorporados.</v>
      </c>
      <c r="E50" s="7" t="str">
        <f>IF($G50="","",IFERROR(IF(VLOOKUP($G50,Requerimientos!$A$6:$M$43,3,FALSE)="","",VLOOKUP($G50,Requerimientos!$A$6:$M$43,3,FALSE)),"ID no encontrado"))</f>
        <v>PR-04</v>
      </c>
      <c r="F50" s="5" t="str">
        <f>IF($E50="","",IFERROR(IF(INDEX('Objetivos y procesos'!$D$6:$D$35,MATCH($E50,'Objetivos y procesos'!$C$6:$C$35,0))="","",IF(INDEX('Objetivos y procesos'!$D$6:$D$35,MATCH($E50,'Objetivos y procesos'!$C$6:$C$35,0))=INDEX('Objetivos y procesos'!$E$6:$E$35,MATCH($E50,'Objetivos y procesos'!$C$6:$C$35,0)),INDEX('Objetivos y procesos'!$D$6:$D$35,MATCH($E50,'Objetivos y procesos'!$C$6:$C$35,0)),INDEX('Objetivos y procesos'!$D$6:$D$35,MATCH($E50,'Objetivos y procesos'!$C$6:$C$35,0))&amp;IF(INDEX('Objetivos y procesos'!$E$6:$E$35,MATCH($E50,'Objetivos y procesos'!$C$6:$C$35,0))="",""," / "&amp;INDEX('Objetivos y procesos'!$E$6:$E$35,MATCH($E50,'Objetivos y procesos'!$C$6:$C$35,0))))),"ID no encontrado"))</f>
        <v>Notificaciones y trazabilidad</v>
      </c>
      <c r="G50" s="8" t="s">
        <v>133</v>
      </c>
      <c r="H50" s="5" t="str">
        <f>IF($G50="","",IFERROR(IF(VLOOKUP($G50,Requerimientos!$A$6:$M$43,7,FALSE)="","",VLOOKUP($G50,Requerimientos!$A$6:$M$43,7,FALSE)),"ID no encontrado"))</f>
        <v>El sistema debe notificar dentro de la plataforma a los autorizadores del grupo correspondiente cuando un proceso requiera su acción, y generar recordatorios automáticos de las solicitudes que llevan más de una hora pendientes.</v>
      </c>
      <c r="I50" s="7" t="str">
        <f>IF($K50="","",IFERROR(IF(VLOOKUP($K50,'Historias y criterios'!$A$6:$P$83,2,FALSE)="","",VLOOKUP($K50,'Historias y criterios'!$A$6:$P$83,2,FALSE)),"ID no encontrado"))</f>
        <v>HU-012</v>
      </c>
      <c r="J50" s="5" t="str">
        <f>IF($K50="","",IFERROR(IF(VLOOKUP($K50,'Historias y criterios'!$A$6:$P$83,10,FALSE)="","",VLOOKUP($K50,'Historias y criterios'!$A$6:$P$83,10,FALSE)),"ID no encontrado"))</f>
        <v>Como autorizador, quiero recibir avisos de los procesos pendientes y recordatorios cuando superen una hora, para atender oportunamente las decisiones que me corresponden</v>
      </c>
      <c r="K50" s="8" t="s">
        <v>134</v>
      </c>
      <c r="L50" s="5" t="str">
        <f>IF($K50="","",IFERROR(IF(VLOOKUP($K50,'Historias y criterios'!$A$6:$P$83,11,FALSE)="","",VLOOKUP($K50,'Historias y criterios'!$A$6:$P$83,11,FALSE)),"ID no encontrado"))</f>
        <v>Al enviar un proceso, se notifica únicamente a los destinatarios autorizados.</v>
      </c>
      <c r="M50" s="8" t="s">
        <v>135</v>
      </c>
      <c r="N50" s="5" t="str">
        <f>IF($M50="","",IFERROR(IF(VLOOKUP($M50,'Casos y evidencias'!$A$6:$O$83,5,FALSE)="","",VLOOKUP($M50,'Casos y evidencias'!$A$6:$O$83,5,FALSE)),"ID no encontrado"))</f>
        <v>Notificación solo a destinatarios autorizados</v>
      </c>
      <c r="O50" s="5" t="str">
        <f>IF($M50="","",IFERROR(IF(VLOOKUP($M50,'Casos y evidencias'!$A$6:$O$83,10,FALSE)="","",VLOOKUP($M50,'Casos y evidencias'!$A$6:$O$83,10,FALSE)),"ID no encontrado"))</f>
        <v>No ejecutado</v>
      </c>
      <c r="P50" s="7" t="str">
        <f>IF($M50="","",IFERROR(IF(VLOOKUP($M50,'Casos y evidencias'!$A$6:$O$83,11,FALSE)="","",VLOOKUP($M50,'Casos y evidencias'!$A$6:$O$83,11,FALSE)),"ID no encontrado"))</f>
        <v/>
      </c>
      <c r="Q50" s="5" t="str">
        <f>IF($M50="","",IFERROR(IF(VLOOKUP($M50,'Casos y evidencias'!$A$6:$O$83,12,FALSE)="","",VLOOKUP($M50,'Casos y evidencias'!$A$6:$O$83,12,FALSE)),"ID no encontrado"))</f>
        <v/>
      </c>
      <c r="R50" s="4"/>
    </row>
    <row r="51" spans="1:18" ht="89.1" customHeight="1">
      <c r="A51" s="6">
        <v>44</v>
      </c>
      <c r="B51" s="5" t="str">
        <f>IF($G51="","",IF($K51="","Falta criterio",IFERROR(IF(VLOOKUP($K51,'Historias y criterios'!$A$6:$P$83,3,FALSE)&lt;&gt;$G51,"Revisar relación requisito-criterio",IF($M51="","Falta caso de prueba",IF(VLOOKUP($M51,'Casos y evidencias'!$A$6:$O$83,2,FALSE)&lt;&gt;$K51,"Revisar relación criterio-caso",IF($O51="Aprobado",IF($P51="","Falta evidencia","Trazabilidad completa"),IF($O51="Fallido","Prueba fallida",IF($O51="Bloqueado","Prueba bloqueada","Prueba pendiente")))))),"ID no encontrado")))</f>
        <v>Prueba pendiente</v>
      </c>
      <c r="C51" s="7" t="str">
        <f>IF($G51="","",IFERROR(IF(VLOOKUP($G51,Requerimientos!$A$6:$M$43,2,FALSE)="","",VLOOKUP($G51,Requerimientos!$A$6:$M$43,2,FALSE)),"ID no encontrado"))</f>
        <v>OBJ-004</v>
      </c>
      <c r="D51" s="5" t="str">
        <f>IF($C51="","",IFERROR(IF(VLOOKUP($C51,'Objetivos y procesos'!$A$6:$H$35,2,FALSE)="","",VLOOKUP($C51,'Objetivos y procesos'!$A$6:$H$35,2,FALSE)),"ID no encontrado"))</f>
        <v>Entregar avisos oportunos y una trazabilidad común para todos los procesos incorporados.</v>
      </c>
      <c r="E51" s="7" t="str">
        <f>IF($G51="","",IFERROR(IF(VLOOKUP($G51,Requerimientos!$A$6:$M$43,3,FALSE)="","",VLOOKUP($G51,Requerimientos!$A$6:$M$43,3,FALSE)),"ID no encontrado"))</f>
        <v>PR-04</v>
      </c>
      <c r="F51" s="5" t="str">
        <f>IF($E51="","",IFERROR(IF(INDEX('Objetivos y procesos'!$D$6:$D$35,MATCH($E51,'Objetivos y procesos'!$C$6:$C$35,0))="","",IF(INDEX('Objetivos y procesos'!$D$6:$D$35,MATCH($E51,'Objetivos y procesos'!$C$6:$C$35,0))=INDEX('Objetivos y procesos'!$E$6:$E$35,MATCH($E51,'Objetivos y procesos'!$C$6:$C$35,0)),INDEX('Objetivos y procesos'!$D$6:$D$35,MATCH($E51,'Objetivos y procesos'!$C$6:$C$35,0)),INDEX('Objetivos y procesos'!$D$6:$D$35,MATCH($E51,'Objetivos y procesos'!$C$6:$C$35,0))&amp;IF(INDEX('Objetivos y procesos'!$E$6:$E$35,MATCH($E51,'Objetivos y procesos'!$C$6:$C$35,0))="",""," / "&amp;INDEX('Objetivos y procesos'!$E$6:$E$35,MATCH($E51,'Objetivos y procesos'!$C$6:$C$35,0))))),"ID no encontrado"))</f>
        <v>Notificaciones y trazabilidad</v>
      </c>
      <c r="G51" s="8" t="s">
        <v>133</v>
      </c>
      <c r="H51" s="5" t="str">
        <f>IF($G51="","",IFERROR(IF(VLOOKUP($G51,Requerimientos!$A$6:$M$43,7,FALSE)="","",VLOOKUP($G51,Requerimientos!$A$6:$M$43,7,FALSE)),"ID no encontrado"))</f>
        <v>El sistema debe notificar dentro de la plataforma a los autorizadores del grupo correspondiente cuando un proceso requiera su acción, y generar recordatorios automáticos de las solicitudes que llevan más de una hora pendientes.</v>
      </c>
      <c r="I51" s="7" t="str">
        <f>IF($K51="","",IFERROR(IF(VLOOKUP($K51,'Historias y criterios'!$A$6:$P$83,2,FALSE)="","",VLOOKUP($K51,'Historias y criterios'!$A$6:$P$83,2,FALSE)),"ID no encontrado"))</f>
        <v>HU-012</v>
      </c>
      <c r="J51" s="5" t="str">
        <f>IF($K51="","",IFERROR(IF(VLOOKUP($K51,'Historias y criterios'!$A$6:$P$83,10,FALSE)="","",VLOOKUP($K51,'Historias y criterios'!$A$6:$P$83,10,FALSE)),"ID no encontrado"))</f>
        <v>Como autorizador, quiero recibir avisos de los procesos pendientes y recordatorios cuando superen una hora, para atender oportunamente las decisiones que me corresponden</v>
      </c>
      <c r="K51" s="8" t="s">
        <v>136</v>
      </c>
      <c r="L51" s="5" t="str">
        <f>IF($K51="","",IFERROR(IF(VLOOKUP($K51,'Historias y criterios'!$A$6:$P$83,11,FALSE)="","",VLOOKUP($K51,'Historias y criterios'!$A$6:$P$83,11,FALSE)),"ID no encontrado"))</f>
        <v>La notificación identifica categoría, emisor, nivel y enlace al proceso.</v>
      </c>
      <c r="M51" s="8" t="s">
        <v>137</v>
      </c>
      <c r="N51" s="5" t="str">
        <f>IF($M51="","",IFERROR(IF(VLOOKUP($M51,'Casos y evidencias'!$A$6:$O$83,5,FALSE)="","",VLOOKUP($M51,'Casos y evidencias'!$A$6:$O$83,5,FALSE)),"ID no encontrado"))</f>
        <v>Contenido de la notificación</v>
      </c>
      <c r="O51" s="5" t="str">
        <f>IF($M51="","",IFERROR(IF(VLOOKUP($M51,'Casos y evidencias'!$A$6:$O$83,10,FALSE)="","",VLOOKUP($M51,'Casos y evidencias'!$A$6:$O$83,10,FALSE)),"ID no encontrado"))</f>
        <v>No ejecutado</v>
      </c>
      <c r="P51" s="7" t="str">
        <f>IF($M51="","",IFERROR(IF(VLOOKUP($M51,'Casos y evidencias'!$A$6:$O$83,11,FALSE)="","",VLOOKUP($M51,'Casos y evidencias'!$A$6:$O$83,11,FALSE)),"ID no encontrado"))</f>
        <v/>
      </c>
      <c r="Q51" s="5" t="str">
        <f>IF($M51="","",IFERROR(IF(VLOOKUP($M51,'Casos y evidencias'!$A$6:$O$83,12,FALSE)="","",VLOOKUP($M51,'Casos y evidencias'!$A$6:$O$83,12,FALSE)),"ID no encontrado"))</f>
        <v/>
      </c>
      <c r="R51" s="4"/>
    </row>
    <row r="52" spans="1:18" ht="89.1" customHeight="1">
      <c r="A52" s="6">
        <v>45</v>
      </c>
      <c r="B52" s="5" t="str">
        <f>IF($G52="","",IF($K52="","Falta criterio",IFERROR(IF(VLOOKUP($K52,'Historias y criterios'!$A$6:$P$83,3,FALSE)&lt;&gt;$G52,"Revisar relación requisito-criterio",IF($M52="","Falta caso de prueba",IF(VLOOKUP($M52,'Casos y evidencias'!$A$6:$O$83,2,FALSE)&lt;&gt;$K52,"Revisar relación criterio-caso",IF($O52="Aprobado",IF($P52="","Falta evidencia","Trazabilidad completa"),IF($O52="Fallido","Prueba fallida",IF($O52="Bloqueado","Prueba bloqueada","Prueba pendiente")))))),"ID no encontrado")))</f>
        <v>Prueba pendiente</v>
      </c>
      <c r="C52" s="7" t="str">
        <f>IF($G52="","",IFERROR(IF(VLOOKUP($G52,Requerimientos!$A$6:$M$43,2,FALSE)="","",VLOOKUP($G52,Requerimientos!$A$6:$M$43,2,FALSE)),"ID no encontrado"))</f>
        <v>OBJ-004</v>
      </c>
      <c r="D52" s="5" t="str">
        <f>IF($C52="","",IFERROR(IF(VLOOKUP($C52,'Objetivos y procesos'!$A$6:$H$35,2,FALSE)="","",VLOOKUP($C52,'Objetivos y procesos'!$A$6:$H$35,2,FALSE)),"ID no encontrado"))</f>
        <v>Entregar avisos oportunos y una trazabilidad común para todos los procesos incorporados.</v>
      </c>
      <c r="E52" s="7" t="str">
        <f>IF($G52="","",IFERROR(IF(VLOOKUP($G52,Requerimientos!$A$6:$M$43,3,FALSE)="","",VLOOKUP($G52,Requerimientos!$A$6:$M$43,3,FALSE)),"ID no encontrado"))</f>
        <v>PR-04</v>
      </c>
      <c r="F52" s="5" t="str">
        <f>IF($E52="","",IFERROR(IF(INDEX('Objetivos y procesos'!$D$6:$D$35,MATCH($E52,'Objetivos y procesos'!$C$6:$C$35,0))="","",IF(INDEX('Objetivos y procesos'!$D$6:$D$35,MATCH($E52,'Objetivos y procesos'!$C$6:$C$35,0))=INDEX('Objetivos y procesos'!$E$6:$E$35,MATCH($E52,'Objetivos y procesos'!$C$6:$C$35,0)),INDEX('Objetivos y procesos'!$D$6:$D$35,MATCH($E52,'Objetivos y procesos'!$C$6:$C$35,0)),INDEX('Objetivos y procesos'!$D$6:$D$35,MATCH($E52,'Objetivos y procesos'!$C$6:$C$35,0))&amp;IF(INDEX('Objetivos y procesos'!$E$6:$E$35,MATCH($E52,'Objetivos y procesos'!$C$6:$C$35,0))="",""," / "&amp;INDEX('Objetivos y procesos'!$E$6:$E$35,MATCH($E52,'Objetivos y procesos'!$C$6:$C$35,0))))),"ID no encontrado"))</f>
        <v>Notificaciones y trazabilidad</v>
      </c>
      <c r="G52" s="8" t="s">
        <v>133</v>
      </c>
      <c r="H52" s="5" t="str">
        <f>IF($G52="","",IFERROR(IF(VLOOKUP($G52,Requerimientos!$A$6:$M$43,7,FALSE)="","",VLOOKUP($G52,Requerimientos!$A$6:$M$43,7,FALSE)),"ID no encontrado"))</f>
        <v>El sistema debe notificar dentro de la plataforma a los autorizadores del grupo correspondiente cuando un proceso requiera su acción, y generar recordatorios automáticos de las solicitudes que llevan más de una hora pendientes.</v>
      </c>
      <c r="I52" s="7" t="str">
        <f>IF($K52="","",IFERROR(IF(VLOOKUP($K52,'Historias y criterios'!$A$6:$P$83,2,FALSE)="","",VLOOKUP($K52,'Historias y criterios'!$A$6:$P$83,2,FALSE)),"ID no encontrado"))</f>
        <v>HU-012</v>
      </c>
      <c r="J52" s="5" t="str">
        <f>IF($K52="","",IFERROR(IF(VLOOKUP($K52,'Historias y criterios'!$A$6:$P$83,10,FALSE)="","",VLOOKUP($K52,'Historias y criterios'!$A$6:$P$83,10,FALSE)),"ID no encontrado"))</f>
        <v>Como autorizador, quiero recibir avisos de los procesos pendientes y recordatorios cuando superen una hora, para atender oportunamente las decisiones que me corresponden</v>
      </c>
      <c r="K52" s="8" t="s">
        <v>138</v>
      </c>
      <c r="L52" s="5" t="str">
        <f>IF($K52="","",IFERROR(IF(VLOOKUP($K52,'Historias y criterios'!$A$6:$P$83,11,FALSE)="","",VLOOKUP($K52,'Historias y criterios'!$A$6:$P$83,11,FALSE)),"ID no encontrado"))</f>
        <v>Después de una hora pendiente se genera un recordatorio automático.</v>
      </c>
      <c r="M52" s="8" t="s">
        <v>139</v>
      </c>
      <c r="N52" s="5" t="str">
        <f>IF($M52="","",IFERROR(IF(VLOOKUP($M52,'Casos y evidencias'!$A$6:$O$83,5,FALSE)="","",VLOOKUP($M52,'Casos y evidencias'!$A$6:$O$83,5,FALSE)),"ID no encontrado"))</f>
        <v>Recordatorio automático tras una hora</v>
      </c>
      <c r="O52" s="5" t="str">
        <f>IF($M52="","",IFERROR(IF(VLOOKUP($M52,'Casos y evidencias'!$A$6:$O$83,10,FALSE)="","",VLOOKUP($M52,'Casos y evidencias'!$A$6:$O$83,10,FALSE)),"ID no encontrado"))</f>
        <v>No ejecutado</v>
      </c>
      <c r="P52" s="7" t="str">
        <f>IF($M52="","",IFERROR(IF(VLOOKUP($M52,'Casos y evidencias'!$A$6:$O$83,11,FALSE)="","",VLOOKUP($M52,'Casos y evidencias'!$A$6:$O$83,11,FALSE)),"ID no encontrado"))</f>
        <v/>
      </c>
      <c r="Q52" s="5" t="str">
        <f>IF($M52="","",IFERROR(IF(VLOOKUP($M52,'Casos y evidencias'!$A$6:$O$83,12,FALSE)="","",VLOOKUP($M52,'Casos y evidencias'!$A$6:$O$83,12,FALSE)),"ID no encontrado"))</f>
        <v/>
      </c>
      <c r="R52" s="4"/>
    </row>
    <row r="53" spans="1:18" ht="89.1" customHeight="1">
      <c r="A53" s="6">
        <v>46</v>
      </c>
      <c r="B53" s="5" t="str">
        <f>IF($G53="","",IF($K53="","Falta criterio",IFERROR(IF(VLOOKUP($K53,'Historias y criterios'!$A$6:$P$83,3,FALSE)&lt;&gt;$G53,"Revisar relación requisito-criterio",IF($M53="","Falta caso de prueba",IF(VLOOKUP($M53,'Casos y evidencias'!$A$6:$O$83,2,FALSE)&lt;&gt;$K53,"Revisar relación criterio-caso",IF($O53="Aprobado",IF($P53="","Falta evidencia","Trazabilidad completa"),IF($O53="Fallido","Prueba fallida",IF($O53="Bloqueado","Prueba bloqueada","Prueba pendiente")))))),"ID no encontrado")))</f>
        <v>Prueba pendiente</v>
      </c>
      <c r="C53" s="7" t="str">
        <f>IF($G53="","",IFERROR(IF(VLOOKUP($G53,Requerimientos!$A$6:$M$43,2,FALSE)="","",VLOOKUP($G53,Requerimientos!$A$6:$M$43,2,FALSE)),"ID no encontrado"))</f>
        <v>OBJ-004</v>
      </c>
      <c r="D53" s="5" t="str">
        <f>IF($C53="","",IFERROR(IF(VLOOKUP($C53,'Objetivos y procesos'!$A$6:$H$35,2,FALSE)="","",VLOOKUP($C53,'Objetivos y procesos'!$A$6:$H$35,2,FALSE)),"ID no encontrado"))</f>
        <v>Entregar avisos oportunos y una trazabilidad común para todos los procesos incorporados.</v>
      </c>
      <c r="E53" s="7" t="str">
        <f>IF($G53="","",IFERROR(IF(VLOOKUP($G53,Requerimientos!$A$6:$M$43,3,FALSE)="","",VLOOKUP($G53,Requerimientos!$A$6:$M$43,3,FALSE)),"ID no encontrado"))</f>
        <v>PR-04</v>
      </c>
      <c r="F53" s="5" t="str">
        <f>IF($E53="","",IFERROR(IF(INDEX('Objetivos y procesos'!$D$6:$D$35,MATCH($E53,'Objetivos y procesos'!$C$6:$C$35,0))="","",IF(INDEX('Objetivos y procesos'!$D$6:$D$35,MATCH($E53,'Objetivos y procesos'!$C$6:$C$35,0))=INDEX('Objetivos y procesos'!$E$6:$E$35,MATCH($E53,'Objetivos y procesos'!$C$6:$C$35,0)),INDEX('Objetivos y procesos'!$D$6:$D$35,MATCH($E53,'Objetivos y procesos'!$C$6:$C$35,0)),INDEX('Objetivos y procesos'!$D$6:$D$35,MATCH($E53,'Objetivos y procesos'!$C$6:$C$35,0))&amp;IF(INDEX('Objetivos y procesos'!$E$6:$E$35,MATCH($E53,'Objetivos y procesos'!$C$6:$C$35,0))="",""," / "&amp;INDEX('Objetivos y procesos'!$E$6:$E$35,MATCH($E53,'Objetivos y procesos'!$C$6:$C$35,0))))),"ID no encontrado"))</f>
        <v>Notificaciones y trazabilidad</v>
      </c>
      <c r="G53" s="8" t="s">
        <v>133</v>
      </c>
      <c r="H53" s="5" t="str">
        <f>IF($G53="","",IFERROR(IF(VLOOKUP($G53,Requerimientos!$A$6:$M$43,7,FALSE)="","",VLOOKUP($G53,Requerimientos!$A$6:$M$43,7,FALSE)),"ID no encontrado"))</f>
        <v>El sistema debe notificar dentro de la plataforma a los autorizadores del grupo correspondiente cuando un proceso requiera su acción, y generar recordatorios automáticos de las solicitudes que llevan más de una hora pendientes.</v>
      </c>
      <c r="I53" s="7" t="str">
        <f>IF($K53="","",IFERROR(IF(VLOOKUP($K53,'Historias y criterios'!$A$6:$P$83,2,FALSE)="","",VLOOKUP($K53,'Historias y criterios'!$A$6:$P$83,2,FALSE)),"ID no encontrado"))</f>
        <v>HU-012</v>
      </c>
      <c r="J53" s="5" t="str">
        <f>IF($K53="","",IFERROR(IF(VLOOKUP($K53,'Historias y criterios'!$A$6:$P$83,10,FALSE)="","",VLOOKUP($K53,'Historias y criterios'!$A$6:$P$83,10,FALSE)),"ID no encontrado"))</f>
        <v>Como autorizador, quiero recibir avisos de los procesos pendientes y recordatorios cuando superen una hora, para atender oportunamente las decisiones que me corresponden</v>
      </c>
      <c r="K53" s="8" t="s">
        <v>140</v>
      </c>
      <c r="L53" s="5" t="str">
        <f>IF($K53="","",IFERROR(IF(VLOOKUP($K53,'Historias y criterios'!$A$6:$P$83,11,FALSE)="","",VLOOKUP($K53,'Historias y criterios'!$A$6:$P$83,11,FALSE)),"ID no encontrado"))</f>
        <v>El usuario no puede ver notificaciones ajenas.</v>
      </c>
      <c r="M53" s="8" t="s">
        <v>141</v>
      </c>
      <c r="N53" s="5" t="str">
        <f>IF($M53="","",IFERROR(IF(VLOOKUP($M53,'Casos y evidencias'!$A$6:$O$83,5,FALSE)="","",VLOOKUP($M53,'Casos y evidencias'!$A$6:$O$83,5,FALSE)),"ID no encontrado"))</f>
        <v>Privacidad de las notificaciones</v>
      </c>
      <c r="O53" s="5" t="str">
        <f>IF($M53="","",IFERROR(IF(VLOOKUP($M53,'Casos y evidencias'!$A$6:$O$83,10,FALSE)="","",VLOOKUP($M53,'Casos y evidencias'!$A$6:$O$83,10,FALSE)),"ID no encontrado"))</f>
        <v>No ejecutado</v>
      </c>
      <c r="P53" s="7" t="str">
        <f>IF($M53="","",IFERROR(IF(VLOOKUP($M53,'Casos y evidencias'!$A$6:$O$83,11,FALSE)="","",VLOOKUP($M53,'Casos y evidencias'!$A$6:$O$83,11,FALSE)),"ID no encontrado"))</f>
        <v/>
      </c>
      <c r="Q53" s="5" t="str">
        <f>IF($M53="","",IFERROR(IF(VLOOKUP($M53,'Casos y evidencias'!$A$6:$O$83,12,FALSE)="","",VLOOKUP($M53,'Casos y evidencias'!$A$6:$O$83,12,FALSE)),"ID no encontrado"))</f>
        <v/>
      </c>
      <c r="R53" s="4"/>
    </row>
    <row r="54" spans="1:18" ht="75.599999999999994" customHeight="1">
      <c r="A54" s="6">
        <v>47</v>
      </c>
      <c r="B54" s="5" t="str">
        <f>IF($G54="","",IF($K54="","Falta criterio",IFERROR(IF(VLOOKUP($K54,'Historias y criterios'!$A$6:$P$83,3,FALSE)&lt;&gt;$G54,"Revisar relación requisito-criterio",IF($M54="","Falta caso de prueba",IF(VLOOKUP($M54,'Casos y evidencias'!$A$6:$O$83,2,FALSE)&lt;&gt;$K54,"Revisar relación criterio-caso",IF($O54="Aprobado",IF($P54="","Falta evidencia","Trazabilidad completa"),IF($O54="Fallido","Prueba fallida",IF($O54="Bloqueado","Prueba bloqueada","Prueba pendiente")))))),"ID no encontrado")))</f>
        <v>Prueba pendiente</v>
      </c>
      <c r="C54" s="7" t="str">
        <f>IF($G54="","",IFERROR(IF(VLOOKUP($G54,Requerimientos!$A$6:$M$43,2,FALSE)="","",VLOOKUP($G54,Requerimientos!$A$6:$M$43,2,FALSE)),"ID no encontrado"))</f>
        <v>OBJ-004</v>
      </c>
      <c r="D54" s="5" t="str">
        <f>IF($C54="","",IFERROR(IF(VLOOKUP($C54,'Objetivos y procesos'!$A$6:$H$35,2,FALSE)="","",VLOOKUP($C54,'Objetivos y procesos'!$A$6:$H$35,2,FALSE)),"ID no encontrado"))</f>
        <v>Entregar avisos oportunos y una trazabilidad común para todos los procesos incorporados.</v>
      </c>
      <c r="E54" s="7" t="str">
        <f>IF($G54="","",IFERROR(IF(VLOOKUP($G54,Requerimientos!$A$6:$M$43,3,FALSE)="","",VLOOKUP($G54,Requerimientos!$A$6:$M$43,3,FALSE)),"ID no encontrado"))</f>
        <v>PR-04</v>
      </c>
      <c r="F54" s="5" t="str">
        <f>IF($E54="","",IFERROR(IF(INDEX('Objetivos y procesos'!$D$6:$D$35,MATCH($E54,'Objetivos y procesos'!$C$6:$C$35,0))="","",IF(INDEX('Objetivos y procesos'!$D$6:$D$35,MATCH($E54,'Objetivos y procesos'!$C$6:$C$35,0))=INDEX('Objetivos y procesos'!$E$6:$E$35,MATCH($E54,'Objetivos y procesos'!$C$6:$C$35,0)),INDEX('Objetivos y procesos'!$D$6:$D$35,MATCH($E54,'Objetivos y procesos'!$C$6:$C$35,0)),INDEX('Objetivos y procesos'!$D$6:$D$35,MATCH($E54,'Objetivos y procesos'!$C$6:$C$35,0))&amp;IF(INDEX('Objetivos y procesos'!$E$6:$E$35,MATCH($E54,'Objetivos y procesos'!$C$6:$C$35,0))="",""," / "&amp;INDEX('Objetivos y procesos'!$E$6:$E$35,MATCH($E54,'Objetivos y procesos'!$C$6:$C$35,0))))),"ID no encontrado"))</f>
        <v>Notificaciones y trazabilidad</v>
      </c>
      <c r="G54" s="8" t="s">
        <v>142</v>
      </c>
      <c r="H54" s="5" t="str">
        <f>IF($G54="","",IFERROR(IF(VLOOKUP($G54,Requerimientos!$A$6:$M$43,7,FALSE)="","",VLOOKUP($G54,Requerimientos!$A$6:$M$43,7,FALSE)),"ID no encontrado"))</f>
        <v>El sistema debe notificar al solicitante las aprobaciones, rechazos, observaciones y cambios de estado de su proceso.</v>
      </c>
      <c r="I54" s="7" t="str">
        <f>IF($K54="","",IFERROR(IF(VLOOKUP($K54,'Historias y criterios'!$A$6:$P$83,2,FALSE)="","",VLOOKUP($K54,'Historias y criterios'!$A$6:$P$83,2,FALSE)),"ID no encontrado"))</f>
        <v>HU-013</v>
      </c>
      <c r="J54" s="5" t="str">
        <f>IF($K54="","",IFERROR(IF(VLOOKUP($K54,'Historias y criterios'!$A$6:$P$83,10,FALSE)="","",VLOOKUP($K54,'Historias y criterios'!$A$6:$P$83,10,FALSE)),"ID no encontrado"))</f>
        <v>Como participante de un proceso, quiero recibir y administrar notificaciones de aprobaciones, rechazos, observaciones y cambios de estado, para saber cuándo debo actuar y acceder directamente al proceso</v>
      </c>
      <c r="K54" s="8" t="s">
        <v>143</v>
      </c>
      <c r="L54" s="5" t="str">
        <f>IF($K54="","",IFERROR(IF(VLOOKUP($K54,'Historias y criterios'!$A$6:$P$83,11,FALSE)="","",VLOOKUP($K54,'Historias y criterios'!$A$6:$P$83,11,FALSE)),"ID no encontrado"))</f>
        <v>Cada cambio relevante genera una notificación al participante correspondiente.</v>
      </c>
      <c r="M54" s="8" t="s">
        <v>144</v>
      </c>
      <c r="N54" s="5" t="str">
        <f>IF($M54="","",IFERROR(IF(VLOOKUP($M54,'Casos y evidencias'!$A$6:$O$83,5,FALSE)="","",VLOOKUP($M54,'Casos y evidencias'!$A$6:$O$83,5,FALSE)),"ID no encontrado"))</f>
        <v>Aviso al participante ante cambios</v>
      </c>
      <c r="O54" s="5" t="str">
        <f>IF($M54="","",IFERROR(IF(VLOOKUP($M54,'Casos y evidencias'!$A$6:$O$83,10,FALSE)="","",VLOOKUP($M54,'Casos y evidencias'!$A$6:$O$83,10,FALSE)),"ID no encontrado"))</f>
        <v>No ejecutado</v>
      </c>
      <c r="P54" s="7" t="str">
        <f>IF($M54="","",IFERROR(IF(VLOOKUP($M54,'Casos y evidencias'!$A$6:$O$83,11,FALSE)="","",VLOOKUP($M54,'Casos y evidencias'!$A$6:$O$83,11,FALSE)),"ID no encontrado"))</f>
        <v/>
      </c>
      <c r="Q54" s="5" t="str">
        <f>IF($M54="","",IFERROR(IF(VLOOKUP($M54,'Casos y evidencias'!$A$6:$O$83,12,FALSE)="","",VLOOKUP($M54,'Casos y evidencias'!$A$6:$O$83,12,FALSE)),"ID no encontrado"))</f>
        <v/>
      </c>
      <c r="R54" s="4"/>
    </row>
    <row r="55" spans="1:18" ht="75.599999999999994" customHeight="1">
      <c r="A55" s="6">
        <v>48</v>
      </c>
      <c r="B55" s="5" t="str">
        <f>IF($G55="","",IF($K55="","Falta criterio",IFERROR(IF(VLOOKUP($K55,'Historias y criterios'!$A$6:$P$83,3,FALSE)&lt;&gt;$G55,"Revisar relación requisito-criterio",IF($M55="","Falta caso de prueba",IF(VLOOKUP($M55,'Casos y evidencias'!$A$6:$O$83,2,FALSE)&lt;&gt;$K55,"Revisar relación criterio-caso",IF($O55="Aprobado",IF($P55="","Falta evidencia","Trazabilidad completa"),IF($O55="Fallido","Prueba fallida",IF($O55="Bloqueado","Prueba bloqueada","Prueba pendiente")))))),"ID no encontrado")))</f>
        <v>Prueba pendiente</v>
      </c>
      <c r="C55" s="7" t="str">
        <f>IF($G55="","",IFERROR(IF(VLOOKUP($G55,Requerimientos!$A$6:$M$43,2,FALSE)="","",VLOOKUP($G55,Requerimientos!$A$6:$M$43,2,FALSE)),"ID no encontrado"))</f>
        <v>OBJ-004</v>
      </c>
      <c r="D55" s="5" t="str">
        <f>IF($C55="","",IFERROR(IF(VLOOKUP($C55,'Objetivos y procesos'!$A$6:$H$35,2,FALSE)="","",VLOOKUP($C55,'Objetivos y procesos'!$A$6:$H$35,2,FALSE)),"ID no encontrado"))</f>
        <v>Entregar avisos oportunos y una trazabilidad común para todos los procesos incorporados.</v>
      </c>
      <c r="E55" s="7" t="str">
        <f>IF($G55="","",IFERROR(IF(VLOOKUP($G55,Requerimientos!$A$6:$M$43,3,FALSE)="","",VLOOKUP($G55,Requerimientos!$A$6:$M$43,3,FALSE)),"ID no encontrado"))</f>
        <v>PR-04</v>
      </c>
      <c r="F55" s="5" t="str">
        <f>IF($E55="","",IFERROR(IF(INDEX('Objetivos y procesos'!$D$6:$D$35,MATCH($E55,'Objetivos y procesos'!$C$6:$C$35,0))="","",IF(INDEX('Objetivos y procesos'!$D$6:$D$35,MATCH($E55,'Objetivos y procesos'!$C$6:$C$35,0))=INDEX('Objetivos y procesos'!$E$6:$E$35,MATCH($E55,'Objetivos y procesos'!$C$6:$C$35,0)),INDEX('Objetivos y procesos'!$D$6:$D$35,MATCH($E55,'Objetivos y procesos'!$C$6:$C$35,0)),INDEX('Objetivos y procesos'!$D$6:$D$35,MATCH($E55,'Objetivos y procesos'!$C$6:$C$35,0))&amp;IF(INDEX('Objetivos y procesos'!$E$6:$E$35,MATCH($E55,'Objetivos y procesos'!$C$6:$C$35,0))="",""," / "&amp;INDEX('Objetivos y procesos'!$E$6:$E$35,MATCH($E55,'Objetivos y procesos'!$C$6:$C$35,0))))),"ID no encontrado"))</f>
        <v>Notificaciones y trazabilidad</v>
      </c>
      <c r="G55" s="8" t="s">
        <v>142</v>
      </c>
      <c r="H55" s="5" t="str">
        <f>IF($G55="","",IFERROR(IF(VLOOKUP($G55,Requerimientos!$A$6:$M$43,7,FALSE)="","",VLOOKUP($G55,Requerimientos!$A$6:$M$43,7,FALSE)),"ID no encontrado"))</f>
        <v>El sistema debe notificar al solicitante las aprobaciones, rechazos, observaciones y cambios de estado de su proceso.</v>
      </c>
      <c r="I55" s="7" t="str">
        <f>IF($K55="","",IFERROR(IF(VLOOKUP($K55,'Historias y criterios'!$A$6:$P$83,2,FALSE)="","",VLOOKUP($K55,'Historias y criterios'!$A$6:$P$83,2,FALSE)),"ID no encontrado"))</f>
        <v>HU-013</v>
      </c>
      <c r="J55" s="5" t="str">
        <f>IF($K55="","",IFERROR(IF(VLOOKUP($K55,'Historias y criterios'!$A$6:$P$83,10,FALSE)="","",VLOOKUP($K55,'Historias y criterios'!$A$6:$P$83,10,FALSE)),"ID no encontrado"))</f>
        <v>Como participante de un proceso, quiero recibir y administrar notificaciones de aprobaciones, rechazos, observaciones y cambios de estado, para saber cuándo debo actuar y acceder directamente al proceso</v>
      </c>
      <c r="K55" s="8" t="s">
        <v>145</v>
      </c>
      <c r="L55" s="5" t="str">
        <f>IF($K55="","",IFERROR(IF(VLOOKUP($K55,'Historias y criterios'!$A$6:$P$83,11,FALSE)="","",VLOOKUP($K55,'Historias y criterios'!$A$6:$P$83,11,FALSE)),"ID no encontrado"))</f>
        <v>Las campanas diferencian avisos generales y autorizaciones de órdenes de venta.</v>
      </c>
      <c r="M55" s="8" t="s">
        <v>146</v>
      </c>
      <c r="N55" s="5" t="str">
        <f>IF($M55="","",IFERROR(IF(VLOOKUP($M55,'Casos y evidencias'!$A$6:$O$83,5,FALSE)="","",VLOOKUP($M55,'Casos y evidencias'!$A$6:$O$83,5,FALSE)),"ID no encontrado"))</f>
        <v>Diferenciación de campanas</v>
      </c>
      <c r="O55" s="5" t="str">
        <f>IF($M55="","",IFERROR(IF(VLOOKUP($M55,'Casos y evidencias'!$A$6:$O$83,10,FALSE)="","",VLOOKUP($M55,'Casos y evidencias'!$A$6:$O$83,10,FALSE)),"ID no encontrado"))</f>
        <v>No ejecutado</v>
      </c>
      <c r="P55" s="7" t="str">
        <f>IF($M55="","",IFERROR(IF(VLOOKUP($M55,'Casos y evidencias'!$A$6:$O$83,11,FALSE)="","",VLOOKUP($M55,'Casos y evidencias'!$A$6:$O$83,11,FALSE)),"ID no encontrado"))</f>
        <v/>
      </c>
      <c r="Q55" s="5" t="str">
        <f>IF($M55="","",IFERROR(IF(VLOOKUP($M55,'Casos y evidencias'!$A$6:$O$83,12,FALSE)="","",VLOOKUP($M55,'Casos y evidencias'!$A$6:$O$83,12,FALSE)),"ID no encontrado"))</f>
        <v/>
      </c>
      <c r="R55" s="4"/>
    </row>
    <row r="56" spans="1:18" ht="75.599999999999994" customHeight="1">
      <c r="A56" s="6">
        <v>49</v>
      </c>
      <c r="B56" s="5" t="str">
        <f>IF($G56="","",IF($K56="","Falta criterio",IFERROR(IF(VLOOKUP($K56,'Historias y criterios'!$A$6:$P$83,3,FALSE)&lt;&gt;$G56,"Revisar relación requisito-criterio",IF($M56="","Falta caso de prueba",IF(VLOOKUP($M56,'Casos y evidencias'!$A$6:$O$83,2,FALSE)&lt;&gt;$K56,"Revisar relación criterio-caso",IF($O56="Aprobado",IF($P56="","Falta evidencia","Trazabilidad completa"),IF($O56="Fallido","Prueba fallida",IF($O56="Bloqueado","Prueba bloqueada","Prueba pendiente")))))),"ID no encontrado")))</f>
        <v>Prueba pendiente</v>
      </c>
      <c r="C56" s="7" t="str">
        <f>IF($G56="","",IFERROR(IF(VLOOKUP($G56,Requerimientos!$A$6:$M$43,2,FALSE)="","",VLOOKUP($G56,Requerimientos!$A$6:$M$43,2,FALSE)),"ID no encontrado"))</f>
        <v>OBJ-004</v>
      </c>
      <c r="D56" s="5" t="str">
        <f>IF($C56="","",IFERROR(IF(VLOOKUP($C56,'Objetivos y procesos'!$A$6:$H$35,2,FALSE)="","",VLOOKUP($C56,'Objetivos y procesos'!$A$6:$H$35,2,FALSE)),"ID no encontrado"))</f>
        <v>Entregar avisos oportunos y una trazabilidad común para todos los procesos incorporados.</v>
      </c>
      <c r="E56" s="7" t="str">
        <f>IF($G56="","",IFERROR(IF(VLOOKUP($G56,Requerimientos!$A$6:$M$43,3,FALSE)="","",VLOOKUP($G56,Requerimientos!$A$6:$M$43,3,FALSE)),"ID no encontrado"))</f>
        <v>PR-04</v>
      </c>
      <c r="F56" s="5" t="str">
        <f>IF($E56="","",IFERROR(IF(INDEX('Objetivos y procesos'!$D$6:$D$35,MATCH($E56,'Objetivos y procesos'!$C$6:$C$35,0))="","",IF(INDEX('Objetivos y procesos'!$D$6:$D$35,MATCH($E56,'Objetivos y procesos'!$C$6:$C$35,0))=INDEX('Objetivos y procesos'!$E$6:$E$35,MATCH($E56,'Objetivos y procesos'!$C$6:$C$35,0)),INDEX('Objetivos y procesos'!$D$6:$D$35,MATCH($E56,'Objetivos y procesos'!$C$6:$C$35,0)),INDEX('Objetivos y procesos'!$D$6:$D$35,MATCH($E56,'Objetivos y procesos'!$C$6:$C$35,0))&amp;IF(INDEX('Objetivos y procesos'!$E$6:$E$35,MATCH($E56,'Objetivos y procesos'!$C$6:$C$35,0))="",""," / "&amp;INDEX('Objetivos y procesos'!$E$6:$E$35,MATCH($E56,'Objetivos y procesos'!$C$6:$C$35,0))))),"ID no encontrado"))</f>
        <v>Notificaciones y trazabilidad</v>
      </c>
      <c r="G56" s="8" t="s">
        <v>142</v>
      </c>
      <c r="H56" s="5" t="str">
        <f>IF($G56="","",IFERROR(IF(VLOOKUP($G56,Requerimientos!$A$6:$M$43,7,FALSE)="","",VLOOKUP($G56,Requerimientos!$A$6:$M$43,7,FALSE)),"ID no encontrado"))</f>
        <v>El sistema debe notificar al solicitante las aprobaciones, rechazos, observaciones y cambios de estado de su proceso.</v>
      </c>
      <c r="I56" s="7" t="str">
        <f>IF($K56="","",IFERROR(IF(VLOOKUP($K56,'Historias y criterios'!$A$6:$P$83,2,FALSE)="","",VLOOKUP($K56,'Historias y criterios'!$A$6:$P$83,2,FALSE)),"ID no encontrado"))</f>
        <v>HU-013</v>
      </c>
      <c r="J56" s="5" t="str">
        <f>IF($K56="","",IFERROR(IF(VLOOKUP($K56,'Historias y criterios'!$A$6:$P$83,10,FALSE)="","",VLOOKUP($K56,'Historias y criterios'!$A$6:$P$83,10,FALSE)),"ID no encontrado"))</f>
        <v>Como participante de un proceso, quiero recibir y administrar notificaciones de aprobaciones, rechazos, observaciones y cambios de estado, para saber cuándo debo actuar y acceder directamente al proceso</v>
      </c>
      <c r="K56" s="8" t="s">
        <v>147</v>
      </c>
      <c r="L56" s="5" t="str">
        <f>IF($K56="","",IFERROR(IF(VLOOKUP($K56,'Historias y criterios'!$A$6:$P$83,11,FALSE)="","",VLOOKUP($K56,'Historias y criterios'!$A$6:$P$83,11,FALSE)),"ID no encontrado"))</f>
        <v>La página de notificaciones permite abrir, marcar como leída, marcar todas y eliminar una o todas.</v>
      </c>
      <c r="M56" s="8" t="s">
        <v>148</v>
      </c>
      <c r="N56" s="5" t="str">
        <f>IF($M56="","",IFERROR(IF(VLOOKUP($M56,'Casos y evidencias'!$A$6:$O$83,5,FALSE)="","",VLOOKUP($M56,'Casos y evidencias'!$A$6:$O$83,5,FALSE)),"ID no encontrado"))</f>
        <v>Administración de notificaciones</v>
      </c>
      <c r="O56" s="5" t="str">
        <f>IF($M56="","",IFERROR(IF(VLOOKUP($M56,'Casos y evidencias'!$A$6:$O$83,10,FALSE)="","",VLOOKUP($M56,'Casos y evidencias'!$A$6:$O$83,10,FALSE)),"ID no encontrado"))</f>
        <v>No ejecutado</v>
      </c>
      <c r="P56" s="7" t="str">
        <f>IF($M56="","",IFERROR(IF(VLOOKUP($M56,'Casos y evidencias'!$A$6:$O$83,11,FALSE)="","",VLOOKUP($M56,'Casos y evidencias'!$A$6:$O$83,11,FALSE)),"ID no encontrado"))</f>
        <v/>
      </c>
      <c r="Q56" s="5" t="str">
        <f>IF($M56="","",IFERROR(IF(VLOOKUP($M56,'Casos y evidencias'!$A$6:$O$83,12,FALSE)="","",VLOOKUP($M56,'Casos y evidencias'!$A$6:$O$83,12,FALSE)),"ID no encontrado"))</f>
        <v/>
      </c>
      <c r="R56" s="4"/>
    </row>
    <row r="57" spans="1:18" ht="75.599999999999994" customHeight="1">
      <c r="A57" s="6">
        <v>50</v>
      </c>
      <c r="B57" s="5" t="str">
        <f>IF($G57="","",IF($K57="","Falta criterio",IFERROR(IF(VLOOKUP($K57,'Historias y criterios'!$A$6:$P$83,3,FALSE)&lt;&gt;$G57,"Revisar relación requisito-criterio",IF($M57="","Falta caso de prueba",IF(VLOOKUP($M57,'Casos y evidencias'!$A$6:$O$83,2,FALSE)&lt;&gt;$K57,"Revisar relación criterio-caso",IF($O57="Aprobado",IF($P57="","Falta evidencia","Trazabilidad completa"),IF($O57="Fallido","Prueba fallida",IF($O57="Bloqueado","Prueba bloqueada","Prueba pendiente")))))),"ID no encontrado")))</f>
        <v>Prueba pendiente</v>
      </c>
      <c r="C57" s="7" t="str">
        <f>IF($G57="","",IFERROR(IF(VLOOKUP($G57,Requerimientos!$A$6:$M$43,2,FALSE)="","",VLOOKUP($G57,Requerimientos!$A$6:$M$43,2,FALSE)),"ID no encontrado"))</f>
        <v>OBJ-004</v>
      </c>
      <c r="D57" s="5" t="str">
        <f>IF($C57="","",IFERROR(IF(VLOOKUP($C57,'Objetivos y procesos'!$A$6:$H$35,2,FALSE)="","",VLOOKUP($C57,'Objetivos y procesos'!$A$6:$H$35,2,FALSE)),"ID no encontrado"))</f>
        <v>Entregar avisos oportunos y una trazabilidad común para todos los procesos incorporados.</v>
      </c>
      <c r="E57" s="7" t="str">
        <f>IF($G57="","",IFERROR(IF(VLOOKUP($G57,Requerimientos!$A$6:$M$43,3,FALSE)="","",VLOOKUP($G57,Requerimientos!$A$6:$M$43,3,FALSE)),"ID no encontrado"))</f>
        <v>PR-04</v>
      </c>
      <c r="F57" s="5" t="str">
        <f>IF($E57="","",IFERROR(IF(INDEX('Objetivos y procesos'!$D$6:$D$35,MATCH($E57,'Objetivos y procesos'!$C$6:$C$35,0))="","",IF(INDEX('Objetivos y procesos'!$D$6:$D$35,MATCH($E57,'Objetivos y procesos'!$C$6:$C$35,0))=INDEX('Objetivos y procesos'!$E$6:$E$35,MATCH($E57,'Objetivos y procesos'!$C$6:$C$35,0)),INDEX('Objetivos y procesos'!$D$6:$D$35,MATCH($E57,'Objetivos y procesos'!$C$6:$C$35,0)),INDEX('Objetivos y procesos'!$D$6:$D$35,MATCH($E57,'Objetivos y procesos'!$C$6:$C$35,0))&amp;IF(INDEX('Objetivos y procesos'!$E$6:$E$35,MATCH($E57,'Objetivos y procesos'!$C$6:$C$35,0))="",""," / "&amp;INDEX('Objetivos y procesos'!$E$6:$E$35,MATCH($E57,'Objetivos y procesos'!$C$6:$C$35,0))))),"ID no encontrado"))</f>
        <v>Notificaciones y trazabilidad</v>
      </c>
      <c r="G57" s="8" t="s">
        <v>142</v>
      </c>
      <c r="H57" s="5" t="str">
        <f>IF($G57="","",IFERROR(IF(VLOOKUP($G57,Requerimientos!$A$6:$M$43,7,FALSE)="","",VLOOKUP($G57,Requerimientos!$A$6:$M$43,7,FALSE)),"ID no encontrado"))</f>
        <v>El sistema debe notificar al solicitante las aprobaciones, rechazos, observaciones y cambios de estado de su proceso.</v>
      </c>
      <c r="I57" s="7" t="str">
        <f>IF($K57="","",IFERROR(IF(VLOOKUP($K57,'Historias y criterios'!$A$6:$P$83,2,FALSE)="","",VLOOKUP($K57,'Historias y criterios'!$A$6:$P$83,2,FALSE)),"ID no encontrado"))</f>
        <v>HU-013</v>
      </c>
      <c r="J57" s="5" t="str">
        <f>IF($K57="","",IFERROR(IF(VLOOKUP($K57,'Historias y criterios'!$A$6:$P$83,10,FALSE)="","",VLOOKUP($K57,'Historias y criterios'!$A$6:$P$83,10,FALSE)),"ID no encontrado"))</f>
        <v>Como participante de un proceso, quiero recibir y administrar notificaciones de aprobaciones, rechazos, observaciones y cambios de estado, para saber cuándo debo actuar y acceder directamente al proceso</v>
      </c>
      <c r="K57" s="8" t="s">
        <v>149</v>
      </c>
      <c r="L57" s="5" t="str">
        <f>IF($K57="","",IFERROR(IF(VLOOKUP($K57,'Historias y criterios'!$A$6:$P$83,11,FALSE)="","",VLOOKUP($K57,'Historias y criterios'!$A$6:$P$83,11,FALSE)),"ID no encontrado"))</f>
        <v>Se registra la fecha de lectura y cada enlace abre el proceso de origen.</v>
      </c>
      <c r="M57" s="8" t="s">
        <v>150</v>
      </c>
      <c r="N57" s="5" t="str">
        <f>IF($M57="","",IFERROR(IF(VLOOKUP($M57,'Casos y evidencias'!$A$6:$O$83,5,FALSE)="","",VLOOKUP($M57,'Casos y evidencias'!$A$6:$O$83,5,FALSE)),"ID no encontrado"))</f>
        <v>Fecha de lectura y enlace al origen</v>
      </c>
      <c r="O57" s="5" t="str">
        <f>IF($M57="","",IFERROR(IF(VLOOKUP($M57,'Casos y evidencias'!$A$6:$O$83,10,FALSE)="","",VLOOKUP($M57,'Casos y evidencias'!$A$6:$O$83,10,FALSE)),"ID no encontrado"))</f>
        <v>No ejecutado</v>
      </c>
      <c r="P57" s="7" t="str">
        <f>IF($M57="","",IFERROR(IF(VLOOKUP($M57,'Casos y evidencias'!$A$6:$O$83,11,FALSE)="","",VLOOKUP($M57,'Casos y evidencias'!$A$6:$O$83,11,FALSE)),"ID no encontrado"))</f>
        <v/>
      </c>
      <c r="Q57" s="5" t="str">
        <f>IF($M57="","",IFERROR(IF(VLOOKUP($M57,'Casos y evidencias'!$A$6:$O$83,12,FALSE)="","",VLOOKUP($M57,'Casos y evidencias'!$A$6:$O$83,12,FALSE)),"ID no encontrado"))</f>
        <v/>
      </c>
      <c r="R57" s="4"/>
    </row>
    <row r="58" spans="1:18" ht="75.599999999999994" customHeight="1">
      <c r="A58" s="6">
        <v>51</v>
      </c>
      <c r="B58" s="5" t="str">
        <f>IF($G58="","",IF($K58="","Falta criterio",IFERROR(IF(VLOOKUP($K58,'Historias y criterios'!$A$6:$P$83,3,FALSE)&lt;&gt;$G58,"Revisar relación requisito-criterio",IF($M58="","Falta caso de prueba",IF(VLOOKUP($M58,'Casos y evidencias'!$A$6:$O$83,2,FALSE)&lt;&gt;$K58,"Revisar relación criterio-caso",IF($O58="Aprobado",IF($P58="","Falta evidencia","Trazabilidad completa"),IF($O58="Fallido","Prueba fallida",IF($O58="Bloqueado","Prueba bloqueada","Prueba pendiente")))))),"ID no encontrado")))</f>
        <v>Prueba pendiente</v>
      </c>
      <c r="C58" s="7" t="str">
        <f>IF($G58="","",IFERROR(IF(VLOOKUP($G58,Requerimientos!$A$6:$M$43,2,FALSE)="","",VLOOKUP($G58,Requerimientos!$A$6:$M$43,2,FALSE)),"ID no encontrado"))</f>
        <v>OBJ-004</v>
      </c>
      <c r="D58" s="5" t="str">
        <f>IF($C58="","",IFERROR(IF(VLOOKUP($C58,'Objetivos y procesos'!$A$6:$H$35,2,FALSE)="","",VLOOKUP($C58,'Objetivos y procesos'!$A$6:$H$35,2,FALSE)),"ID no encontrado"))</f>
        <v>Entregar avisos oportunos y una trazabilidad común para todos los procesos incorporados.</v>
      </c>
      <c r="E58" s="7" t="str">
        <f>IF($G58="","",IFERROR(IF(VLOOKUP($G58,Requerimientos!$A$6:$M$43,3,FALSE)="","",VLOOKUP($G58,Requerimientos!$A$6:$M$43,3,FALSE)),"ID no encontrado"))</f>
        <v>PR-04</v>
      </c>
      <c r="F58" s="5" t="str">
        <f>IF($E58="","",IFERROR(IF(INDEX('Objetivos y procesos'!$D$6:$D$35,MATCH($E58,'Objetivos y procesos'!$C$6:$C$35,0))="","",IF(INDEX('Objetivos y procesos'!$D$6:$D$35,MATCH($E58,'Objetivos y procesos'!$C$6:$C$35,0))=INDEX('Objetivos y procesos'!$E$6:$E$35,MATCH($E58,'Objetivos y procesos'!$C$6:$C$35,0)),INDEX('Objetivos y procesos'!$D$6:$D$35,MATCH($E58,'Objetivos y procesos'!$C$6:$C$35,0)),INDEX('Objetivos y procesos'!$D$6:$D$35,MATCH($E58,'Objetivos y procesos'!$C$6:$C$35,0))&amp;IF(INDEX('Objetivos y procesos'!$E$6:$E$35,MATCH($E58,'Objetivos y procesos'!$C$6:$C$35,0))="",""," / "&amp;INDEX('Objetivos y procesos'!$E$6:$E$35,MATCH($E58,'Objetivos y procesos'!$C$6:$C$35,0))))),"ID no encontrado"))</f>
        <v>Notificaciones y trazabilidad</v>
      </c>
      <c r="G58" s="8" t="s">
        <v>151</v>
      </c>
      <c r="H58" s="5" t="str">
        <f>IF($G58="","",IFERROR(IF(VLOOKUP($G58,Requerimientos!$A$6:$M$43,7,FALSE)="","",VLOOKUP($G58,Requerimientos!$A$6:$M$43,7,FALSE)),"ID no encontrado"))</f>
        <v>El sistema debe registrar en cada proceso su estado actual, el usuario que lo resolvió, la fecha y hora de la respuesta y el comentario asociado.</v>
      </c>
      <c r="I58" s="7" t="str">
        <f>IF($K58="","",IFERROR(IF(VLOOKUP($K58,'Historias y criterios'!$A$6:$P$83,2,FALSE)="","",VLOOKUP($K58,'Historias y criterios'!$A$6:$P$83,2,FALSE)),"ID no encontrado"))</f>
        <v>HU-014</v>
      </c>
      <c r="J58" s="5" t="str">
        <f>IF($K58="","",IFERROR(IF(VLOOKUP($K58,'Historias y criterios'!$A$6:$P$83,10,FALSE)="","",VLOOKUP($K58,'Historias y criterios'!$A$6:$P$83,10,FALSE)),"ID no encontrado"))</f>
        <v>Como usuario participante o jefatura autorizada, quiero consultar el estado y el historial de cada proceso, para conocer quién realizó cada acción, cuándo y con qué resultado</v>
      </c>
      <c r="K58" s="8" t="s">
        <v>152</v>
      </c>
      <c r="L58" s="5" t="str">
        <f>IF($K58="","",IFERROR(IF(VLOOKUP($K58,'Historias y criterios'!$A$6:$P$83,11,FALSE)="","",VLOOKUP($K58,'Historias y criterios'!$A$6:$P$83,11,FALSE)),"ID no encontrado"))</f>
        <v>Cada cambio registra estado, usuario, fecha, hora y comentario.</v>
      </c>
      <c r="M58" s="8" t="s">
        <v>153</v>
      </c>
      <c r="N58" s="5" t="str">
        <f>IF($M58="","",IFERROR(IF(VLOOKUP($M58,'Casos y evidencias'!$A$6:$O$83,5,FALSE)="","",VLOOKUP($M58,'Casos y evidencias'!$A$6:$O$83,5,FALSE)),"ID no encontrado"))</f>
        <v>Registro de cada cambio de estado</v>
      </c>
      <c r="O58" s="5" t="str">
        <f>IF($M58="","",IFERROR(IF(VLOOKUP($M58,'Casos y evidencias'!$A$6:$O$83,10,FALSE)="","",VLOOKUP($M58,'Casos y evidencias'!$A$6:$O$83,10,FALSE)),"ID no encontrado"))</f>
        <v>No ejecutado</v>
      </c>
      <c r="P58" s="7" t="str">
        <f>IF($M58="","",IFERROR(IF(VLOOKUP($M58,'Casos y evidencias'!$A$6:$O$83,11,FALSE)="","",VLOOKUP($M58,'Casos y evidencias'!$A$6:$O$83,11,FALSE)),"ID no encontrado"))</f>
        <v/>
      </c>
      <c r="Q58" s="5" t="str">
        <f>IF($M58="","",IFERROR(IF(VLOOKUP($M58,'Casos y evidencias'!$A$6:$O$83,12,FALSE)="","",VLOOKUP($M58,'Casos y evidencias'!$A$6:$O$83,12,FALSE)),"ID no encontrado"))</f>
        <v/>
      </c>
      <c r="R58" s="4"/>
    </row>
    <row r="59" spans="1:18" ht="75.599999999999994" customHeight="1">
      <c r="A59" s="6">
        <v>52</v>
      </c>
      <c r="B59" s="5" t="str">
        <f>IF($G59="","",IF($K59="","Falta criterio",IFERROR(IF(VLOOKUP($K59,'Historias y criterios'!$A$6:$P$83,3,FALSE)&lt;&gt;$G59,"Revisar relación requisito-criterio",IF($M59="","Falta caso de prueba",IF(VLOOKUP($M59,'Casos y evidencias'!$A$6:$O$83,2,FALSE)&lt;&gt;$K59,"Revisar relación criterio-caso",IF($O59="Aprobado",IF($P59="","Falta evidencia","Trazabilidad completa"),IF($O59="Fallido","Prueba fallida",IF($O59="Bloqueado","Prueba bloqueada","Prueba pendiente")))))),"ID no encontrado")))</f>
        <v>Prueba pendiente</v>
      </c>
      <c r="C59" s="7" t="str">
        <f>IF($G59="","",IFERROR(IF(VLOOKUP($G59,Requerimientos!$A$6:$M$43,2,FALSE)="","",VLOOKUP($G59,Requerimientos!$A$6:$M$43,2,FALSE)),"ID no encontrado"))</f>
        <v>OBJ-004</v>
      </c>
      <c r="D59" s="5" t="str">
        <f>IF($C59="","",IFERROR(IF(VLOOKUP($C59,'Objetivos y procesos'!$A$6:$H$35,2,FALSE)="","",VLOOKUP($C59,'Objetivos y procesos'!$A$6:$H$35,2,FALSE)),"ID no encontrado"))</f>
        <v>Entregar avisos oportunos y una trazabilidad común para todos los procesos incorporados.</v>
      </c>
      <c r="E59" s="7" t="str">
        <f>IF($G59="","",IFERROR(IF(VLOOKUP($G59,Requerimientos!$A$6:$M$43,3,FALSE)="","",VLOOKUP($G59,Requerimientos!$A$6:$M$43,3,FALSE)),"ID no encontrado"))</f>
        <v>PR-04</v>
      </c>
      <c r="F59" s="5" t="str">
        <f>IF($E59="","",IFERROR(IF(INDEX('Objetivos y procesos'!$D$6:$D$35,MATCH($E59,'Objetivos y procesos'!$C$6:$C$35,0))="","",IF(INDEX('Objetivos y procesos'!$D$6:$D$35,MATCH($E59,'Objetivos y procesos'!$C$6:$C$35,0))=INDEX('Objetivos y procesos'!$E$6:$E$35,MATCH($E59,'Objetivos y procesos'!$C$6:$C$35,0)),INDEX('Objetivos y procesos'!$D$6:$D$35,MATCH($E59,'Objetivos y procesos'!$C$6:$C$35,0)),INDEX('Objetivos y procesos'!$D$6:$D$35,MATCH($E59,'Objetivos y procesos'!$C$6:$C$35,0))&amp;IF(INDEX('Objetivos y procesos'!$E$6:$E$35,MATCH($E59,'Objetivos y procesos'!$C$6:$C$35,0))="",""," / "&amp;INDEX('Objetivos y procesos'!$E$6:$E$35,MATCH($E59,'Objetivos y procesos'!$C$6:$C$35,0))))),"ID no encontrado"))</f>
        <v>Notificaciones y trazabilidad</v>
      </c>
      <c r="G59" s="8" t="s">
        <v>154</v>
      </c>
      <c r="H59" s="5" t="str">
        <f>IF($G59="","",IFERROR(IF(VLOOKUP($G59,Requerimientos!$A$6:$M$43,7,FALSE)="","",VLOOKUP($G59,Requerimientos!$A$6:$M$43,7,FALSE)),"ID no encontrado"))</f>
        <v>El sistema debe permitir consultar el estado, el responsable, la fecha de respuesta y el comentario de cada proceso.</v>
      </c>
      <c r="I59" s="7" t="str">
        <f>IF($K59="","",IFERROR(IF(VLOOKUP($K59,'Historias y criterios'!$A$6:$P$83,2,FALSE)="","",VLOOKUP($K59,'Historias y criterios'!$A$6:$P$83,2,FALSE)),"ID no encontrado"))</f>
        <v>HU-014</v>
      </c>
      <c r="J59" s="5" t="str">
        <f>IF($K59="","",IFERROR(IF(VLOOKUP($K59,'Historias y criterios'!$A$6:$P$83,10,FALSE)="","",VLOOKUP($K59,'Historias y criterios'!$A$6:$P$83,10,FALSE)),"ID no encontrado"))</f>
        <v>Como usuario participante o jefatura autorizada, quiero consultar el estado y el historial de cada proceso, para conocer quién realizó cada acción, cuándo y con qué resultado</v>
      </c>
      <c r="K59" s="8" t="s">
        <v>155</v>
      </c>
      <c r="L59" s="5" t="str">
        <f>IF($K59="","",IFERROR(IF(VLOOKUP($K59,'Historias y criterios'!$A$6:$P$83,11,FALSE)="","",VLOOKUP($K59,'Historias y criterios'!$A$6:$P$83,11,FALSE)),"ID no encontrado"))</f>
        <v>La consulta muestra el estado actual, responsable y secuencia histórica.</v>
      </c>
      <c r="M59" s="8" t="s">
        <v>156</v>
      </c>
      <c r="N59" s="5" t="str">
        <f>IF($M59="","",IFERROR(IF(VLOOKUP($M59,'Casos y evidencias'!$A$6:$O$83,5,FALSE)="","",VLOOKUP($M59,'Casos y evidencias'!$A$6:$O$83,5,FALSE)),"ID no encontrado"))</f>
        <v>Consulta del estado y la secuencia histórica</v>
      </c>
      <c r="O59" s="5" t="str">
        <f>IF($M59="","",IFERROR(IF(VLOOKUP($M59,'Casos y evidencias'!$A$6:$O$83,10,FALSE)="","",VLOOKUP($M59,'Casos y evidencias'!$A$6:$O$83,10,FALSE)),"ID no encontrado"))</f>
        <v>No ejecutado</v>
      </c>
      <c r="P59" s="7" t="str">
        <f>IF($M59="","",IFERROR(IF(VLOOKUP($M59,'Casos y evidencias'!$A$6:$O$83,11,FALSE)="","",VLOOKUP($M59,'Casos y evidencias'!$A$6:$O$83,11,FALSE)),"ID no encontrado"))</f>
        <v/>
      </c>
      <c r="Q59" s="5" t="str">
        <f>IF($M59="","",IFERROR(IF(VLOOKUP($M59,'Casos y evidencias'!$A$6:$O$83,12,FALSE)="","",VLOOKUP($M59,'Casos y evidencias'!$A$6:$O$83,12,FALSE)),"ID no encontrado"))</f>
        <v/>
      </c>
      <c r="R59" s="4"/>
    </row>
    <row r="60" spans="1:18" ht="75.599999999999994" customHeight="1">
      <c r="A60" s="6">
        <v>53</v>
      </c>
      <c r="B60" s="5" t="str">
        <f>IF($G60="","",IF($K60="","Falta criterio",IFERROR(IF(VLOOKUP($K60,'Historias y criterios'!$A$6:$P$83,3,FALSE)&lt;&gt;$G60,"Revisar relación requisito-criterio",IF($M60="","Falta caso de prueba",IF(VLOOKUP($M60,'Casos y evidencias'!$A$6:$O$83,2,FALSE)&lt;&gt;$K60,"Revisar relación criterio-caso",IF($O60="Aprobado",IF($P60="","Falta evidencia","Trazabilidad completa"),IF($O60="Fallido","Prueba fallida",IF($O60="Bloqueado","Prueba bloqueada","Prueba pendiente")))))),"ID no encontrado")))</f>
        <v>Prueba pendiente</v>
      </c>
      <c r="C60" s="7" t="str">
        <f>IF($G60="","",IFERROR(IF(VLOOKUP($G60,Requerimientos!$A$6:$M$43,2,FALSE)="","",VLOOKUP($G60,Requerimientos!$A$6:$M$43,2,FALSE)),"ID no encontrado"))</f>
        <v>OBJ-004</v>
      </c>
      <c r="D60" s="5" t="str">
        <f>IF($C60="","",IFERROR(IF(VLOOKUP($C60,'Objetivos y procesos'!$A$6:$H$35,2,FALSE)="","",VLOOKUP($C60,'Objetivos y procesos'!$A$6:$H$35,2,FALSE)),"ID no encontrado"))</f>
        <v>Entregar avisos oportunos y una trazabilidad común para todos los procesos incorporados.</v>
      </c>
      <c r="E60" s="7" t="str">
        <f>IF($G60="","",IFERROR(IF(VLOOKUP($G60,Requerimientos!$A$6:$M$43,3,FALSE)="","",VLOOKUP($G60,Requerimientos!$A$6:$M$43,3,FALSE)),"ID no encontrado"))</f>
        <v>PR-04</v>
      </c>
      <c r="F60" s="5" t="str">
        <f>IF($E60="","",IFERROR(IF(INDEX('Objetivos y procesos'!$D$6:$D$35,MATCH($E60,'Objetivos y procesos'!$C$6:$C$35,0))="","",IF(INDEX('Objetivos y procesos'!$D$6:$D$35,MATCH($E60,'Objetivos y procesos'!$C$6:$C$35,0))=INDEX('Objetivos y procesos'!$E$6:$E$35,MATCH($E60,'Objetivos y procesos'!$C$6:$C$35,0)),INDEX('Objetivos y procesos'!$D$6:$D$35,MATCH($E60,'Objetivos y procesos'!$C$6:$C$35,0)),INDEX('Objetivos y procesos'!$D$6:$D$35,MATCH($E60,'Objetivos y procesos'!$C$6:$C$35,0))&amp;IF(INDEX('Objetivos y procesos'!$E$6:$E$35,MATCH($E60,'Objetivos y procesos'!$C$6:$C$35,0))="",""," / "&amp;INDEX('Objetivos y procesos'!$E$6:$E$35,MATCH($E60,'Objetivos y procesos'!$C$6:$C$35,0))))),"ID no encontrado"))</f>
        <v>Notificaciones y trazabilidad</v>
      </c>
      <c r="G60" s="8" t="s">
        <v>151</v>
      </c>
      <c r="H60" s="5" t="str">
        <f>IF($G60="","",IFERROR(IF(VLOOKUP($G60,Requerimientos!$A$6:$M$43,7,FALSE)="","",VLOOKUP($G60,Requerimientos!$A$6:$M$43,7,FALSE)),"ID no encontrado"))</f>
        <v>El sistema debe registrar en cada proceso su estado actual, el usuario que lo resolvió, la fecha y hora de la respuesta y el comentario asociado.</v>
      </c>
      <c r="I60" s="7" t="str">
        <f>IF($K60="","",IFERROR(IF(VLOOKUP($K60,'Historias y criterios'!$A$6:$P$83,2,FALSE)="","",VLOOKUP($K60,'Historias y criterios'!$A$6:$P$83,2,FALSE)),"ID no encontrado"))</f>
        <v>HU-014</v>
      </c>
      <c r="J60" s="5" t="str">
        <f>IF($K60="","",IFERROR(IF(VLOOKUP($K60,'Historias y criterios'!$A$6:$P$83,10,FALSE)="","",VLOOKUP($K60,'Historias y criterios'!$A$6:$P$83,10,FALSE)),"ID no encontrado"))</f>
        <v>Como usuario participante o jefatura autorizada, quiero consultar el estado y el historial de cada proceso, para conocer quién realizó cada acción, cuándo y con qué resultado</v>
      </c>
      <c r="K60" s="8" t="s">
        <v>157</v>
      </c>
      <c r="L60" s="5" t="str">
        <f>IF($K60="","",IFERROR(IF(VLOOKUP($K60,'Historias y criterios'!$A$6:$P$83,11,FALSE)="","",VLOOKUP($K60,'Historias y criterios'!$A$6:$P$83,11,FALSE)),"ID no encontrado"))</f>
        <v>Las respuestas resueltas no pueden editarse.</v>
      </c>
      <c r="M60" s="8" t="s">
        <v>158</v>
      </c>
      <c r="N60" s="5" t="str">
        <f>IF($M60="","",IFERROR(IF(VLOOKUP($M60,'Casos y evidencias'!$A$6:$O$83,5,FALSE)="","",VLOOKUP($M60,'Casos y evidencias'!$A$6:$O$83,5,FALSE)),"ID no encontrado"))</f>
        <v>Inmutabilidad de respuestas resueltas</v>
      </c>
      <c r="O60" s="5" t="str">
        <f>IF($M60="","",IFERROR(IF(VLOOKUP($M60,'Casos y evidencias'!$A$6:$O$83,10,FALSE)="","",VLOOKUP($M60,'Casos y evidencias'!$A$6:$O$83,10,FALSE)),"ID no encontrado"))</f>
        <v>No ejecutado</v>
      </c>
      <c r="P60" s="7" t="str">
        <f>IF($M60="","",IFERROR(IF(VLOOKUP($M60,'Casos y evidencias'!$A$6:$O$83,11,FALSE)="","",VLOOKUP($M60,'Casos y evidencias'!$A$6:$O$83,11,FALSE)),"ID no encontrado"))</f>
        <v/>
      </c>
      <c r="Q60" s="5" t="str">
        <f>IF($M60="","",IFERROR(IF(VLOOKUP($M60,'Casos y evidencias'!$A$6:$O$83,12,FALSE)="","",VLOOKUP($M60,'Casos y evidencias'!$A$6:$O$83,12,FALSE)),"ID no encontrado"))</f>
        <v/>
      </c>
      <c r="R60" s="4"/>
    </row>
    <row r="61" spans="1:18" ht="75.599999999999994" customHeight="1">
      <c r="A61" s="6">
        <v>54</v>
      </c>
      <c r="B61" s="5" t="str">
        <f>IF($G61="","",IF($K61="","Falta criterio",IFERROR(IF(VLOOKUP($K61,'Historias y criterios'!$A$6:$P$83,3,FALSE)&lt;&gt;$G61,"Revisar relación requisito-criterio",IF($M61="","Falta caso de prueba",IF(VLOOKUP($M61,'Casos y evidencias'!$A$6:$O$83,2,FALSE)&lt;&gt;$K61,"Revisar relación criterio-caso",IF($O61="Aprobado",IF($P61="","Falta evidencia","Trazabilidad completa"),IF($O61="Fallido","Prueba fallida",IF($O61="Bloqueado","Prueba bloqueada","Prueba pendiente")))))),"ID no encontrado")))</f>
        <v>Prueba pendiente</v>
      </c>
      <c r="C61" s="7" t="str">
        <f>IF($G61="","",IFERROR(IF(VLOOKUP($G61,Requerimientos!$A$6:$M$43,2,FALSE)="","",VLOOKUP($G61,Requerimientos!$A$6:$M$43,2,FALSE)),"ID no encontrado"))</f>
        <v>OBJ-004</v>
      </c>
      <c r="D61" s="5" t="str">
        <f>IF($C61="","",IFERROR(IF(VLOOKUP($C61,'Objetivos y procesos'!$A$6:$H$35,2,FALSE)="","",VLOOKUP($C61,'Objetivos y procesos'!$A$6:$H$35,2,FALSE)),"ID no encontrado"))</f>
        <v>Entregar avisos oportunos y una trazabilidad común para todos los procesos incorporados.</v>
      </c>
      <c r="E61" s="7" t="str">
        <f>IF($G61="","",IFERROR(IF(VLOOKUP($G61,Requerimientos!$A$6:$M$43,3,FALSE)="","",VLOOKUP($G61,Requerimientos!$A$6:$M$43,3,FALSE)),"ID no encontrado"))</f>
        <v>PR-04</v>
      </c>
      <c r="F61" s="5" t="str">
        <f>IF($E61="","",IFERROR(IF(INDEX('Objetivos y procesos'!$D$6:$D$35,MATCH($E61,'Objetivos y procesos'!$C$6:$C$35,0))="","",IF(INDEX('Objetivos y procesos'!$D$6:$D$35,MATCH($E61,'Objetivos y procesos'!$C$6:$C$35,0))=INDEX('Objetivos y procesos'!$E$6:$E$35,MATCH($E61,'Objetivos y procesos'!$C$6:$C$35,0)),INDEX('Objetivos y procesos'!$D$6:$D$35,MATCH($E61,'Objetivos y procesos'!$C$6:$C$35,0)),INDEX('Objetivos y procesos'!$D$6:$D$35,MATCH($E61,'Objetivos y procesos'!$C$6:$C$35,0))&amp;IF(INDEX('Objetivos y procesos'!$E$6:$E$35,MATCH($E61,'Objetivos y procesos'!$C$6:$C$35,0))="",""," / "&amp;INDEX('Objetivos y procesos'!$E$6:$E$35,MATCH($E61,'Objetivos y procesos'!$C$6:$C$35,0))))),"ID no encontrado"))</f>
        <v>Notificaciones y trazabilidad</v>
      </c>
      <c r="G61" s="8" t="s">
        <v>154</v>
      </c>
      <c r="H61" s="5" t="str">
        <f>IF($G61="","",IFERROR(IF(VLOOKUP($G61,Requerimientos!$A$6:$M$43,7,FALSE)="","",VLOOKUP($G61,Requerimientos!$A$6:$M$43,7,FALSE)),"ID no encontrado"))</f>
        <v>El sistema debe permitir consultar el estado, el responsable, la fecha de respuesta y el comentario de cada proceso.</v>
      </c>
      <c r="I61" s="7" t="str">
        <f>IF($K61="","",IFERROR(IF(VLOOKUP($K61,'Historias y criterios'!$A$6:$P$83,2,FALSE)="","",VLOOKUP($K61,'Historias y criterios'!$A$6:$P$83,2,FALSE)),"ID no encontrado"))</f>
        <v>HU-014</v>
      </c>
      <c r="J61" s="5" t="str">
        <f>IF($K61="","",IFERROR(IF(VLOOKUP($K61,'Historias y criterios'!$A$6:$P$83,10,FALSE)="","",VLOOKUP($K61,'Historias y criterios'!$A$6:$P$83,10,FALSE)),"ID no encontrado"))</f>
        <v>Como usuario participante o jefatura autorizada, quiero consultar el estado y el historial de cada proceso, para conocer quién realizó cada acción, cuándo y con qué resultado</v>
      </c>
      <c r="K61" s="8" t="s">
        <v>159</v>
      </c>
      <c r="L61" s="5" t="str">
        <f>IF($K61="","",IFERROR(IF(VLOOKUP($K61,'Historias y criterios'!$A$6:$P$83,11,FALSE)="","",VLOOKUP($K61,'Historias y criterios'!$A$6:$P$83,11,FALSE)),"ID no encontrado"))</f>
        <v>El usuario ve solo procesos propios, asignados o permitidos por su rol.</v>
      </c>
      <c r="M61" s="8" t="s">
        <v>160</v>
      </c>
      <c r="N61" s="5" t="str">
        <f>IF($M61="","",IFERROR(IF(VLOOKUP($M61,'Casos y evidencias'!$A$6:$O$83,5,FALSE)="","",VLOOKUP($M61,'Casos y evidencias'!$A$6:$O$83,5,FALSE)),"ID no encontrado"))</f>
        <v>Visibilidad según participación y rol</v>
      </c>
      <c r="O61" s="5" t="str">
        <f>IF($M61="","",IFERROR(IF(VLOOKUP($M61,'Casos y evidencias'!$A$6:$O$83,10,FALSE)="","",VLOOKUP($M61,'Casos y evidencias'!$A$6:$O$83,10,FALSE)),"ID no encontrado"))</f>
        <v>No ejecutado</v>
      </c>
      <c r="P61" s="7" t="str">
        <f>IF($M61="","",IFERROR(IF(VLOOKUP($M61,'Casos y evidencias'!$A$6:$O$83,11,FALSE)="","",VLOOKUP($M61,'Casos y evidencias'!$A$6:$O$83,11,FALSE)),"ID no encontrado"))</f>
        <v/>
      </c>
      <c r="Q61" s="5" t="str">
        <f>IF($M61="","",IFERROR(IF(VLOOKUP($M61,'Casos y evidencias'!$A$6:$O$83,12,FALSE)="","",VLOOKUP($M61,'Casos y evidencias'!$A$6:$O$83,12,FALSE)),"ID no encontrado"))</f>
        <v/>
      </c>
      <c r="R61" s="4"/>
    </row>
    <row r="62" spans="1:18" ht="75.599999999999994" customHeight="1">
      <c r="A62" s="6">
        <v>55</v>
      </c>
      <c r="B62" s="5" t="str">
        <f>IF($G62="","",IF($K62="","Falta criterio",IFERROR(IF(VLOOKUP($K62,'Historias y criterios'!$A$6:$P$83,3,FALSE)&lt;&gt;$G62,"Revisar relación requisito-criterio",IF($M62="","Falta caso de prueba",IF(VLOOKUP($M62,'Casos y evidencias'!$A$6:$O$83,2,FALSE)&lt;&gt;$K62,"Revisar relación criterio-caso",IF($O62="Aprobado",IF($P62="","Falta evidencia","Trazabilidad completa"),IF($O62="Fallido","Prueba fallida",IF($O62="Bloqueado","Prueba bloqueada","Prueba pendiente")))))),"ID no encontrado")))</f>
        <v>Prueba pendiente</v>
      </c>
      <c r="C62" s="7" t="str">
        <f>IF($G62="","",IFERROR(IF(VLOOKUP($G62,Requerimientos!$A$6:$M$43,2,FALSE)="","",VLOOKUP($G62,Requerimientos!$A$6:$M$43,2,FALSE)),"ID no encontrado"))</f>
        <v>OBJ-005</v>
      </c>
      <c r="D62" s="5" t="str">
        <f>IF($C62="","",IFERROR(IF(VLOOKUP($C62,'Objetivos y procesos'!$A$6:$H$35,2,FALSE)="","",VLOOKUP($C62,'Objetivos y procesos'!$A$6:$H$35,2,FALSE)),"ID no encontrado"))</f>
        <v>Canalizar lecturas por API sobre HANA y escrituras autorizadas por Service Layer sin duplicidad ni operaciones parciales.</v>
      </c>
      <c r="E62" s="7" t="str">
        <f>IF($G62="","",IFERROR(IF(VLOOKUP($G62,Requerimientos!$A$6:$M$43,3,FALSE)="","",VLOOKUP($G62,Requerimientos!$A$6:$M$43,3,FALSE)),"ID no encontrado"))</f>
        <v>PR-05</v>
      </c>
      <c r="F62" s="5" t="str">
        <f>IF($E62="","",IFERROR(IF(INDEX('Objetivos y procesos'!$D$6:$D$35,MATCH($E62,'Objetivos y procesos'!$C$6:$C$35,0))="","",IF(INDEX('Objetivos y procesos'!$D$6:$D$35,MATCH($E62,'Objetivos y procesos'!$C$6:$C$35,0))=INDEX('Objetivos y procesos'!$E$6:$E$35,MATCH($E62,'Objetivos y procesos'!$C$6:$C$35,0)),INDEX('Objetivos y procesos'!$D$6:$D$35,MATCH($E62,'Objetivos y procesos'!$C$6:$C$35,0)),INDEX('Objetivos y procesos'!$D$6:$D$35,MATCH($E62,'Objetivos y procesos'!$C$6:$C$35,0))&amp;IF(INDEX('Objetivos y procesos'!$E$6:$E$35,MATCH($E62,'Objetivos y procesos'!$C$6:$C$35,0))="",""," / "&amp;INDEX('Objetivos y procesos'!$E$6:$E$35,MATCH($E62,'Objetivos y procesos'!$C$6:$C$35,0))))),"ID no encontrado"))</f>
        <v>Integración con SAP Business One</v>
      </c>
      <c r="G62" s="8" t="s">
        <v>161</v>
      </c>
      <c r="H62" s="5" t="str">
        <f>IF($G62="","",IFERROR(IF(VLOOKUP($G62,Requerimientos!$A$6:$M$43,7,FALSE)="","",VLOOKUP($G62,Requerimientos!$A$6:$M$43,7,FALSE)),"ID no encontrado"))</f>
        <v>El sistema debe consultar productos, clientes, stock y otros datos autorizados del ERP mediante una API conectada con SAP HANA, en operaciones de solo lectura.</v>
      </c>
      <c r="I62" s="7" t="str">
        <f>IF($K62="","",IFERROR(IF(VLOOKUP($K62,'Historias y criterios'!$A$6:$P$83,2,FALSE)="","",VLOOKUP($K62,'Historias y criterios'!$A$6:$P$83,2,FALSE)),"ID no encontrado"))</f>
        <v>HU-015</v>
      </c>
      <c r="J62" s="5" t="str">
        <f>IF($K62="","",IFERROR(IF(VLOOKUP($K62,'Historias y criterios'!$A$6:$P$83,10,FALSE)="","",VLOOKUP($K62,'Historias y criterios'!$A$6:$P$83,10,FALSE)),"ID no encontrado"))</f>
        <v>Como usuario autorizado de la plataforma, quiero obtener productos, clientes, stock y datos permitidos mediante la API de lectura, para trabajar desde la web sin modificar directamente la información oficial del ERP</v>
      </c>
      <c r="K62" s="8" t="s">
        <v>162</v>
      </c>
      <c r="L62" s="5" t="str">
        <f>IF($K62="","",IFERROR(IF(VLOOKUP($K62,'Historias y criterios'!$A$6:$P$83,11,FALSE)="","",VLOOKUP($K62,'Historias y criterios'!$A$6:$P$83,11,FALSE)),"ID no encontrado"))</f>
        <v>La API consulta SAP HANA exclusivamente con un usuario de solo lectura y responde JSON.</v>
      </c>
      <c r="M62" s="8" t="s">
        <v>163</v>
      </c>
      <c r="N62" s="5" t="str">
        <f>IF($M62="","",IFERROR(IF(VLOOKUP($M62,'Casos y evidencias'!$A$6:$O$83,5,FALSE)="","",VLOOKUP($M62,'Casos y evidencias'!$A$6:$O$83,5,FALSE)),"ID no encontrado"))</f>
        <v>Consulta de solo lectura con respuesta JSON</v>
      </c>
      <c r="O62" s="5" t="str">
        <f>IF($M62="","",IFERROR(IF(VLOOKUP($M62,'Casos y evidencias'!$A$6:$O$83,10,FALSE)="","",VLOOKUP($M62,'Casos y evidencias'!$A$6:$O$83,10,FALSE)),"ID no encontrado"))</f>
        <v>No ejecutado</v>
      </c>
      <c r="P62" s="7" t="str">
        <f>IF($M62="","",IFERROR(IF(VLOOKUP($M62,'Casos y evidencias'!$A$6:$O$83,11,FALSE)="","",VLOOKUP($M62,'Casos y evidencias'!$A$6:$O$83,11,FALSE)),"ID no encontrado"))</f>
        <v/>
      </c>
      <c r="Q62" s="5" t="str">
        <f>IF($M62="","",IFERROR(IF(VLOOKUP($M62,'Casos y evidencias'!$A$6:$O$83,12,FALSE)="","",VLOOKUP($M62,'Casos y evidencias'!$A$6:$O$83,12,FALSE)),"ID no encontrado"))</f>
        <v/>
      </c>
      <c r="R62" s="4"/>
    </row>
    <row r="63" spans="1:18" ht="75.599999999999994" customHeight="1">
      <c r="A63" s="6">
        <v>56</v>
      </c>
      <c r="B63" s="5" t="str">
        <f>IF($G63="","",IF($K63="","Falta criterio",IFERROR(IF(VLOOKUP($K63,'Historias y criterios'!$A$6:$P$83,3,FALSE)&lt;&gt;$G63,"Revisar relación requisito-criterio",IF($M63="","Falta caso de prueba",IF(VLOOKUP($M63,'Casos y evidencias'!$A$6:$O$83,2,FALSE)&lt;&gt;$K63,"Revisar relación criterio-caso",IF($O63="Aprobado",IF($P63="","Falta evidencia","Trazabilidad completa"),IF($O63="Fallido","Prueba fallida",IF($O63="Bloqueado","Prueba bloqueada","Prueba pendiente")))))),"ID no encontrado")))</f>
        <v>Prueba pendiente</v>
      </c>
      <c r="C63" s="7" t="str">
        <f>IF($G63="","",IFERROR(IF(VLOOKUP($G63,Requerimientos!$A$6:$M$43,2,FALSE)="","",VLOOKUP($G63,Requerimientos!$A$6:$M$43,2,FALSE)),"ID no encontrado"))</f>
        <v>OBJ-005</v>
      </c>
      <c r="D63" s="5" t="str">
        <f>IF($C63="","",IFERROR(IF(VLOOKUP($C63,'Objetivos y procesos'!$A$6:$H$35,2,FALSE)="","",VLOOKUP($C63,'Objetivos y procesos'!$A$6:$H$35,2,FALSE)),"ID no encontrado"))</f>
        <v>Canalizar lecturas por API sobre HANA y escrituras autorizadas por Service Layer sin duplicidad ni operaciones parciales.</v>
      </c>
      <c r="E63" s="7" t="str">
        <f>IF($G63="","",IFERROR(IF(VLOOKUP($G63,Requerimientos!$A$6:$M$43,3,FALSE)="","",VLOOKUP($G63,Requerimientos!$A$6:$M$43,3,FALSE)),"ID no encontrado"))</f>
        <v>PR-05</v>
      </c>
      <c r="F63" s="5" t="str">
        <f>IF($E63="","",IFERROR(IF(INDEX('Objetivos y procesos'!$D$6:$D$35,MATCH($E63,'Objetivos y procesos'!$C$6:$C$35,0))="","",IF(INDEX('Objetivos y procesos'!$D$6:$D$35,MATCH($E63,'Objetivos y procesos'!$C$6:$C$35,0))=INDEX('Objetivos y procesos'!$E$6:$E$35,MATCH($E63,'Objetivos y procesos'!$C$6:$C$35,0)),INDEX('Objetivos y procesos'!$D$6:$D$35,MATCH($E63,'Objetivos y procesos'!$C$6:$C$35,0)),INDEX('Objetivos y procesos'!$D$6:$D$35,MATCH($E63,'Objetivos y procesos'!$C$6:$C$35,0))&amp;IF(INDEX('Objetivos y procesos'!$E$6:$E$35,MATCH($E63,'Objetivos y procesos'!$C$6:$C$35,0))="",""," / "&amp;INDEX('Objetivos y procesos'!$E$6:$E$35,MATCH($E63,'Objetivos y procesos'!$C$6:$C$35,0))))),"ID no encontrado"))</f>
        <v>Integración con SAP Business One</v>
      </c>
      <c r="G63" s="8" t="s">
        <v>161</v>
      </c>
      <c r="H63" s="5" t="str">
        <f>IF($G63="","",IFERROR(IF(VLOOKUP($G63,Requerimientos!$A$6:$M$43,7,FALSE)="","",VLOOKUP($G63,Requerimientos!$A$6:$M$43,7,FALSE)),"ID no encontrado"))</f>
        <v>El sistema debe consultar productos, clientes, stock y otros datos autorizados del ERP mediante una API conectada con SAP HANA, en operaciones de solo lectura.</v>
      </c>
      <c r="I63" s="7" t="str">
        <f>IF($K63="","",IFERROR(IF(VLOOKUP($K63,'Historias y criterios'!$A$6:$P$83,2,FALSE)="","",VLOOKUP($K63,'Historias y criterios'!$A$6:$P$83,2,FALSE)),"ID no encontrado"))</f>
        <v>HU-015</v>
      </c>
      <c r="J63" s="5" t="str">
        <f>IF($K63="","",IFERROR(IF(VLOOKUP($K63,'Historias y criterios'!$A$6:$P$83,10,FALSE)="","",VLOOKUP($K63,'Historias y criterios'!$A$6:$P$83,10,FALSE)),"ID no encontrado"))</f>
        <v>Como usuario autorizado de la plataforma, quiero obtener productos, clientes, stock y datos permitidos mediante la API de lectura, para trabajar desde la web sin modificar directamente la información oficial del ERP</v>
      </c>
      <c r="K63" s="8" t="s">
        <v>164</v>
      </c>
      <c r="L63" s="5" t="str">
        <f>IF($K63="","",IFERROR(IF(VLOOKUP($K63,'Historias y criterios'!$A$6:$P$83,11,FALSE)="","",VLOOKUP($K63,'Historias y criterios'!$A$6:$P$83,11,FALSE)),"ID no encontrado"))</f>
        <v>Cada petición exige una firma válida; una firma inválida se rechaza.</v>
      </c>
      <c r="M63" s="8" t="s">
        <v>165</v>
      </c>
      <c r="N63" s="5" t="str">
        <f>IF($M63="","",IFERROR(IF(VLOOKUP($M63,'Casos y evidencias'!$A$6:$O$83,5,FALSE)="","",VLOOKUP($M63,'Casos y evidencias'!$A$6:$O$83,5,FALSE)),"ID no encontrado"))</f>
        <v>Validación de firma de las peticiones</v>
      </c>
      <c r="O63" s="5" t="str">
        <f>IF($M63="","",IFERROR(IF(VLOOKUP($M63,'Casos y evidencias'!$A$6:$O$83,10,FALSE)="","",VLOOKUP($M63,'Casos y evidencias'!$A$6:$O$83,10,FALSE)),"ID no encontrado"))</f>
        <v>No ejecutado</v>
      </c>
      <c r="P63" s="7" t="str">
        <f>IF($M63="","",IFERROR(IF(VLOOKUP($M63,'Casos y evidencias'!$A$6:$O$83,11,FALSE)="","",VLOOKUP($M63,'Casos y evidencias'!$A$6:$O$83,11,FALSE)),"ID no encontrado"))</f>
        <v/>
      </c>
      <c r="Q63" s="5" t="str">
        <f>IF($M63="","",IFERROR(IF(VLOOKUP($M63,'Casos y evidencias'!$A$6:$O$83,12,FALSE)="","",VLOOKUP($M63,'Casos y evidencias'!$A$6:$O$83,12,FALSE)),"ID no encontrado"))</f>
        <v/>
      </c>
      <c r="R63" s="4"/>
    </row>
    <row r="64" spans="1:18" ht="75.599999999999994" customHeight="1">
      <c r="A64" s="6">
        <v>57</v>
      </c>
      <c r="B64" s="5" t="str">
        <f>IF($G64="","",IF($K64="","Falta criterio",IFERROR(IF(VLOOKUP($K64,'Historias y criterios'!$A$6:$P$83,3,FALSE)&lt;&gt;$G64,"Revisar relación requisito-criterio",IF($M64="","Falta caso de prueba",IF(VLOOKUP($M64,'Casos y evidencias'!$A$6:$O$83,2,FALSE)&lt;&gt;$K64,"Revisar relación criterio-caso",IF($O64="Aprobado",IF($P64="","Falta evidencia","Trazabilidad completa"),IF($O64="Fallido","Prueba fallida",IF($O64="Bloqueado","Prueba bloqueada","Prueba pendiente")))))),"ID no encontrado")))</f>
        <v>Prueba pendiente</v>
      </c>
      <c r="C64" s="7" t="str">
        <f>IF($G64="","",IFERROR(IF(VLOOKUP($G64,Requerimientos!$A$6:$M$43,2,FALSE)="","",VLOOKUP($G64,Requerimientos!$A$6:$M$43,2,FALSE)),"ID no encontrado"))</f>
        <v>OBJ-005</v>
      </c>
      <c r="D64" s="5" t="str">
        <f>IF($C64="","",IFERROR(IF(VLOOKUP($C64,'Objetivos y procesos'!$A$6:$H$35,2,FALSE)="","",VLOOKUP($C64,'Objetivos y procesos'!$A$6:$H$35,2,FALSE)),"ID no encontrado"))</f>
        <v>Canalizar lecturas por API sobre HANA y escrituras autorizadas por Service Layer sin duplicidad ni operaciones parciales.</v>
      </c>
      <c r="E64" s="7" t="str">
        <f>IF($G64="","",IFERROR(IF(VLOOKUP($G64,Requerimientos!$A$6:$M$43,3,FALSE)="","",VLOOKUP($G64,Requerimientos!$A$6:$M$43,3,FALSE)),"ID no encontrado"))</f>
        <v>PR-05</v>
      </c>
      <c r="F64" s="5" t="str">
        <f>IF($E64="","",IFERROR(IF(INDEX('Objetivos y procesos'!$D$6:$D$35,MATCH($E64,'Objetivos y procesos'!$C$6:$C$35,0))="","",IF(INDEX('Objetivos y procesos'!$D$6:$D$35,MATCH($E64,'Objetivos y procesos'!$C$6:$C$35,0))=INDEX('Objetivos y procesos'!$E$6:$E$35,MATCH($E64,'Objetivos y procesos'!$C$6:$C$35,0)),INDEX('Objetivos y procesos'!$D$6:$D$35,MATCH($E64,'Objetivos y procesos'!$C$6:$C$35,0)),INDEX('Objetivos y procesos'!$D$6:$D$35,MATCH($E64,'Objetivos y procesos'!$C$6:$C$35,0))&amp;IF(INDEX('Objetivos y procesos'!$E$6:$E$35,MATCH($E64,'Objetivos y procesos'!$C$6:$C$35,0))="",""," / "&amp;INDEX('Objetivos y procesos'!$E$6:$E$35,MATCH($E64,'Objetivos y procesos'!$C$6:$C$35,0))))),"ID no encontrado"))</f>
        <v>Integración con SAP Business One</v>
      </c>
      <c r="G64" s="8" t="s">
        <v>161</v>
      </c>
      <c r="H64" s="5" t="str">
        <f>IF($G64="","",IFERROR(IF(VLOOKUP($G64,Requerimientos!$A$6:$M$43,7,FALSE)="","",VLOOKUP($G64,Requerimientos!$A$6:$M$43,7,FALSE)),"ID no encontrado"))</f>
        <v>El sistema debe consultar productos, clientes, stock y otros datos autorizados del ERP mediante una API conectada con SAP HANA, en operaciones de solo lectura.</v>
      </c>
      <c r="I64" s="7" t="str">
        <f>IF($K64="","",IFERROR(IF(VLOOKUP($K64,'Historias y criterios'!$A$6:$P$83,2,FALSE)="","",VLOOKUP($K64,'Historias y criterios'!$A$6:$P$83,2,FALSE)),"ID no encontrado"))</f>
        <v>HU-015</v>
      </c>
      <c r="J64" s="5" t="str">
        <f>IF($K64="","",IFERROR(IF(VLOOKUP($K64,'Historias y criterios'!$A$6:$P$83,10,FALSE)="","",VLOOKUP($K64,'Historias y criterios'!$A$6:$P$83,10,FALSE)),"ID no encontrado"))</f>
        <v>Como usuario autorizado de la plataforma, quiero obtener productos, clientes, stock y datos permitidos mediante la API de lectura, para trabajar desde la web sin modificar directamente la información oficial del ERP</v>
      </c>
      <c r="K64" s="8" t="s">
        <v>166</v>
      </c>
      <c r="L64" s="5" t="str">
        <f>IF($K64="","",IFERROR(IF(VLOOKUP($K64,'Historias y criterios'!$A$6:$P$83,11,FALSE)="","",VLOOKUP($K64,'Historias y criterios'!$A$6:$P$83,11,FALSE)),"ID no encontrado"))</f>
        <v>Las credenciales se mantienen fuera del código.</v>
      </c>
      <c r="M64" s="8" t="s">
        <v>167</v>
      </c>
      <c r="N64" s="5" t="str">
        <f>IF($M64="","",IFERROR(IF(VLOOKUP($M64,'Casos y evidencias'!$A$6:$O$83,5,FALSE)="","",VLOOKUP($M64,'Casos y evidencias'!$A$6:$O$83,5,FALSE)),"ID no encontrado"))</f>
        <v>Credenciales fuera del código</v>
      </c>
      <c r="O64" s="5" t="str">
        <f>IF($M64="","",IFERROR(IF(VLOOKUP($M64,'Casos y evidencias'!$A$6:$O$83,10,FALSE)="","",VLOOKUP($M64,'Casos y evidencias'!$A$6:$O$83,10,FALSE)),"ID no encontrado"))</f>
        <v>No ejecutado</v>
      </c>
      <c r="P64" s="7" t="str">
        <f>IF($M64="","",IFERROR(IF(VLOOKUP($M64,'Casos y evidencias'!$A$6:$O$83,11,FALSE)="","",VLOOKUP($M64,'Casos y evidencias'!$A$6:$O$83,11,FALSE)),"ID no encontrado"))</f>
        <v/>
      </c>
      <c r="Q64" s="5" t="str">
        <f>IF($M64="","",IFERROR(IF(VLOOKUP($M64,'Casos y evidencias'!$A$6:$O$83,12,FALSE)="","",VLOOKUP($M64,'Casos y evidencias'!$A$6:$O$83,12,FALSE)),"ID no encontrado"))</f>
        <v/>
      </c>
      <c r="R64" s="4"/>
    </row>
    <row r="65" spans="1:18" ht="75.599999999999994" customHeight="1">
      <c r="A65" s="6">
        <v>58</v>
      </c>
      <c r="B65" s="5" t="str">
        <f>IF($G65="","",IF($K65="","Falta criterio",IFERROR(IF(VLOOKUP($K65,'Historias y criterios'!$A$6:$P$83,3,FALSE)&lt;&gt;$G65,"Revisar relación requisito-criterio",IF($M65="","Falta caso de prueba",IF(VLOOKUP($M65,'Casos y evidencias'!$A$6:$O$83,2,FALSE)&lt;&gt;$K65,"Revisar relación criterio-caso",IF($O65="Aprobado",IF($P65="","Falta evidencia","Trazabilidad completa"),IF($O65="Fallido","Prueba fallida",IF($O65="Bloqueado","Prueba bloqueada","Prueba pendiente")))))),"ID no encontrado")))</f>
        <v>Prueba pendiente</v>
      </c>
      <c r="C65" s="7" t="str">
        <f>IF($G65="","",IFERROR(IF(VLOOKUP($G65,Requerimientos!$A$6:$M$43,2,FALSE)="","",VLOOKUP($G65,Requerimientos!$A$6:$M$43,2,FALSE)),"ID no encontrado"))</f>
        <v>OBJ-005</v>
      </c>
      <c r="D65" s="5" t="str">
        <f>IF($C65="","",IFERROR(IF(VLOOKUP($C65,'Objetivos y procesos'!$A$6:$H$35,2,FALSE)="","",VLOOKUP($C65,'Objetivos y procesos'!$A$6:$H$35,2,FALSE)),"ID no encontrado"))</f>
        <v>Canalizar lecturas por API sobre HANA y escrituras autorizadas por Service Layer sin duplicidad ni operaciones parciales.</v>
      </c>
      <c r="E65" s="7" t="str">
        <f>IF($G65="","",IFERROR(IF(VLOOKUP($G65,Requerimientos!$A$6:$M$43,3,FALSE)="","",VLOOKUP($G65,Requerimientos!$A$6:$M$43,3,FALSE)),"ID no encontrado"))</f>
        <v>PR-05</v>
      </c>
      <c r="F65" s="5" t="str">
        <f>IF($E65="","",IFERROR(IF(INDEX('Objetivos y procesos'!$D$6:$D$35,MATCH($E65,'Objetivos y procesos'!$C$6:$C$35,0))="","",IF(INDEX('Objetivos y procesos'!$D$6:$D$35,MATCH($E65,'Objetivos y procesos'!$C$6:$C$35,0))=INDEX('Objetivos y procesos'!$E$6:$E$35,MATCH($E65,'Objetivos y procesos'!$C$6:$C$35,0)),INDEX('Objetivos y procesos'!$D$6:$D$35,MATCH($E65,'Objetivos y procesos'!$C$6:$C$35,0)),INDEX('Objetivos y procesos'!$D$6:$D$35,MATCH($E65,'Objetivos y procesos'!$C$6:$C$35,0))&amp;IF(INDEX('Objetivos y procesos'!$E$6:$E$35,MATCH($E65,'Objetivos y procesos'!$C$6:$C$35,0))="",""," / "&amp;INDEX('Objetivos y procesos'!$E$6:$E$35,MATCH($E65,'Objetivos y procesos'!$C$6:$C$35,0))))),"ID no encontrado"))</f>
        <v>Integración con SAP Business One</v>
      </c>
      <c r="G65" s="8" t="s">
        <v>161</v>
      </c>
      <c r="H65" s="5" t="str">
        <f>IF($G65="","",IFERROR(IF(VLOOKUP($G65,Requerimientos!$A$6:$M$43,7,FALSE)="","",VLOOKUP($G65,Requerimientos!$A$6:$M$43,7,FALSE)),"ID no encontrado"))</f>
        <v>El sistema debe consultar productos, clientes, stock y otros datos autorizados del ERP mediante una API conectada con SAP HANA, en operaciones de solo lectura.</v>
      </c>
      <c r="I65" s="7" t="str">
        <f>IF($K65="","",IFERROR(IF(VLOOKUP($K65,'Historias y criterios'!$A$6:$P$83,2,FALSE)="","",VLOOKUP($K65,'Historias y criterios'!$A$6:$P$83,2,FALSE)),"ID no encontrado"))</f>
        <v>HU-015</v>
      </c>
      <c r="J65" s="5" t="str">
        <f>IF($K65="","",IFERROR(IF(VLOOKUP($K65,'Historias y criterios'!$A$6:$P$83,10,FALSE)="","",VLOOKUP($K65,'Historias y criterios'!$A$6:$P$83,10,FALSE)),"ID no encontrado"))</f>
        <v>Como usuario autorizado de la plataforma, quiero obtener productos, clientes, stock y datos permitidos mediante la API de lectura, para trabajar desde la web sin modificar directamente la información oficial del ERP</v>
      </c>
      <c r="K65" s="8" t="s">
        <v>168</v>
      </c>
      <c r="L65" s="5" t="str">
        <f>IF($K65="","",IFERROR(IF(VLOOKUP($K65,'Historias y criterios'!$A$6:$P$83,11,FALSE)="","",VLOOKUP($K65,'Historias y criterios'!$A$6:$P$83,11,FALSE)),"ID no encontrado"))</f>
        <v>Los listados se paginan, aplican tiempo límite y reintentos acotados, y las consultas normales responden en menos de 3 segundos.</v>
      </c>
      <c r="M65" s="8" t="s">
        <v>169</v>
      </c>
      <c r="N65" s="5" t="str">
        <f>IF($M65="","",IFERROR(IF(VLOOKUP($M65,'Casos y evidencias'!$A$6:$O$83,5,FALSE)="","",VLOOKUP($M65,'Casos y evidencias'!$A$6:$O$83,5,FALSE)),"ID no encontrado"))</f>
        <v>Paginación, tiempo límite y rendimiento</v>
      </c>
      <c r="O65" s="5" t="str">
        <f>IF($M65="","",IFERROR(IF(VLOOKUP($M65,'Casos y evidencias'!$A$6:$O$83,10,FALSE)="","",VLOOKUP($M65,'Casos y evidencias'!$A$6:$O$83,10,FALSE)),"ID no encontrado"))</f>
        <v>No ejecutado</v>
      </c>
      <c r="P65" s="7" t="str">
        <f>IF($M65="","",IFERROR(IF(VLOOKUP($M65,'Casos y evidencias'!$A$6:$O$83,11,FALSE)="","",VLOOKUP($M65,'Casos y evidencias'!$A$6:$O$83,11,FALSE)),"ID no encontrado"))</f>
        <v/>
      </c>
      <c r="Q65" s="5" t="str">
        <f>IF($M65="","",IFERROR(IF(VLOOKUP($M65,'Casos y evidencias'!$A$6:$O$83,12,FALSE)="","",VLOOKUP($M65,'Casos y evidencias'!$A$6:$O$83,12,FALSE)),"ID no encontrado"))</f>
        <v/>
      </c>
      <c r="R65" s="4"/>
    </row>
    <row r="66" spans="1:18" ht="75.599999999999994" customHeight="1">
      <c r="A66" s="6">
        <v>59</v>
      </c>
      <c r="B66" s="5" t="str">
        <f>IF($G66="","",IF($K66="","Falta criterio",IFERROR(IF(VLOOKUP($K66,'Historias y criterios'!$A$6:$P$83,3,FALSE)&lt;&gt;$G66,"Revisar relación requisito-criterio",IF($M66="","Falta caso de prueba",IF(VLOOKUP($M66,'Casos y evidencias'!$A$6:$O$83,2,FALSE)&lt;&gt;$K66,"Revisar relación criterio-caso",IF($O66="Aprobado",IF($P66="","Falta evidencia","Trazabilidad completa"),IF($O66="Fallido","Prueba fallida",IF($O66="Bloqueado","Prueba bloqueada","Prueba pendiente")))))),"ID no encontrado")))</f>
        <v>Prueba pendiente</v>
      </c>
      <c r="C66" s="7" t="str">
        <f>IF($G66="","",IFERROR(IF(VLOOKUP($G66,Requerimientos!$A$6:$M$43,2,FALSE)="","",VLOOKUP($G66,Requerimientos!$A$6:$M$43,2,FALSE)),"ID no encontrado"))</f>
        <v>OBJ-005</v>
      </c>
      <c r="D66" s="5" t="str">
        <f>IF($C66="","",IFERROR(IF(VLOOKUP($C66,'Objetivos y procesos'!$A$6:$H$35,2,FALSE)="","",VLOOKUP($C66,'Objetivos y procesos'!$A$6:$H$35,2,FALSE)),"ID no encontrado"))</f>
        <v>Canalizar lecturas por API sobre HANA y escrituras autorizadas por Service Layer sin duplicidad ni operaciones parciales.</v>
      </c>
      <c r="E66" s="7" t="str">
        <f>IF($G66="","",IFERROR(IF(VLOOKUP($G66,Requerimientos!$A$6:$M$43,3,FALSE)="","",VLOOKUP($G66,Requerimientos!$A$6:$M$43,3,FALSE)),"ID no encontrado"))</f>
        <v>PR-05</v>
      </c>
      <c r="F66" s="5" t="str">
        <f>IF($E66="","",IFERROR(IF(INDEX('Objetivos y procesos'!$D$6:$D$35,MATCH($E66,'Objetivos y procesos'!$C$6:$C$35,0))="","",IF(INDEX('Objetivos y procesos'!$D$6:$D$35,MATCH($E66,'Objetivos y procesos'!$C$6:$C$35,0))=INDEX('Objetivos y procesos'!$E$6:$E$35,MATCH($E66,'Objetivos y procesos'!$C$6:$C$35,0)),INDEX('Objetivos y procesos'!$D$6:$D$35,MATCH($E66,'Objetivos y procesos'!$C$6:$C$35,0)),INDEX('Objetivos y procesos'!$D$6:$D$35,MATCH($E66,'Objetivos y procesos'!$C$6:$C$35,0))&amp;IF(INDEX('Objetivos y procesos'!$E$6:$E$35,MATCH($E66,'Objetivos y procesos'!$C$6:$C$35,0))="",""," / "&amp;INDEX('Objetivos y procesos'!$E$6:$E$35,MATCH($E66,'Objetivos y procesos'!$C$6:$C$35,0))))),"ID no encontrado"))</f>
        <v>Integración con SAP Business One</v>
      </c>
      <c r="G66" s="8" t="s">
        <v>170</v>
      </c>
      <c r="H66" s="5" t="str">
        <f>IF($G66="","",IFERROR(IF(VLOOKUP($G66,Requerimientos!$A$6:$M$43,7,FALSE)="","",VLOOKUP($G66,Requerimientos!$A$6:$M$43,7,FALSE)),"ID no encontrado"))</f>
        <v>El sistema debe crear documentos en el ERP exclusivamente a través de SAP Business One Service Layer.</v>
      </c>
      <c r="I66" s="7" t="str">
        <f>IF($K66="","",IFERROR(IF(VLOOKUP($K66,'Historias y criterios'!$A$6:$P$83,2,FALSE)="","",VLOOKUP($K66,'Historias y criterios'!$A$6:$P$83,2,FALSE)),"ID no encontrado"))</f>
        <v>HU-016</v>
      </c>
      <c r="J66" s="5" t="str">
        <f>IF($K66="","",IFERROR(IF(VLOOKUP($K66,'Historias y criterios'!$A$6:$P$83,10,FALSE)="","",VLOOKUP($K66,'Historias y criterios'!$A$6:$P$83,10,FALSE)),"ID no encontrado"))</f>
        <v>Como usuario autorizado, quiero enviar al ERP solo operaciones previamente validadas mediante Service Layer, para mantener la integridad y las reglas oficiales de SAP Business One</v>
      </c>
      <c r="K66" s="8" t="s">
        <v>171</v>
      </c>
      <c r="L66" s="5" t="str">
        <f>IF($K66="","",IFERROR(IF(VLOOKUP($K66,'Historias y criterios'!$A$6:$P$83,11,FALSE)="","",VLOOKUP($K66,'Historias y criterios'!$A$6:$P$83,11,FALSE)),"ID no encontrado"))</f>
        <v>Ninguna escritura se ejecuta directamente sobre SAP HANA.</v>
      </c>
      <c r="M66" s="8" t="s">
        <v>172</v>
      </c>
      <c r="N66" s="5" t="str">
        <f>IF($M66="","",IFERROR(IF(VLOOKUP($M66,'Casos y evidencias'!$A$6:$O$83,5,FALSE)="","",VLOOKUP($M66,'Casos y evidencias'!$A$6:$O$83,5,FALSE)),"ID no encontrado"))</f>
        <v>Sin escrituras directas sobre SAP HANA</v>
      </c>
      <c r="O66" s="5" t="str">
        <f>IF($M66="","",IFERROR(IF(VLOOKUP($M66,'Casos y evidencias'!$A$6:$O$83,10,FALSE)="","",VLOOKUP($M66,'Casos y evidencias'!$A$6:$O$83,10,FALSE)),"ID no encontrado"))</f>
        <v>No ejecutado</v>
      </c>
      <c r="P66" s="7" t="str">
        <f>IF($M66="","",IFERROR(IF(VLOOKUP($M66,'Casos y evidencias'!$A$6:$O$83,11,FALSE)="","",VLOOKUP($M66,'Casos y evidencias'!$A$6:$O$83,11,FALSE)),"ID no encontrado"))</f>
        <v/>
      </c>
      <c r="Q66" s="5" t="str">
        <f>IF($M66="","",IFERROR(IF(VLOOKUP($M66,'Casos y evidencias'!$A$6:$O$83,12,FALSE)="","",VLOOKUP($M66,'Casos y evidencias'!$A$6:$O$83,12,FALSE)),"ID no encontrado"))</f>
        <v/>
      </c>
      <c r="R66" s="4"/>
    </row>
    <row r="67" spans="1:18" ht="75.599999999999994" customHeight="1">
      <c r="A67" s="6">
        <v>60</v>
      </c>
      <c r="B67" s="5" t="str">
        <f>IF($G67="","",IF($K67="","Falta criterio",IFERROR(IF(VLOOKUP($K67,'Historias y criterios'!$A$6:$P$83,3,FALSE)&lt;&gt;$G67,"Revisar relación requisito-criterio",IF($M67="","Falta caso de prueba",IF(VLOOKUP($M67,'Casos y evidencias'!$A$6:$O$83,2,FALSE)&lt;&gt;$K67,"Revisar relación criterio-caso",IF($O67="Aprobado",IF($P67="","Falta evidencia","Trazabilidad completa"),IF($O67="Fallido","Prueba fallida",IF($O67="Bloqueado","Prueba bloqueada","Prueba pendiente")))))),"ID no encontrado")))</f>
        <v>Prueba pendiente</v>
      </c>
      <c r="C67" s="7" t="str">
        <f>IF($G67="","",IFERROR(IF(VLOOKUP($G67,Requerimientos!$A$6:$M$43,2,FALSE)="","",VLOOKUP($G67,Requerimientos!$A$6:$M$43,2,FALSE)),"ID no encontrado"))</f>
        <v>OBJ-005</v>
      </c>
      <c r="D67" s="5" t="str">
        <f>IF($C67="","",IFERROR(IF(VLOOKUP($C67,'Objetivos y procesos'!$A$6:$H$35,2,FALSE)="","",VLOOKUP($C67,'Objetivos y procesos'!$A$6:$H$35,2,FALSE)),"ID no encontrado"))</f>
        <v>Canalizar lecturas por API sobre HANA y escrituras autorizadas por Service Layer sin duplicidad ni operaciones parciales.</v>
      </c>
      <c r="E67" s="7" t="str">
        <f>IF($G67="","",IFERROR(IF(VLOOKUP($G67,Requerimientos!$A$6:$M$43,3,FALSE)="","",VLOOKUP($G67,Requerimientos!$A$6:$M$43,3,FALSE)),"ID no encontrado"))</f>
        <v>PR-05</v>
      </c>
      <c r="F67" s="5" t="str">
        <f>IF($E67="","",IFERROR(IF(INDEX('Objetivos y procesos'!$D$6:$D$35,MATCH($E67,'Objetivos y procesos'!$C$6:$C$35,0))="","",IF(INDEX('Objetivos y procesos'!$D$6:$D$35,MATCH($E67,'Objetivos y procesos'!$C$6:$C$35,0))=INDEX('Objetivos y procesos'!$E$6:$E$35,MATCH($E67,'Objetivos y procesos'!$C$6:$C$35,0)),INDEX('Objetivos y procesos'!$D$6:$D$35,MATCH($E67,'Objetivos y procesos'!$C$6:$C$35,0)),INDEX('Objetivos y procesos'!$D$6:$D$35,MATCH($E67,'Objetivos y procesos'!$C$6:$C$35,0))&amp;IF(INDEX('Objetivos y procesos'!$E$6:$E$35,MATCH($E67,'Objetivos y procesos'!$C$6:$C$35,0))="",""," / "&amp;INDEX('Objetivos y procesos'!$E$6:$E$35,MATCH($E67,'Objetivos y procesos'!$C$6:$C$35,0))))),"ID no encontrado"))</f>
        <v>Integración con SAP Business One</v>
      </c>
      <c r="G67" s="8" t="s">
        <v>170</v>
      </c>
      <c r="H67" s="5" t="str">
        <f>IF($G67="","",IFERROR(IF(VLOOKUP($G67,Requerimientos!$A$6:$M$43,7,FALSE)="","",VLOOKUP($G67,Requerimientos!$A$6:$M$43,7,FALSE)),"ID no encontrado"))</f>
        <v>El sistema debe crear documentos en el ERP exclusivamente a través de SAP Business One Service Layer.</v>
      </c>
      <c r="I67" s="7" t="str">
        <f>IF($K67="","",IFERROR(IF(VLOOKUP($K67,'Historias y criterios'!$A$6:$P$83,2,FALSE)="","",VLOOKUP($K67,'Historias y criterios'!$A$6:$P$83,2,FALSE)),"ID no encontrado"))</f>
        <v>HU-016</v>
      </c>
      <c r="J67" s="5" t="str">
        <f>IF($K67="","",IFERROR(IF(VLOOKUP($K67,'Historias y criterios'!$A$6:$P$83,10,FALSE)="","",VLOOKUP($K67,'Historias y criterios'!$A$6:$P$83,10,FALSE)),"ID no encontrado"))</f>
        <v>Como usuario autorizado, quiero enviar al ERP solo operaciones previamente validadas mediante Service Layer, para mantener la integridad y las reglas oficiales de SAP Business One</v>
      </c>
      <c r="K67" s="8" t="s">
        <v>173</v>
      </c>
      <c r="L67" s="5" t="str">
        <f>IF($K67="","",IFERROR(IF(VLOOKUP($K67,'Historias y criterios'!$A$6:$P$83,11,FALSE)="","",VLOOKUP($K67,'Historias y criterios'!$A$6:$P$83,11,FALSE)),"ID no encontrado"))</f>
        <v>Solo se envían documentos con autorización registrada cuando corresponda.</v>
      </c>
      <c r="M67" s="8" t="s">
        <v>174</v>
      </c>
      <c r="N67" s="5" t="str">
        <f>IF($M67="","",IFERROR(IF(VLOOKUP($M67,'Casos y evidencias'!$A$6:$O$83,5,FALSE)="","",VLOOKUP($M67,'Casos y evidencias'!$A$6:$O$83,5,FALSE)),"ID no encontrado"))</f>
        <v>Envío solo con autorización registrada</v>
      </c>
      <c r="O67" s="5" t="str">
        <f>IF($M67="","",IFERROR(IF(VLOOKUP($M67,'Casos y evidencias'!$A$6:$O$83,10,FALSE)="","",VLOOKUP($M67,'Casos y evidencias'!$A$6:$O$83,10,FALSE)),"ID no encontrado"))</f>
        <v>No ejecutado</v>
      </c>
      <c r="P67" s="7" t="str">
        <f>IF($M67="","",IFERROR(IF(VLOOKUP($M67,'Casos y evidencias'!$A$6:$O$83,11,FALSE)="","",VLOOKUP($M67,'Casos y evidencias'!$A$6:$O$83,11,FALSE)),"ID no encontrado"))</f>
        <v/>
      </c>
      <c r="Q67" s="5" t="str">
        <f>IF($M67="","",IFERROR(IF(VLOOKUP($M67,'Casos y evidencias'!$A$6:$O$83,12,FALSE)="","",VLOOKUP($M67,'Casos y evidencias'!$A$6:$O$83,12,FALSE)),"ID no encontrado"))</f>
        <v/>
      </c>
      <c r="R67" s="4"/>
    </row>
    <row r="68" spans="1:18" ht="75.599999999999994" customHeight="1">
      <c r="A68" s="6">
        <v>61</v>
      </c>
      <c r="B68" s="5" t="str">
        <f>IF($G68="","",IF($K68="","Falta criterio",IFERROR(IF(VLOOKUP($K68,'Historias y criterios'!$A$6:$P$83,3,FALSE)&lt;&gt;$G68,"Revisar relación requisito-criterio",IF($M68="","Falta caso de prueba",IF(VLOOKUP($M68,'Casos y evidencias'!$A$6:$O$83,2,FALSE)&lt;&gt;$K68,"Revisar relación criterio-caso",IF($O68="Aprobado",IF($P68="","Falta evidencia","Trazabilidad completa"),IF($O68="Fallido","Prueba fallida",IF($O68="Bloqueado","Prueba bloqueada","Prueba pendiente")))))),"ID no encontrado")))</f>
        <v>Prueba pendiente</v>
      </c>
      <c r="C68" s="7" t="str">
        <f>IF($G68="","",IFERROR(IF(VLOOKUP($G68,Requerimientos!$A$6:$M$43,2,FALSE)="","",VLOOKUP($G68,Requerimientos!$A$6:$M$43,2,FALSE)),"ID no encontrado"))</f>
        <v>OBJ-005</v>
      </c>
      <c r="D68" s="5" t="str">
        <f>IF($C68="","",IFERROR(IF(VLOOKUP($C68,'Objetivos y procesos'!$A$6:$H$35,2,FALSE)="","",VLOOKUP($C68,'Objetivos y procesos'!$A$6:$H$35,2,FALSE)),"ID no encontrado"))</f>
        <v>Canalizar lecturas por API sobre HANA y escrituras autorizadas por Service Layer sin duplicidad ni operaciones parciales.</v>
      </c>
      <c r="E68" s="7" t="str">
        <f>IF($G68="","",IFERROR(IF(VLOOKUP($G68,Requerimientos!$A$6:$M$43,3,FALSE)="","",VLOOKUP($G68,Requerimientos!$A$6:$M$43,3,FALSE)),"ID no encontrado"))</f>
        <v>PR-05</v>
      </c>
      <c r="F68" s="5" t="str">
        <f>IF($E68="","",IFERROR(IF(INDEX('Objetivos y procesos'!$D$6:$D$35,MATCH($E68,'Objetivos y procesos'!$C$6:$C$35,0))="","",IF(INDEX('Objetivos y procesos'!$D$6:$D$35,MATCH($E68,'Objetivos y procesos'!$C$6:$C$35,0))=INDEX('Objetivos y procesos'!$E$6:$E$35,MATCH($E68,'Objetivos y procesos'!$C$6:$C$35,0)),INDEX('Objetivos y procesos'!$D$6:$D$35,MATCH($E68,'Objetivos y procesos'!$C$6:$C$35,0)),INDEX('Objetivos y procesos'!$D$6:$D$35,MATCH($E68,'Objetivos y procesos'!$C$6:$C$35,0))&amp;IF(INDEX('Objetivos y procesos'!$E$6:$E$35,MATCH($E68,'Objetivos y procesos'!$C$6:$C$35,0))="",""," / "&amp;INDEX('Objetivos y procesos'!$E$6:$E$35,MATCH($E68,'Objetivos y procesos'!$C$6:$C$35,0))))),"ID no encontrado"))</f>
        <v>Integración con SAP Business One</v>
      </c>
      <c r="G68" s="8" t="s">
        <v>170</v>
      </c>
      <c r="H68" s="5" t="str">
        <f>IF($G68="","",IFERROR(IF(VLOOKUP($G68,Requerimientos!$A$6:$M$43,7,FALSE)="","",VLOOKUP($G68,Requerimientos!$A$6:$M$43,7,FALSE)),"ID no encontrado"))</f>
        <v>El sistema debe crear documentos en el ERP exclusivamente a través de SAP Business One Service Layer.</v>
      </c>
      <c r="I68" s="7" t="str">
        <f>IF($K68="","",IFERROR(IF(VLOOKUP($K68,'Historias y criterios'!$A$6:$P$83,2,FALSE)="","",VLOOKUP($K68,'Historias y criterios'!$A$6:$P$83,2,FALSE)),"ID no encontrado"))</f>
        <v>HU-016</v>
      </c>
      <c r="J68" s="5" t="str">
        <f>IF($K68="","",IFERROR(IF(VLOOKUP($K68,'Historias y criterios'!$A$6:$P$83,10,FALSE)="","",VLOOKUP($K68,'Historias y criterios'!$A$6:$P$83,10,FALSE)),"ID no encontrado"))</f>
        <v>Como usuario autorizado, quiero enviar al ERP solo operaciones previamente validadas mediante Service Layer, para mantener la integridad y las reglas oficiales de SAP Business One</v>
      </c>
      <c r="K68" s="8" t="s">
        <v>175</v>
      </c>
      <c r="L68" s="5" t="str">
        <f>IF($K68="","",IFERROR(IF(VLOOKUP($K68,'Historias y criterios'!$A$6:$P$83,11,FALSE)="","",VLOOKUP($K68,'Historias y criterios'!$A$6:$P$83,11,FALSE)),"ID no encontrado"))</f>
        <v>Service Layer aplica sus validaciones y devuelve el resultado de la operación.</v>
      </c>
      <c r="M68" s="8" t="s">
        <v>176</v>
      </c>
      <c r="N68" s="5" t="str">
        <f>IF($M68="","",IFERROR(IF(VLOOKUP($M68,'Casos y evidencias'!$A$6:$O$83,5,FALSE)="","",VLOOKUP($M68,'Casos y evidencias'!$A$6:$O$83,5,FALSE)),"ID no encontrado"))</f>
        <v>Validaciones y resultado de Service Layer</v>
      </c>
      <c r="O68" s="5" t="str">
        <f>IF($M68="","",IFERROR(IF(VLOOKUP($M68,'Casos y evidencias'!$A$6:$O$83,10,FALSE)="","",VLOOKUP($M68,'Casos y evidencias'!$A$6:$O$83,10,FALSE)),"ID no encontrado"))</f>
        <v>No ejecutado</v>
      </c>
      <c r="P68" s="7" t="str">
        <f>IF($M68="","",IFERROR(IF(VLOOKUP($M68,'Casos y evidencias'!$A$6:$O$83,11,FALSE)="","",VLOOKUP($M68,'Casos y evidencias'!$A$6:$O$83,11,FALSE)),"ID no encontrado"))</f>
        <v/>
      </c>
      <c r="Q68" s="5" t="str">
        <f>IF($M68="","",IFERROR(IF(VLOOKUP($M68,'Casos y evidencias'!$A$6:$O$83,12,FALSE)="","",VLOOKUP($M68,'Casos y evidencias'!$A$6:$O$83,12,FALSE)),"ID no encontrado"))</f>
        <v/>
      </c>
      <c r="R68" s="4"/>
    </row>
    <row r="69" spans="1:18" ht="75.599999999999994" customHeight="1">
      <c r="A69" s="6">
        <v>62</v>
      </c>
      <c r="B69" s="5" t="str">
        <f>IF($G69="","",IF($K69="","Falta criterio",IFERROR(IF(VLOOKUP($K69,'Historias y criterios'!$A$6:$P$83,3,FALSE)&lt;&gt;$G69,"Revisar relación requisito-criterio",IF($M69="","Falta caso de prueba",IF(VLOOKUP($M69,'Casos y evidencias'!$A$6:$O$83,2,FALSE)&lt;&gt;$K69,"Revisar relación criterio-caso",IF($O69="Aprobado",IF($P69="","Falta evidencia","Trazabilidad completa"),IF($O69="Fallido","Prueba fallida",IF($O69="Bloqueado","Prueba bloqueada","Prueba pendiente")))))),"ID no encontrado")))</f>
        <v>Prueba pendiente</v>
      </c>
      <c r="C69" s="7" t="str">
        <f>IF($G69="","",IFERROR(IF(VLOOKUP($G69,Requerimientos!$A$6:$M$43,2,FALSE)="","",VLOOKUP($G69,Requerimientos!$A$6:$M$43,2,FALSE)),"ID no encontrado"))</f>
        <v>OBJ-005</v>
      </c>
      <c r="D69" s="5" t="str">
        <f>IF($C69="","",IFERROR(IF(VLOOKUP($C69,'Objetivos y procesos'!$A$6:$H$35,2,FALSE)="","",VLOOKUP($C69,'Objetivos y procesos'!$A$6:$H$35,2,FALSE)),"ID no encontrado"))</f>
        <v>Canalizar lecturas por API sobre HANA y escrituras autorizadas por Service Layer sin duplicidad ni operaciones parciales.</v>
      </c>
      <c r="E69" s="7" t="str">
        <f>IF($G69="","",IFERROR(IF(VLOOKUP($G69,Requerimientos!$A$6:$M$43,3,FALSE)="","",VLOOKUP($G69,Requerimientos!$A$6:$M$43,3,FALSE)),"ID no encontrado"))</f>
        <v>PR-05</v>
      </c>
      <c r="F69" s="5" t="str">
        <f>IF($E69="","",IFERROR(IF(INDEX('Objetivos y procesos'!$D$6:$D$35,MATCH($E69,'Objetivos y procesos'!$C$6:$C$35,0))="","",IF(INDEX('Objetivos y procesos'!$D$6:$D$35,MATCH($E69,'Objetivos y procesos'!$C$6:$C$35,0))=INDEX('Objetivos y procesos'!$E$6:$E$35,MATCH($E69,'Objetivos y procesos'!$C$6:$C$35,0)),INDEX('Objetivos y procesos'!$D$6:$D$35,MATCH($E69,'Objetivos y procesos'!$C$6:$C$35,0)),INDEX('Objetivos y procesos'!$D$6:$D$35,MATCH($E69,'Objetivos y procesos'!$C$6:$C$35,0))&amp;IF(INDEX('Objetivos y procesos'!$E$6:$E$35,MATCH($E69,'Objetivos y procesos'!$C$6:$C$35,0))="",""," / "&amp;INDEX('Objetivos y procesos'!$E$6:$E$35,MATCH($E69,'Objetivos y procesos'!$C$6:$C$35,0))))),"ID no encontrado"))</f>
        <v>Integración con SAP Business One</v>
      </c>
      <c r="G69" s="8" t="s">
        <v>170</v>
      </c>
      <c r="H69" s="5" t="str">
        <f>IF($G69="","",IFERROR(IF(VLOOKUP($G69,Requerimientos!$A$6:$M$43,7,FALSE)="","",VLOOKUP($G69,Requerimientos!$A$6:$M$43,7,FALSE)),"ID no encontrado"))</f>
        <v>El sistema debe crear documentos en el ERP exclusivamente a través de SAP Business One Service Layer.</v>
      </c>
      <c r="I69" s="7" t="str">
        <f>IF($K69="","",IFERROR(IF(VLOOKUP($K69,'Historias y criterios'!$A$6:$P$83,2,FALSE)="","",VLOOKUP($K69,'Historias y criterios'!$A$6:$P$83,2,FALSE)),"ID no encontrado"))</f>
        <v>HU-016</v>
      </c>
      <c r="J69" s="5" t="str">
        <f>IF($K69="","",IFERROR(IF(VLOOKUP($K69,'Historias y criterios'!$A$6:$P$83,10,FALSE)="","",VLOOKUP($K69,'Historias y criterios'!$A$6:$P$83,10,FALSE)),"ID no encontrado"))</f>
        <v>Como usuario autorizado, quiero enviar al ERP solo operaciones previamente validadas mediante Service Layer, para mantener la integridad y las reglas oficiales de SAP Business One</v>
      </c>
      <c r="K69" s="8" t="s">
        <v>177</v>
      </c>
      <c r="L69" s="5" t="str">
        <f>IF($K69="","",IFERROR(IF(VLOOKUP($K69,'Historias y criterios'!$A$6:$P$83,11,FALSE)="","",VLOOKUP($K69,'Historias y criterios'!$A$6:$P$83,11,FALSE)),"ID no encontrado"))</f>
        <v>La plataforma conserva el documento exactamente como fue autorizado y respeta las autorizaciones de acceso y licenciamiento vigentes.</v>
      </c>
      <c r="M69" s="8" t="s">
        <v>178</v>
      </c>
      <c r="N69" s="5" t="str">
        <f>IF($M69="","",IFERROR(IF(VLOOKUP($M69,'Casos y evidencias'!$A$6:$O$83,5,FALSE)="","",VLOOKUP($M69,'Casos y evidencias'!$A$6:$O$83,5,FALSE)),"ID no encontrado"))</f>
        <v>Conservación del documento autorizado</v>
      </c>
      <c r="O69" s="5" t="str">
        <f>IF($M69="","",IFERROR(IF(VLOOKUP($M69,'Casos y evidencias'!$A$6:$O$83,10,FALSE)="","",VLOOKUP($M69,'Casos y evidencias'!$A$6:$O$83,10,FALSE)),"ID no encontrado"))</f>
        <v>No ejecutado</v>
      </c>
      <c r="P69" s="7" t="str">
        <f>IF($M69="","",IFERROR(IF(VLOOKUP($M69,'Casos y evidencias'!$A$6:$O$83,11,FALSE)="","",VLOOKUP($M69,'Casos y evidencias'!$A$6:$O$83,11,FALSE)),"ID no encontrado"))</f>
        <v/>
      </c>
      <c r="Q69" s="5" t="str">
        <f>IF($M69="","",IFERROR(IF(VLOOKUP($M69,'Casos y evidencias'!$A$6:$O$83,12,FALSE)="","",VLOOKUP($M69,'Casos y evidencias'!$A$6:$O$83,12,FALSE)),"ID no encontrado"))</f>
        <v/>
      </c>
      <c r="R69" s="4"/>
    </row>
    <row r="70" spans="1:18" ht="75.599999999999994" customHeight="1">
      <c r="A70" s="6">
        <v>63</v>
      </c>
      <c r="B70" s="5" t="str">
        <f>IF($G70="","",IF($K70="","Falta criterio",IFERROR(IF(VLOOKUP($K70,'Historias y criterios'!$A$6:$P$83,3,FALSE)&lt;&gt;$G70,"Revisar relación requisito-criterio",IF($M70="","Falta caso de prueba",IF(VLOOKUP($M70,'Casos y evidencias'!$A$6:$O$83,2,FALSE)&lt;&gt;$K70,"Revisar relación criterio-caso",IF($O70="Aprobado",IF($P70="","Falta evidencia","Trazabilidad completa"),IF($O70="Fallido","Prueba fallida",IF($O70="Bloqueado","Prueba bloqueada","Prueba pendiente")))))),"ID no encontrado")))</f>
        <v>Prueba pendiente</v>
      </c>
      <c r="C70" s="7" t="str">
        <f>IF($G70="","",IFERROR(IF(VLOOKUP($G70,Requerimientos!$A$6:$M$43,2,FALSE)="","",VLOOKUP($G70,Requerimientos!$A$6:$M$43,2,FALSE)),"ID no encontrado"))</f>
        <v>OBJ-005</v>
      </c>
      <c r="D70" s="5" t="str">
        <f>IF($C70="","",IFERROR(IF(VLOOKUP($C70,'Objetivos y procesos'!$A$6:$H$35,2,FALSE)="","",VLOOKUP($C70,'Objetivos y procesos'!$A$6:$H$35,2,FALSE)),"ID no encontrado"))</f>
        <v>Canalizar lecturas por API sobre HANA y escrituras autorizadas por Service Layer sin duplicidad ni operaciones parciales.</v>
      </c>
      <c r="E70" s="7" t="str">
        <f>IF($G70="","",IFERROR(IF(VLOOKUP($G70,Requerimientos!$A$6:$M$43,3,FALSE)="","",VLOOKUP($G70,Requerimientos!$A$6:$M$43,3,FALSE)),"ID no encontrado"))</f>
        <v>PR-05</v>
      </c>
      <c r="F70" s="5" t="str">
        <f>IF($E70="","",IFERROR(IF(INDEX('Objetivos y procesos'!$D$6:$D$35,MATCH($E70,'Objetivos y procesos'!$C$6:$C$35,0))="","",IF(INDEX('Objetivos y procesos'!$D$6:$D$35,MATCH($E70,'Objetivos y procesos'!$C$6:$C$35,0))=INDEX('Objetivos y procesos'!$E$6:$E$35,MATCH($E70,'Objetivos y procesos'!$C$6:$C$35,0)),INDEX('Objetivos y procesos'!$D$6:$D$35,MATCH($E70,'Objetivos y procesos'!$C$6:$C$35,0)),INDEX('Objetivos y procesos'!$D$6:$D$35,MATCH($E70,'Objetivos y procesos'!$C$6:$C$35,0))&amp;IF(INDEX('Objetivos y procesos'!$E$6:$E$35,MATCH($E70,'Objetivos y procesos'!$C$6:$C$35,0))="",""," / "&amp;INDEX('Objetivos y procesos'!$E$6:$E$35,MATCH($E70,'Objetivos y procesos'!$C$6:$C$35,0))))),"ID no encontrado"))</f>
        <v>Integración con SAP Business One</v>
      </c>
      <c r="G70" s="8" t="s">
        <v>179</v>
      </c>
      <c r="H70" s="5" t="str">
        <f>IF($G70="","",IFERROR(IF(VLOOKUP($G70,Requerimientos!$A$6:$M$43,7,FALSE)="","",VLOOKUP($G70,Requerimientos!$A$6:$M$43,7,FALSE)),"ID no encontrado"))</f>
        <v>El sistema debe registrar el resultado de cada operación enviada al ERP, incluidos los errores devueltos por SAP.</v>
      </c>
      <c r="I70" s="7" t="str">
        <f>IF($K70="","",IFERROR(IF(VLOOKUP($K70,'Historias y criterios'!$A$6:$P$83,2,FALSE)="","",VLOOKUP($K70,'Historias y criterios'!$A$6:$P$83,2,FALSE)),"ID no encontrado"))</f>
        <v>HU-017</v>
      </c>
      <c r="J70" s="5" t="str">
        <f>IF($K70="","",IFERROR(IF(VLOOKUP($K70,'Historias y criterios'!$A$6:$P$83,10,FALSE)="","",VLOOKUP($K70,'Historias y criterios'!$A$6:$P$83,10,FALSE)),"ID no encontrado"))</f>
        <v>Como responsable de operación, quiero consultar el resultado de cada envío y reintentar los fallidos de forma segura, para resolver errores sin duplicar documentos ni líneas en el ERP</v>
      </c>
      <c r="K70" s="8" t="s">
        <v>180</v>
      </c>
      <c r="L70" s="5" t="str">
        <f>IF($K70="","",IFERROR(IF(VLOOKUP($K70,'Historias y criterios'!$A$6:$P$83,11,FALSE)="","",VLOOKUP($K70,'Historias y criterios'!$A$6:$P$83,11,FALSE)),"ID no encontrado"))</f>
        <v>Cada envío registra documento, resultado, identificador y mensaje de error.</v>
      </c>
      <c r="M70" s="8" t="s">
        <v>181</v>
      </c>
      <c r="N70" s="5" t="str">
        <f>IF($M70="","",IFERROR(IF(VLOOKUP($M70,'Casos y evidencias'!$A$6:$O$83,5,FALSE)="","",VLOOKUP($M70,'Casos y evidencias'!$A$6:$O$83,5,FALSE)),"ID no encontrado"))</f>
        <v>Registro del resultado de cada envío</v>
      </c>
      <c r="O70" s="5" t="str">
        <f>IF($M70="","",IFERROR(IF(VLOOKUP($M70,'Casos y evidencias'!$A$6:$O$83,10,FALSE)="","",VLOOKUP($M70,'Casos y evidencias'!$A$6:$O$83,10,FALSE)),"ID no encontrado"))</f>
        <v>No ejecutado</v>
      </c>
      <c r="P70" s="7" t="str">
        <f>IF($M70="","",IFERROR(IF(VLOOKUP($M70,'Casos y evidencias'!$A$6:$O$83,11,FALSE)="","",VLOOKUP($M70,'Casos y evidencias'!$A$6:$O$83,11,FALSE)),"ID no encontrado"))</f>
        <v/>
      </c>
      <c r="Q70" s="5" t="str">
        <f>IF($M70="","",IFERROR(IF(VLOOKUP($M70,'Casos y evidencias'!$A$6:$O$83,12,FALSE)="","",VLOOKUP($M70,'Casos y evidencias'!$A$6:$O$83,12,FALSE)),"ID no encontrado"))</f>
        <v/>
      </c>
      <c r="R70" s="4"/>
    </row>
    <row r="71" spans="1:18" ht="75.599999999999994" customHeight="1">
      <c r="A71" s="6">
        <v>64</v>
      </c>
      <c r="B71" s="5" t="str">
        <f>IF($G71="","",IF($K71="","Falta criterio",IFERROR(IF(VLOOKUP($K71,'Historias y criterios'!$A$6:$P$83,3,FALSE)&lt;&gt;$G71,"Revisar relación requisito-criterio",IF($M71="","Falta caso de prueba",IF(VLOOKUP($M71,'Casos y evidencias'!$A$6:$O$83,2,FALSE)&lt;&gt;$K71,"Revisar relación criterio-caso",IF($O71="Aprobado",IF($P71="","Falta evidencia","Trazabilidad completa"),IF($O71="Fallido","Prueba fallida",IF($O71="Bloqueado","Prueba bloqueada","Prueba pendiente")))))),"ID no encontrado")))</f>
        <v>Prueba pendiente</v>
      </c>
      <c r="C71" s="7" t="str">
        <f>IF($G71="","",IFERROR(IF(VLOOKUP($G71,Requerimientos!$A$6:$M$43,2,FALSE)="","",VLOOKUP($G71,Requerimientos!$A$6:$M$43,2,FALSE)),"ID no encontrado"))</f>
        <v>OBJ-005</v>
      </c>
      <c r="D71" s="5" t="str">
        <f>IF($C71="","",IFERROR(IF(VLOOKUP($C71,'Objetivos y procesos'!$A$6:$H$35,2,FALSE)="","",VLOOKUP($C71,'Objetivos y procesos'!$A$6:$H$35,2,FALSE)),"ID no encontrado"))</f>
        <v>Canalizar lecturas por API sobre HANA y escrituras autorizadas por Service Layer sin duplicidad ni operaciones parciales.</v>
      </c>
      <c r="E71" s="7" t="str">
        <f>IF($G71="","",IFERROR(IF(VLOOKUP($G71,Requerimientos!$A$6:$M$43,3,FALSE)="","",VLOOKUP($G71,Requerimientos!$A$6:$M$43,3,FALSE)),"ID no encontrado"))</f>
        <v>PR-05</v>
      </c>
      <c r="F71" s="5" t="str">
        <f>IF($E71="","",IFERROR(IF(INDEX('Objetivos y procesos'!$D$6:$D$35,MATCH($E71,'Objetivos y procesos'!$C$6:$C$35,0))="","",IF(INDEX('Objetivos y procesos'!$D$6:$D$35,MATCH($E71,'Objetivos y procesos'!$C$6:$C$35,0))=INDEX('Objetivos y procesos'!$E$6:$E$35,MATCH($E71,'Objetivos y procesos'!$C$6:$C$35,0)),INDEX('Objetivos y procesos'!$D$6:$D$35,MATCH($E71,'Objetivos y procesos'!$C$6:$C$35,0)),INDEX('Objetivos y procesos'!$D$6:$D$35,MATCH($E71,'Objetivos y procesos'!$C$6:$C$35,0))&amp;IF(INDEX('Objetivos y procesos'!$E$6:$E$35,MATCH($E71,'Objetivos y procesos'!$C$6:$C$35,0))="",""," / "&amp;INDEX('Objetivos y procesos'!$E$6:$E$35,MATCH($E71,'Objetivos y procesos'!$C$6:$C$35,0))))),"ID no encontrado"))</f>
        <v>Integración con SAP Business One</v>
      </c>
      <c r="G71" s="8" t="s">
        <v>179</v>
      </c>
      <c r="H71" s="5" t="str">
        <f>IF($G71="","",IFERROR(IF(VLOOKUP($G71,Requerimientos!$A$6:$M$43,7,FALSE)="","",VLOOKUP($G71,Requerimientos!$A$6:$M$43,7,FALSE)),"ID no encontrado"))</f>
        <v>El sistema debe registrar el resultado de cada operación enviada al ERP, incluidos los errores devueltos por SAP.</v>
      </c>
      <c r="I71" s="7" t="str">
        <f>IF($K71="","",IFERROR(IF(VLOOKUP($K71,'Historias y criterios'!$A$6:$P$83,2,FALSE)="","",VLOOKUP($K71,'Historias y criterios'!$A$6:$P$83,2,FALSE)),"ID no encontrado"))</f>
        <v>HU-017</v>
      </c>
      <c r="J71" s="5" t="str">
        <f>IF($K71="","",IFERROR(IF(VLOOKUP($K71,'Historias y criterios'!$A$6:$P$83,10,FALSE)="","",VLOOKUP($K71,'Historias y criterios'!$A$6:$P$83,10,FALSE)),"ID no encontrado"))</f>
        <v>Como responsable de operación, quiero consultar el resultado de cada envío y reintentar los fallidos de forma segura, para resolver errores sin duplicar documentos ni líneas en el ERP</v>
      </c>
      <c r="K71" s="8" t="s">
        <v>182</v>
      </c>
      <c r="L71" s="5" t="str">
        <f>IF($K71="","",IFERROR(IF(VLOOKUP($K71,'Historias y criterios'!$A$6:$P$83,11,FALSE)="","",VLOOKUP($K71,'Historias y criterios'!$A$6:$P$83,11,FALSE)),"ID no encontrado"))</f>
        <v>Los mensajes indican claramente qué ocurrió.</v>
      </c>
      <c r="M71" s="8" t="s">
        <v>183</v>
      </c>
      <c r="N71" s="5" t="str">
        <f>IF($M71="","",IFERROR(IF(VLOOKUP($M71,'Casos y evidencias'!$A$6:$O$83,5,FALSE)="","",VLOOKUP($M71,'Casos y evidencias'!$A$6:$O$83,5,FALSE)),"ID no encontrado"))</f>
        <v>Mensajes de error comprensibles</v>
      </c>
      <c r="O71" s="5" t="str">
        <f>IF($M71="","",IFERROR(IF(VLOOKUP($M71,'Casos y evidencias'!$A$6:$O$83,10,FALSE)="","",VLOOKUP($M71,'Casos y evidencias'!$A$6:$O$83,10,FALSE)),"ID no encontrado"))</f>
        <v>No ejecutado</v>
      </c>
      <c r="P71" s="7" t="str">
        <f>IF($M71="","",IFERROR(IF(VLOOKUP($M71,'Casos y evidencias'!$A$6:$O$83,11,FALSE)="","",VLOOKUP($M71,'Casos y evidencias'!$A$6:$O$83,11,FALSE)),"ID no encontrado"))</f>
        <v/>
      </c>
      <c r="Q71" s="5" t="str">
        <f>IF($M71="","",IFERROR(IF(VLOOKUP($M71,'Casos y evidencias'!$A$6:$O$83,12,FALSE)="","",VLOOKUP($M71,'Casos y evidencias'!$A$6:$O$83,12,FALSE)),"ID no encontrado"))</f>
        <v/>
      </c>
      <c r="R71" s="4"/>
    </row>
    <row r="72" spans="1:18" ht="75.599999999999994" customHeight="1">
      <c r="A72" s="6">
        <v>65</v>
      </c>
      <c r="B72" s="5" t="str">
        <f>IF($G72="","",IF($K72="","Falta criterio",IFERROR(IF(VLOOKUP($K72,'Historias y criterios'!$A$6:$P$83,3,FALSE)&lt;&gt;$G72,"Revisar relación requisito-criterio",IF($M72="","Falta caso de prueba",IF(VLOOKUP($M72,'Casos y evidencias'!$A$6:$O$83,2,FALSE)&lt;&gt;$K72,"Revisar relación criterio-caso",IF($O72="Aprobado",IF($P72="","Falta evidencia","Trazabilidad completa"),IF($O72="Fallido","Prueba fallida",IF($O72="Bloqueado","Prueba bloqueada","Prueba pendiente")))))),"ID no encontrado")))</f>
        <v>Prueba pendiente</v>
      </c>
      <c r="C72" s="7" t="str">
        <f>IF($G72="","",IFERROR(IF(VLOOKUP($G72,Requerimientos!$A$6:$M$43,2,FALSE)="","",VLOOKUP($G72,Requerimientos!$A$6:$M$43,2,FALSE)),"ID no encontrado"))</f>
        <v>OBJ-005</v>
      </c>
      <c r="D72" s="5" t="str">
        <f>IF($C72="","",IFERROR(IF(VLOOKUP($C72,'Objetivos y procesos'!$A$6:$H$35,2,FALSE)="","",VLOOKUP($C72,'Objetivos y procesos'!$A$6:$H$35,2,FALSE)),"ID no encontrado"))</f>
        <v>Canalizar lecturas por API sobre HANA y escrituras autorizadas por Service Layer sin duplicidad ni operaciones parciales.</v>
      </c>
      <c r="E72" s="7" t="str">
        <f>IF($G72="","",IFERROR(IF(VLOOKUP($G72,Requerimientos!$A$6:$M$43,3,FALSE)="","",VLOOKUP($G72,Requerimientos!$A$6:$M$43,3,FALSE)),"ID no encontrado"))</f>
        <v>PR-05</v>
      </c>
      <c r="F72" s="5" t="str">
        <f>IF($E72="","",IFERROR(IF(INDEX('Objetivos y procesos'!$D$6:$D$35,MATCH($E72,'Objetivos y procesos'!$C$6:$C$35,0))="","",IF(INDEX('Objetivos y procesos'!$D$6:$D$35,MATCH($E72,'Objetivos y procesos'!$C$6:$C$35,0))=INDEX('Objetivos y procesos'!$E$6:$E$35,MATCH($E72,'Objetivos y procesos'!$C$6:$C$35,0)),INDEX('Objetivos y procesos'!$D$6:$D$35,MATCH($E72,'Objetivos y procesos'!$C$6:$C$35,0)),INDEX('Objetivos y procesos'!$D$6:$D$35,MATCH($E72,'Objetivos y procesos'!$C$6:$C$35,0))&amp;IF(INDEX('Objetivos y procesos'!$E$6:$E$35,MATCH($E72,'Objetivos y procesos'!$C$6:$C$35,0))="",""," / "&amp;INDEX('Objetivos y procesos'!$E$6:$E$35,MATCH($E72,'Objetivos y procesos'!$C$6:$C$35,0))))),"ID no encontrado"))</f>
        <v>Integración con SAP Business One</v>
      </c>
      <c r="G72" s="8" t="s">
        <v>184</v>
      </c>
      <c r="H72" s="5" t="str">
        <f>IF($G72="","",IFERROR(IF(VLOOKUP($G72,Requerimientos!$A$6:$M$43,7,FALSE)="","",VLOOKUP($G72,Requerimientos!$A$6:$M$43,7,FALSE)),"ID no encontrado"))</f>
        <v>El sistema debe permitir reintentar un envío fallido al ERP sin duplicar las líneas ya creadas.</v>
      </c>
      <c r="I72" s="7" t="str">
        <f>IF($K72="","",IFERROR(IF(VLOOKUP($K72,'Historias y criterios'!$A$6:$P$83,2,FALSE)="","",VLOOKUP($K72,'Historias y criterios'!$A$6:$P$83,2,FALSE)),"ID no encontrado"))</f>
        <v>HU-017</v>
      </c>
      <c r="J72" s="5" t="str">
        <f>IF($K72="","",IFERROR(IF(VLOOKUP($K72,'Historias y criterios'!$A$6:$P$83,10,FALSE)="","",VLOOKUP($K72,'Historias y criterios'!$A$6:$P$83,10,FALSE)),"ID no encontrado"))</f>
        <v>Como responsable de operación, quiero consultar el resultado de cada envío y reintentar los fallidos de forma segura, para resolver errores sin duplicar documentos ni líneas en el ERP</v>
      </c>
      <c r="K72" s="8" t="s">
        <v>185</v>
      </c>
      <c r="L72" s="5" t="str">
        <f>IF($K72="","",IFERROR(IF(VLOOKUP($K72,'Historias y criterios'!$A$6:$P$83,11,FALSE)="","",VLOOKUP($K72,'Historias y criterios'!$A$6:$P$83,11,FALSE)),"ID no encontrado"))</f>
        <v>Un reintento reutiliza el documento autorizado y evita duplicar líneas o resultados ya creados.</v>
      </c>
      <c r="M72" s="8" t="s">
        <v>186</v>
      </c>
      <c r="N72" s="5" t="str">
        <f>IF($M72="","",IFERROR(IF(VLOOKUP($M72,'Casos y evidencias'!$A$6:$O$83,5,FALSE)="","",VLOOKUP($M72,'Casos y evidencias'!$A$6:$O$83,5,FALSE)),"ID no encontrado"))</f>
        <v>Reintento sin duplicados</v>
      </c>
      <c r="O72" s="5" t="str">
        <f>IF($M72="","",IFERROR(IF(VLOOKUP($M72,'Casos y evidencias'!$A$6:$O$83,10,FALSE)="","",VLOOKUP($M72,'Casos y evidencias'!$A$6:$O$83,10,FALSE)),"ID no encontrado"))</f>
        <v>No ejecutado</v>
      </c>
      <c r="P72" s="7" t="str">
        <f>IF($M72="","",IFERROR(IF(VLOOKUP($M72,'Casos y evidencias'!$A$6:$O$83,11,FALSE)="","",VLOOKUP($M72,'Casos y evidencias'!$A$6:$O$83,11,FALSE)),"ID no encontrado"))</f>
        <v/>
      </c>
      <c r="Q72" s="5" t="str">
        <f>IF($M72="","",IFERROR(IF(VLOOKUP($M72,'Casos y evidencias'!$A$6:$O$83,12,FALSE)="","",VLOOKUP($M72,'Casos y evidencias'!$A$6:$O$83,12,FALSE)),"ID no encontrado"))</f>
        <v/>
      </c>
      <c r="R72" s="4"/>
    </row>
    <row r="73" spans="1:18" ht="75.599999999999994" customHeight="1">
      <c r="A73" s="6">
        <v>66</v>
      </c>
      <c r="B73" s="5" t="str">
        <f>IF($G73="","",IF($K73="","Falta criterio",IFERROR(IF(VLOOKUP($K73,'Historias y criterios'!$A$6:$P$83,3,FALSE)&lt;&gt;$G73,"Revisar relación requisito-criterio",IF($M73="","Falta caso de prueba",IF(VLOOKUP($M73,'Casos y evidencias'!$A$6:$O$83,2,FALSE)&lt;&gt;$K73,"Revisar relación criterio-caso",IF($O73="Aprobado",IF($P73="","Falta evidencia","Trazabilidad completa"),IF($O73="Fallido","Prueba fallida",IF($O73="Bloqueado","Prueba bloqueada","Prueba pendiente")))))),"ID no encontrado")))</f>
        <v>Prueba pendiente</v>
      </c>
      <c r="C73" s="7" t="str">
        <f>IF($G73="","",IFERROR(IF(VLOOKUP($G73,Requerimientos!$A$6:$M$43,2,FALSE)="","",VLOOKUP($G73,Requerimientos!$A$6:$M$43,2,FALSE)),"ID no encontrado"))</f>
        <v>OBJ-005</v>
      </c>
      <c r="D73" s="5" t="str">
        <f>IF($C73="","",IFERROR(IF(VLOOKUP($C73,'Objetivos y procesos'!$A$6:$H$35,2,FALSE)="","",VLOOKUP($C73,'Objetivos y procesos'!$A$6:$H$35,2,FALSE)),"ID no encontrado"))</f>
        <v>Canalizar lecturas por API sobre HANA y escrituras autorizadas por Service Layer sin duplicidad ni operaciones parciales.</v>
      </c>
      <c r="E73" s="7" t="str">
        <f>IF($G73="","",IFERROR(IF(VLOOKUP($G73,Requerimientos!$A$6:$M$43,3,FALSE)="","",VLOOKUP($G73,Requerimientos!$A$6:$M$43,3,FALSE)),"ID no encontrado"))</f>
        <v>PR-05</v>
      </c>
      <c r="F73" s="5" t="str">
        <f>IF($E73="","",IFERROR(IF(INDEX('Objetivos y procesos'!$D$6:$D$35,MATCH($E73,'Objetivos y procesos'!$C$6:$C$35,0))="","",IF(INDEX('Objetivos y procesos'!$D$6:$D$35,MATCH($E73,'Objetivos y procesos'!$C$6:$C$35,0))=INDEX('Objetivos y procesos'!$E$6:$E$35,MATCH($E73,'Objetivos y procesos'!$C$6:$C$35,0)),INDEX('Objetivos y procesos'!$D$6:$D$35,MATCH($E73,'Objetivos y procesos'!$C$6:$C$35,0)),INDEX('Objetivos y procesos'!$D$6:$D$35,MATCH($E73,'Objetivos y procesos'!$C$6:$C$35,0))&amp;IF(INDEX('Objetivos y procesos'!$E$6:$E$35,MATCH($E73,'Objetivos y procesos'!$C$6:$C$35,0))="",""," / "&amp;INDEX('Objetivos y procesos'!$E$6:$E$35,MATCH($E73,'Objetivos y procesos'!$C$6:$C$35,0))))),"ID no encontrado"))</f>
        <v>Integración con SAP Business One</v>
      </c>
      <c r="G73" s="8" t="s">
        <v>184</v>
      </c>
      <c r="H73" s="5" t="str">
        <f>IF($G73="","",IFERROR(IF(VLOOKUP($G73,Requerimientos!$A$6:$M$43,7,FALSE)="","",VLOOKUP($G73,Requerimientos!$A$6:$M$43,7,FALSE)),"ID no encontrado"))</f>
        <v>El sistema debe permitir reintentar un envío fallido al ERP sin duplicar las líneas ya creadas.</v>
      </c>
      <c r="I73" s="7" t="str">
        <f>IF($K73="","",IFERROR(IF(VLOOKUP($K73,'Historias y criterios'!$A$6:$P$83,2,FALSE)="","",VLOOKUP($K73,'Historias y criterios'!$A$6:$P$83,2,FALSE)),"ID no encontrado"))</f>
        <v>HU-017</v>
      </c>
      <c r="J73" s="5" t="str">
        <f>IF($K73="","",IFERROR(IF(VLOOKUP($K73,'Historias y criterios'!$A$6:$P$83,10,FALSE)="","",VLOOKUP($K73,'Historias y criterios'!$A$6:$P$83,10,FALSE)),"ID no encontrado"))</f>
        <v>Como responsable de operación, quiero consultar el resultado de cada envío y reintentar los fallidos de forma segura, para resolver errores sin duplicar documentos ni líneas en el ERP</v>
      </c>
      <c r="K73" s="8" t="s">
        <v>187</v>
      </c>
      <c r="L73" s="5" t="str">
        <f>IF($K73="","",IFERROR(IF(VLOOKUP($K73,'Historias y criterios'!$A$6:$P$83,11,FALSE)="","",VLOOKUP($K73,'Historias y criterios'!$A$6:$P$83,11,FALSE)),"ID no encontrado"))</f>
        <v>Ante error, la operación queda completa o no se registra parcialmente.</v>
      </c>
      <c r="M73" s="8" t="s">
        <v>188</v>
      </c>
      <c r="N73" s="5" t="str">
        <f>IF($M73="","",IFERROR(IF(VLOOKUP($M73,'Casos y evidencias'!$A$6:$O$83,5,FALSE)="","",VLOOKUP($M73,'Casos y evidencias'!$A$6:$O$83,5,FALSE)),"ID no encontrado"))</f>
        <v>Atomicidad ante error</v>
      </c>
      <c r="O73" s="5" t="str">
        <f>IF($M73="","",IFERROR(IF(VLOOKUP($M73,'Casos y evidencias'!$A$6:$O$83,10,FALSE)="","",VLOOKUP($M73,'Casos y evidencias'!$A$6:$O$83,10,FALSE)),"ID no encontrado"))</f>
        <v>No ejecutado</v>
      </c>
      <c r="P73" s="7" t="str">
        <f>IF($M73="","",IFERROR(IF(VLOOKUP($M73,'Casos y evidencias'!$A$6:$O$83,11,FALSE)="","",VLOOKUP($M73,'Casos y evidencias'!$A$6:$O$83,11,FALSE)),"ID no encontrado"))</f>
        <v/>
      </c>
      <c r="Q73" s="5" t="str">
        <f>IF($M73="","",IFERROR(IF(VLOOKUP($M73,'Casos y evidencias'!$A$6:$O$83,12,FALSE)="","",VLOOKUP($M73,'Casos y evidencias'!$A$6:$O$83,12,FALSE)),"ID no encontrado"))</f>
        <v/>
      </c>
      <c r="R73" s="4"/>
    </row>
    <row r="74" spans="1:18" ht="116.1" customHeight="1">
      <c r="A74" s="6">
        <v>67</v>
      </c>
      <c r="B74" s="5" t="str">
        <f>IF($G74="","",IF($K74="","Falta criterio",IFERROR(IF(VLOOKUP($K74,'Historias y criterios'!$A$6:$P$83,3,FALSE)&lt;&gt;$G74,"Revisar relación requisito-criterio",IF($M74="","Falta caso de prueba",IF(VLOOKUP($M74,'Casos y evidencias'!$A$6:$O$83,2,FALSE)&lt;&gt;$K74,"Revisar relación criterio-caso",IF($O74="Aprobado",IF($P74="","Falta evidencia","Trazabilidad completa"),IF($O74="Fallido","Prueba fallida",IF($O74="Bloqueado","Prueba bloqueada","Prueba pendiente")))))),"ID no encontrado")))</f>
        <v>Prueba pendiente</v>
      </c>
      <c r="C74" s="7" t="str">
        <f>IF($G74="","",IFERROR(IF(VLOOKUP($G74,Requerimientos!$A$6:$M$43,2,FALSE)="","",VLOOKUP($G74,Requerimientos!$A$6:$M$43,2,FALSE)),"ID no encontrado"))</f>
        <v>OBJ-006</v>
      </c>
      <c r="D74" s="5" t="str">
        <f>IF($C74="","",IFERROR(IF(VLOOKUP($C74,'Objetivos y procesos'!$A$6:$H$35,2,FALSE)="","",VLOOKUP($C74,'Objetivos y procesos'!$A$6:$H$35,2,FALSE)),"ID no encontrado"))</f>
        <v>Centralizar la posventa y ofrecer visibilidad de cada caso, comprobante y decisión a los participantes autorizados.</v>
      </c>
      <c r="E74" s="7" t="str">
        <f>IF($G74="","",IFERROR(IF(VLOOKUP($G74,Requerimientos!$A$6:$M$43,3,FALSE)="","",VLOOKUP($G74,Requerimientos!$A$6:$M$43,3,FALSE)),"ID no encontrado"))</f>
        <v>PR-06</v>
      </c>
      <c r="F74" s="5" t="str">
        <f>IF($E74="","",IFERROR(IF(INDEX('Objetivos y procesos'!$D$6:$D$35,MATCH($E74,'Objetivos y procesos'!$C$6:$C$35,0))="","",IF(INDEX('Objetivos y procesos'!$D$6:$D$35,MATCH($E74,'Objetivos y procesos'!$C$6:$C$35,0))=INDEX('Objetivos y procesos'!$E$6:$E$35,MATCH($E74,'Objetivos y procesos'!$C$6:$C$35,0)),INDEX('Objetivos y procesos'!$D$6:$D$35,MATCH($E74,'Objetivos y procesos'!$C$6:$C$35,0)),INDEX('Objetivos y procesos'!$D$6:$D$35,MATCH($E74,'Objetivos y procesos'!$C$6:$C$35,0))&amp;IF(INDEX('Objetivos y procesos'!$E$6:$E$35,MATCH($E74,'Objetivos y procesos'!$C$6:$C$35,0))="",""," / "&amp;INDEX('Objetivos y procesos'!$E$6:$E$35,MATCH($E74,'Objetivos y procesos'!$C$6:$C$35,0))))),"ID no encontrado"))</f>
        <v>Gestión de Posventa</v>
      </c>
      <c r="G74" s="8" t="s">
        <v>189</v>
      </c>
      <c r="H74" s="5" t="str">
        <f>IF($G74="","",IFERROR(IF(VLOOKUP($G74,Requerimientos!$A$6:$M$43,7,FALSE)="","",VLOOKUP($G74,Requerimientos!$A$6:$M$43,7,FALSE)),"ID no encontrado"))</f>
        <v>El sistema debe permitir registrar solicitudes de devolución, cambio, servicio técnico, productos faltantes, desistimiento de compra y nota de crédito, con los datos del cliente, el vendedor, la empresa, los productos involucrados y el documento de respaldo: guía de despacho o factura de reserva.</v>
      </c>
      <c r="I74" s="7" t="str">
        <f>IF($K74="","",IFERROR(IF(VLOOKUP($K74,'Historias y criterios'!$A$6:$P$83,2,FALSE)="","",VLOOKUP($K74,'Historias y criterios'!$A$6:$P$83,2,FALSE)),"ID no encontrado"))</f>
        <v>HU-018</v>
      </c>
      <c r="J74" s="5" t="str">
        <f>IF($K74="","",IFERROR(IF(VLOOKUP($K74,'Historias y criterios'!$A$6:$P$83,10,FALSE)="","",VLOOKUP($K74,'Historias y criterios'!$A$6:$P$83,10,FALSE)),"ID no encontrado"))</f>
        <v>Como vendedor o asistente de vendedor, quiero registrar un caso de posventa con cliente, productos, respaldo y evidencias, para iniciar formalmente su evaluación y seguimiento</v>
      </c>
      <c r="K74" s="8" t="s">
        <v>190</v>
      </c>
      <c r="L74" s="5" t="str">
        <f>IF($K74="","",IFERROR(IF(VLOOKUP($K74,'Historias y criterios'!$A$6:$P$83,11,FALSE)="","",VLOOKUP($K74,'Historias y criterios'!$A$6:$P$83,11,FALSE)),"ID no encontrado"))</f>
        <v>Permite devolución, cambio, servicio técnico, producto faltante, desistimiento y nota de crédito.</v>
      </c>
      <c r="M74" s="8" t="s">
        <v>191</v>
      </c>
      <c r="N74" s="5" t="str">
        <f>IF($M74="","",IFERROR(IF(VLOOKUP($M74,'Casos y evidencias'!$A$6:$O$83,5,FALSE)="","",VLOOKUP($M74,'Casos y evidencias'!$A$6:$O$83,5,FALSE)),"ID no encontrado"))</f>
        <v>Tipos de caso disponibles</v>
      </c>
      <c r="O74" s="5" t="str">
        <f>IF($M74="","",IFERROR(IF(VLOOKUP($M74,'Casos y evidencias'!$A$6:$O$83,10,FALSE)="","",VLOOKUP($M74,'Casos y evidencias'!$A$6:$O$83,10,FALSE)),"ID no encontrado"))</f>
        <v>No ejecutado</v>
      </c>
      <c r="P74" s="7" t="str">
        <f>IF($M74="","",IFERROR(IF(VLOOKUP($M74,'Casos y evidencias'!$A$6:$O$83,11,FALSE)="","",VLOOKUP($M74,'Casos y evidencias'!$A$6:$O$83,11,FALSE)),"ID no encontrado"))</f>
        <v/>
      </c>
      <c r="Q74" s="5" t="str">
        <f>IF($M74="","",IFERROR(IF(VLOOKUP($M74,'Casos y evidencias'!$A$6:$O$83,12,FALSE)="","",VLOOKUP($M74,'Casos y evidencias'!$A$6:$O$83,12,FALSE)),"ID no encontrado"))</f>
        <v/>
      </c>
      <c r="R74" s="4"/>
    </row>
    <row r="75" spans="1:18" ht="116.1" customHeight="1">
      <c r="A75" s="6">
        <v>68</v>
      </c>
      <c r="B75" s="5" t="str">
        <f>IF($G75="","",IF($K75="","Falta criterio",IFERROR(IF(VLOOKUP($K75,'Historias y criterios'!$A$6:$P$83,3,FALSE)&lt;&gt;$G75,"Revisar relación requisito-criterio",IF($M75="","Falta caso de prueba",IF(VLOOKUP($M75,'Casos y evidencias'!$A$6:$O$83,2,FALSE)&lt;&gt;$K75,"Revisar relación criterio-caso",IF($O75="Aprobado",IF($P75="","Falta evidencia","Trazabilidad completa"),IF($O75="Fallido","Prueba fallida",IF($O75="Bloqueado","Prueba bloqueada","Prueba pendiente")))))),"ID no encontrado")))</f>
        <v>Prueba pendiente</v>
      </c>
      <c r="C75" s="7" t="str">
        <f>IF($G75="","",IFERROR(IF(VLOOKUP($G75,Requerimientos!$A$6:$M$43,2,FALSE)="","",VLOOKUP($G75,Requerimientos!$A$6:$M$43,2,FALSE)),"ID no encontrado"))</f>
        <v>OBJ-006</v>
      </c>
      <c r="D75" s="5" t="str">
        <f>IF($C75="","",IFERROR(IF(VLOOKUP($C75,'Objetivos y procesos'!$A$6:$H$35,2,FALSE)="","",VLOOKUP($C75,'Objetivos y procesos'!$A$6:$H$35,2,FALSE)),"ID no encontrado"))</f>
        <v>Centralizar la posventa y ofrecer visibilidad de cada caso, comprobante y decisión a los participantes autorizados.</v>
      </c>
      <c r="E75" s="7" t="str">
        <f>IF($G75="","",IFERROR(IF(VLOOKUP($G75,Requerimientos!$A$6:$M$43,3,FALSE)="","",VLOOKUP($G75,Requerimientos!$A$6:$M$43,3,FALSE)),"ID no encontrado"))</f>
        <v>PR-06</v>
      </c>
      <c r="F75" s="5" t="str">
        <f>IF($E75="","",IFERROR(IF(INDEX('Objetivos y procesos'!$D$6:$D$35,MATCH($E75,'Objetivos y procesos'!$C$6:$C$35,0))="","",IF(INDEX('Objetivos y procesos'!$D$6:$D$35,MATCH($E75,'Objetivos y procesos'!$C$6:$C$35,0))=INDEX('Objetivos y procesos'!$E$6:$E$35,MATCH($E75,'Objetivos y procesos'!$C$6:$C$35,0)),INDEX('Objetivos y procesos'!$D$6:$D$35,MATCH($E75,'Objetivos y procesos'!$C$6:$C$35,0)),INDEX('Objetivos y procesos'!$D$6:$D$35,MATCH($E75,'Objetivos y procesos'!$C$6:$C$35,0))&amp;IF(INDEX('Objetivos y procesos'!$E$6:$E$35,MATCH($E75,'Objetivos y procesos'!$C$6:$C$35,0))="",""," / "&amp;INDEX('Objetivos y procesos'!$E$6:$E$35,MATCH($E75,'Objetivos y procesos'!$C$6:$C$35,0))))),"ID no encontrado"))</f>
        <v>Gestión de Posventa</v>
      </c>
      <c r="G75" s="8" t="s">
        <v>189</v>
      </c>
      <c r="H75" s="5" t="str">
        <f>IF($G75="","",IFERROR(IF(VLOOKUP($G75,Requerimientos!$A$6:$M$43,7,FALSE)="","",VLOOKUP($G75,Requerimientos!$A$6:$M$43,7,FALSE)),"ID no encontrado"))</f>
        <v>El sistema debe permitir registrar solicitudes de devolución, cambio, servicio técnico, productos faltantes, desistimiento de compra y nota de crédito, con los datos del cliente, el vendedor, la empresa, los productos involucrados y el documento de respaldo: guía de despacho o factura de reserva.</v>
      </c>
      <c r="I75" s="7" t="str">
        <f>IF($K75="","",IFERROR(IF(VLOOKUP($K75,'Historias y criterios'!$A$6:$P$83,2,FALSE)="","",VLOOKUP($K75,'Historias y criterios'!$A$6:$P$83,2,FALSE)),"ID no encontrado"))</f>
        <v>HU-018</v>
      </c>
      <c r="J75" s="5" t="str">
        <f>IF($K75="","",IFERROR(IF(VLOOKUP($K75,'Historias y criterios'!$A$6:$P$83,10,FALSE)="","",VLOOKUP($K75,'Historias y criterios'!$A$6:$P$83,10,FALSE)),"ID no encontrado"))</f>
        <v>Como vendedor o asistente de vendedor, quiero registrar un caso de posventa con cliente, productos, respaldo y evidencias, para iniciar formalmente su evaluación y seguimiento</v>
      </c>
      <c r="K75" s="8" t="s">
        <v>192</v>
      </c>
      <c r="L75" s="5" t="str">
        <f>IF($K75="","",IFERROR(IF(VLOOKUP($K75,'Historias y criterios'!$A$6:$P$83,11,FALSE)="","",VLOOKUP($K75,'Historias y criterios'!$A$6:$P$83,11,FALSE)),"ID no encontrado"))</f>
        <v>Registra cliente, vendedor, empresa, productos y guía de despacho o factura de reserva.</v>
      </c>
      <c r="M75" s="8" t="s">
        <v>193</v>
      </c>
      <c r="N75" s="5" t="str">
        <f>IF($M75="","",IFERROR(IF(VLOOKUP($M75,'Casos y evidencias'!$A$6:$O$83,5,FALSE)="","",VLOOKUP($M75,'Casos y evidencias'!$A$6:$O$83,5,FALSE)),"ID no encontrado"))</f>
        <v>Registro de datos y documento de respaldo</v>
      </c>
      <c r="O75" s="5" t="str">
        <f>IF($M75="","",IFERROR(IF(VLOOKUP($M75,'Casos y evidencias'!$A$6:$O$83,10,FALSE)="","",VLOOKUP($M75,'Casos y evidencias'!$A$6:$O$83,10,FALSE)),"ID no encontrado"))</f>
        <v>No ejecutado</v>
      </c>
      <c r="P75" s="7" t="str">
        <f>IF($M75="","",IFERROR(IF(VLOOKUP($M75,'Casos y evidencias'!$A$6:$O$83,11,FALSE)="","",VLOOKUP($M75,'Casos y evidencias'!$A$6:$O$83,11,FALSE)),"ID no encontrado"))</f>
        <v/>
      </c>
      <c r="Q75" s="5" t="str">
        <f>IF($M75="","",IFERROR(IF(VLOOKUP($M75,'Casos y evidencias'!$A$6:$O$83,12,FALSE)="","",VLOOKUP($M75,'Casos y evidencias'!$A$6:$O$83,12,FALSE)),"ID no encontrado"))</f>
        <v/>
      </c>
      <c r="R75" s="4"/>
    </row>
    <row r="76" spans="1:18" ht="75.599999999999994" customHeight="1">
      <c r="A76" s="6">
        <v>69</v>
      </c>
      <c r="B76" s="5" t="str">
        <f>IF($G76="","",IF($K76="","Falta criterio",IFERROR(IF(VLOOKUP($K76,'Historias y criterios'!$A$6:$P$83,3,FALSE)&lt;&gt;$G76,"Revisar relación requisito-criterio",IF($M76="","Falta caso de prueba",IF(VLOOKUP($M76,'Casos y evidencias'!$A$6:$O$83,2,FALSE)&lt;&gt;$K76,"Revisar relación criterio-caso",IF($O76="Aprobado",IF($P76="","Falta evidencia","Trazabilidad completa"),IF($O76="Fallido","Prueba fallida",IF($O76="Bloqueado","Prueba bloqueada","Prueba pendiente")))))),"ID no encontrado")))</f>
        <v>Prueba pendiente</v>
      </c>
      <c r="C76" s="7" t="str">
        <f>IF($G76="","",IFERROR(IF(VLOOKUP($G76,Requerimientos!$A$6:$M$43,2,FALSE)="","",VLOOKUP($G76,Requerimientos!$A$6:$M$43,2,FALSE)),"ID no encontrado"))</f>
        <v>OBJ-006</v>
      </c>
      <c r="D76" s="5" t="str">
        <f>IF($C76="","",IFERROR(IF(VLOOKUP($C76,'Objetivos y procesos'!$A$6:$H$35,2,FALSE)="","",VLOOKUP($C76,'Objetivos y procesos'!$A$6:$H$35,2,FALSE)),"ID no encontrado"))</f>
        <v>Centralizar la posventa y ofrecer visibilidad de cada caso, comprobante y decisión a los participantes autorizados.</v>
      </c>
      <c r="E76" s="7" t="str">
        <f>IF($G76="","",IFERROR(IF(VLOOKUP($G76,Requerimientos!$A$6:$M$43,3,FALSE)="","",VLOOKUP($G76,Requerimientos!$A$6:$M$43,3,FALSE)),"ID no encontrado"))</f>
        <v>PR-06</v>
      </c>
      <c r="F76" s="5" t="str">
        <f>IF($E76="","",IFERROR(IF(INDEX('Objetivos y procesos'!$D$6:$D$35,MATCH($E76,'Objetivos y procesos'!$C$6:$C$35,0))="","",IF(INDEX('Objetivos y procesos'!$D$6:$D$35,MATCH($E76,'Objetivos y procesos'!$C$6:$C$35,0))=INDEX('Objetivos y procesos'!$E$6:$E$35,MATCH($E76,'Objetivos y procesos'!$C$6:$C$35,0)),INDEX('Objetivos y procesos'!$D$6:$D$35,MATCH($E76,'Objetivos y procesos'!$C$6:$C$35,0)),INDEX('Objetivos y procesos'!$D$6:$D$35,MATCH($E76,'Objetivos y procesos'!$C$6:$C$35,0))&amp;IF(INDEX('Objetivos y procesos'!$E$6:$E$35,MATCH($E76,'Objetivos y procesos'!$C$6:$C$35,0))="",""," / "&amp;INDEX('Objetivos y procesos'!$E$6:$E$35,MATCH($E76,'Objetivos y procesos'!$C$6:$C$35,0))))),"ID no encontrado"))</f>
        <v>Gestión de Posventa</v>
      </c>
      <c r="G76" s="8" t="s">
        <v>194</v>
      </c>
      <c r="H76" s="5" t="str">
        <f>IF($G76="","",IFERROR(IF(VLOOKUP($G76,Requerimientos!$A$6:$M$43,7,FALSE)="","",VLOOKUP($G76,Requerimientos!$A$6:$M$43,7,FALSE)),"ID no encontrado"))</f>
        <v>El sistema debe permitir adjuntar evidencias, como fotografías o documentos, a un caso de posventa.</v>
      </c>
      <c r="I76" s="7" t="str">
        <f>IF($K76="","",IFERROR(IF(VLOOKUP($K76,'Historias y criterios'!$A$6:$P$83,2,FALSE)="","",VLOOKUP($K76,'Historias y criterios'!$A$6:$P$83,2,FALSE)),"ID no encontrado"))</f>
        <v>HU-018</v>
      </c>
      <c r="J76" s="5" t="str">
        <f>IF($K76="","",IFERROR(IF(VLOOKUP($K76,'Historias y criterios'!$A$6:$P$83,10,FALSE)="","",VLOOKUP($K76,'Historias y criterios'!$A$6:$P$83,10,FALSE)),"ID no encontrado"))</f>
        <v>Como vendedor o asistente de vendedor, quiero registrar un caso de posventa con cliente, productos, respaldo y evidencias, para iniciar formalmente su evaluación y seguimiento</v>
      </c>
      <c r="K76" s="8" t="s">
        <v>195</v>
      </c>
      <c r="L76" s="5" t="str">
        <f>IF($K76="","",IFERROR(IF(VLOOKUP($K76,'Historias y criterios'!$A$6:$P$83,11,FALSE)="","",VLOOKUP($K76,'Historias y criterios'!$A$6:$P$83,11,FALSE)),"ID no encontrado"))</f>
        <v>Exige evidencias autorizadas salvo las excepciones de factura de reserva.</v>
      </c>
      <c r="M76" s="8" t="s">
        <v>196</v>
      </c>
      <c r="N76" s="5" t="str">
        <f>IF($M76="","",IFERROR(IF(VLOOKUP($M76,'Casos y evidencias'!$A$6:$O$83,5,FALSE)="","",VLOOKUP($M76,'Casos y evidencias'!$A$6:$O$83,5,FALSE)),"ID no encontrado"))</f>
        <v>Evidencias obligatorias y excepción</v>
      </c>
      <c r="O76" s="5" t="str">
        <f>IF($M76="","",IFERROR(IF(VLOOKUP($M76,'Casos y evidencias'!$A$6:$O$83,10,FALSE)="","",VLOOKUP($M76,'Casos y evidencias'!$A$6:$O$83,10,FALSE)),"ID no encontrado"))</f>
        <v>No ejecutado</v>
      </c>
      <c r="P76" s="7" t="str">
        <f>IF($M76="","",IFERROR(IF(VLOOKUP($M76,'Casos y evidencias'!$A$6:$O$83,11,FALSE)="","",VLOOKUP($M76,'Casos y evidencias'!$A$6:$O$83,11,FALSE)),"ID no encontrado"))</f>
        <v/>
      </c>
      <c r="Q76" s="5" t="str">
        <f>IF($M76="","",IFERROR(IF(VLOOKUP($M76,'Casos y evidencias'!$A$6:$O$83,12,FALSE)="","",VLOOKUP($M76,'Casos y evidencias'!$A$6:$O$83,12,FALSE)),"ID no encontrado"))</f>
        <v/>
      </c>
      <c r="R76" s="4"/>
    </row>
    <row r="77" spans="1:18" ht="75.599999999999994" customHeight="1">
      <c r="A77" s="6">
        <v>70</v>
      </c>
      <c r="B77" s="5" t="str">
        <f>IF($G77="","",IF($K77="","Falta criterio",IFERROR(IF(VLOOKUP($K77,'Historias y criterios'!$A$6:$P$83,3,FALSE)&lt;&gt;$G77,"Revisar relación requisito-criterio",IF($M77="","Falta caso de prueba",IF(VLOOKUP($M77,'Casos y evidencias'!$A$6:$O$83,2,FALSE)&lt;&gt;$K77,"Revisar relación criterio-caso",IF($O77="Aprobado",IF($P77="","Falta evidencia","Trazabilidad completa"),IF($O77="Fallido","Prueba fallida",IF($O77="Bloqueado","Prueba bloqueada","Prueba pendiente")))))),"ID no encontrado")))</f>
        <v>Prueba pendiente</v>
      </c>
      <c r="C77" s="7" t="str">
        <f>IF($G77="","",IFERROR(IF(VLOOKUP($G77,Requerimientos!$A$6:$M$43,2,FALSE)="","",VLOOKUP($G77,Requerimientos!$A$6:$M$43,2,FALSE)),"ID no encontrado"))</f>
        <v>OBJ-006</v>
      </c>
      <c r="D77" s="5" t="str">
        <f>IF($C77="","",IFERROR(IF(VLOOKUP($C77,'Objetivos y procesos'!$A$6:$H$35,2,FALSE)="","",VLOOKUP($C77,'Objetivos y procesos'!$A$6:$H$35,2,FALSE)),"ID no encontrado"))</f>
        <v>Centralizar la posventa y ofrecer visibilidad de cada caso, comprobante y decisión a los participantes autorizados.</v>
      </c>
      <c r="E77" s="7" t="str">
        <f>IF($G77="","",IFERROR(IF(VLOOKUP($G77,Requerimientos!$A$6:$M$43,3,FALSE)="","",VLOOKUP($G77,Requerimientos!$A$6:$M$43,3,FALSE)),"ID no encontrado"))</f>
        <v>PR-06</v>
      </c>
      <c r="F77" s="5" t="str">
        <f>IF($E77="","",IFERROR(IF(INDEX('Objetivos y procesos'!$D$6:$D$35,MATCH($E77,'Objetivos y procesos'!$C$6:$C$35,0))="","",IF(INDEX('Objetivos y procesos'!$D$6:$D$35,MATCH($E77,'Objetivos y procesos'!$C$6:$C$35,0))=INDEX('Objetivos y procesos'!$E$6:$E$35,MATCH($E77,'Objetivos y procesos'!$C$6:$C$35,0)),INDEX('Objetivos y procesos'!$D$6:$D$35,MATCH($E77,'Objetivos y procesos'!$C$6:$C$35,0)),INDEX('Objetivos y procesos'!$D$6:$D$35,MATCH($E77,'Objetivos y procesos'!$C$6:$C$35,0))&amp;IF(INDEX('Objetivos y procesos'!$E$6:$E$35,MATCH($E77,'Objetivos y procesos'!$C$6:$C$35,0))="",""," / "&amp;INDEX('Objetivos y procesos'!$E$6:$E$35,MATCH($E77,'Objetivos y procesos'!$C$6:$C$35,0))))),"ID no encontrado"))</f>
        <v>Gestión de Posventa</v>
      </c>
      <c r="G77" s="8" t="s">
        <v>194</v>
      </c>
      <c r="H77" s="5" t="str">
        <f>IF($G77="","",IFERROR(IF(VLOOKUP($G77,Requerimientos!$A$6:$M$43,7,FALSE)="","",VLOOKUP($G77,Requerimientos!$A$6:$M$43,7,FALSE)),"ID no encontrado"))</f>
        <v>El sistema debe permitir adjuntar evidencias, como fotografías o documentos, a un caso de posventa.</v>
      </c>
      <c r="I77" s="7" t="str">
        <f>IF($K77="","",IFERROR(IF(VLOOKUP($K77,'Historias y criterios'!$A$6:$P$83,2,FALSE)="","",VLOOKUP($K77,'Historias y criterios'!$A$6:$P$83,2,FALSE)),"ID no encontrado"))</f>
        <v>HU-018</v>
      </c>
      <c r="J77" s="5" t="str">
        <f>IF($K77="","",IFERROR(IF(VLOOKUP($K77,'Historias y criterios'!$A$6:$P$83,10,FALSE)="","",VLOOKUP($K77,'Historias y criterios'!$A$6:$P$83,10,FALSE)),"ID no encontrado"))</f>
        <v>Como vendedor o asistente de vendedor, quiero registrar un caso de posventa con cliente, productos, respaldo y evidencias, para iniciar formalmente su evaluación y seguimiento</v>
      </c>
      <c r="K77" s="8" t="s">
        <v>197</v>
      </c>
      <c r="L77" s="5" t="str">
        <f>IF($K77="","",IFERROR(IF(VLOOKUP($K77,'Historias y criterios'!$A$6:$P$83,11,FALSE)="","",VLOOKUP($K77,'Historias y criterios'!$A$6:$P$83,11,FALSE)),"ID no encontrado"))</f>
        <v>Solo los participantes autorizados pueden consultar las evidencias del caso.</v>
      </c>
      <c r="M77" s="8" t="s">
        <v>198</v>
      </c>
      <c r="N77" s="5" t="str">
        <f>IF($M77="","",IFERROR(IF(VLOOKUP($M77,'Casos y evidencias'!$A$6:$O$83,5,FALSE)="","",VLOOKUP($M77,'Casos y evidencias'!$A$6:$O$83,5,FALSE)),"ID no encontrado"))</f>
        <v>Acceso restringido a las evidencias</v>
      </c>
      <c r="O77" s="5" t="str">
        <f>IF($M77="","",IFERROR(IF(VLOOKUP($M77,'Casos y evidencias'!$A$6:$O$83,10,FALSE)="","",VLOOKUP($M77,'Casos y evidencias'!$A$6:$O$83,10,FALSE)),"ID no encontrado"))</f>
        <v>No ejecutado</v>
      </c>
      <c r="P77" s="7" t="str">
        <f>IF($M77="","",IFERROR(IF(VLOOKUP($M77,'Casos y evidencias'!$A$6:$O$83,11,FALSE)="","",VLOOKUP($M77,'Casos y evidencias'!$A$6:$O$83,11,FALSE)),"ID no encontrado"))</f>
        <v/>
      </c>
      <c r="Q77" s="5" t="str">
        <f>IF($M77="","",IFERROR(IF(VLOOKUP($M77,'Casos y evidencias'!$A$6:$O$83,12,FALSE)="","",VLOOKUP($M77,'Casos y evidencias'!$A$6:$O$83,12,FALSE)),"ID no encontrado"))</f>
        <v/>
      </c>
      <c r="R77" s="4"/>
    </row>
    <row r="78" spans="1:18" ht="75.599999999999994" customHeight="1">
      <c r="A78" s="6">
        <v>71</v>
      </c>
      <c r="B78" s="5" t="str">
        <f>IF($G78="","",IF($K78="","Falta criterio",IFERROR(IF(VLOOKUP($K78,'Historias y criterios'!$A$6:$P$83,3,FALSE)&lt;&gt;$G78,"Revisar relación requisito-criterio",IF($M78="","Falta caso de prueba",IF(VLOOKUP($M78,'Casos y evidencias'!$A$6:$O$83,2,FALSE)&lt;&gt;$K78,"Revisar relación criterio-caso",IF($O78="Aprobado",IF($P78="","Falta evidencia","Trazabilidad completa"),IF($O78="Fallido","Prueba fallida",IF($O78="Bloqueado","Prueba bloqueada","Prueba pendiente")))))),"ID no encontrado")))</f>
        <v>Prueba pendiente</v>
      </c>
      <c r="C78" s="7" t="str">
        <f>IF($G78="","",IFERROR(IF(VLOOKUP($G78,Requerimientos!$A$6:$M$43,2,FALSE)="","",VLOOKUP($G78,Requerimientos!$A$6:$M$43,2,FALSE)),"ID no encontrado"))</f>
        <v>OBJ-006</v>
      </c>
      <c r="D78" s="5" t="str">
        <f>IF($C78="","",IFERROR(IF(VLOOKUP($C78,'Objetivos y procesos'!$A$6:$H$35,2,FALSE)="","",VLOOKUP($C78,'Objetivos y procesos'!$A$6:$H$35,2,FALSE)),"ID no encontrado"))</f>
        <v>Centralizar la posventa y ofrecer visibilidad de cada caso, comprobante y decisión a los participantes autorizados.</v>
      </c>
      <c r="E78" s="7" t="str">
        <f>IF($G78="","",IFERROR(IF(VLOOKUP($G78,Requerimientos!$A$6:$M$43,3,FALSE)="","",VLOOKUP($G78,Requerimientos!$A$6:$M$43,3,FALSE)),"ID no encontrado"))</f>
        <v>PR-06</v>
      </c>
      <c r="F78" s="5" t="str">
        <f>IF($E78="","",IFERROR(IF(INDEX('Objetivos y procesos'!$D$6:$D$35,MATCH($E78,'Objetivos y procesos'!$C$6:$C$35,0))="","",IF(INDEX('Objetivos y procesos'!$D$6:$D$35,MATCH($E78,'Objetivos y procesos'!$C$6:$C$35,0))=INDEX('Objetivos y procesos'!$E$6:$E$35,MATCH($E78,'Objetivos y procesos'!$C$6:$C$35,0)),INDEX('Objetivos y procesos'!$D$6:$D$35,MATCH($E78,'Objetivos y procesos'!$C$6:$C$35,0)),INDEX('Objetivos y procesos'!$D$6:$D$35,MATCH($E78,'Objetivos y procesos'!$C$6:$C$35,0))&amp;IF(INDEX('Objetivos y procesos'!$E$6:$E$35,MATCH($E78,'Objetivos y procesos'!$C$6:$C$35,0))="",""," / "&amp;INDEX('Objetivos y procesos'!$E$6:$E$35,MATCH($E78,'Objetivos y procesos'!$C$6:$C$35,0))))),"ID no encontrado"))</f>
        <v>Gestión de Posventa</v>
      </c>
      <c r="G78" s="8" t="s">
        <v>199</v>
      </c>
      <c r="H78" s="5" t="str">
        <f>IF($G78="","",IFERROR(IF(VLOOKUP($G78,Requerimientos!$A$6:$M$43,7,FALSE)="","",VLOOKUP($G78,Requerimientos!$A$6:$M$43,7,FALSE)),"ID no encontrado"))</f>
        <v>El sistema debe permitir registrar la evaluación de las condiciones del producto, sus accesorios, el manual y el embalaje, con los valores Excelente, Bueno, Regular, Malo o No aplica.</v>
      </c>
      <c r="I78" s="7" t="str">
        <f>IF($K78="","",IFERROR(IF(VLOOKUP($K78,'Historias y criterios'!$A$6:$P$83,2,FALSE)="","",VLOOKUP($K78,'Historias y criterios'!$A$6:$P$83,2,FALSE)),"ID no encontrado"))</f>
        <v>HU-019</v>
      </c>
      <c r="J78" s="5" t="str">
        <f>IF($K78="","",IFERROR(IF(VLOOKUP($K78,'Historias y criterios'!$A$6:$P$83,10,FALSE)="","",VLOOKUP($K78,'Historias y criterios'!$A$6:$P$83,10,FALSE)),"ID no encontrado"))</f>
        <v>Como autorizador de posventa, quiero evaluar las condiciones, aprobar o rechazar el caso y liberar su comprobante QR, para respaldar la decisión y continuar el flujo con el cliente</v>
      </c>
      <c r="K78" s="8" t="s">
        <v>200</v>
      </c>
      <c r="L78" s="5" t="str">
        <f>IF($K78="","",IFERROR(IF(VLOOKUP($K78,'Historias y criterios'!$A$6:$P$83,11,FALSE)="","",VLOOKUP($K78,'Historias y criterios'!$A$6:$P$83,11,FALSE)),"ID no encontrado"))</f>
        <v>El vendedor registra la evaluación de producto, accesorios, manual y embalaje al crear el caso y el autorizador puede ajustarla mientras el caso está Pendiente; solo se aceptan los valores definidos, salvo la excepción aplicable.</v>
      </c>
      <c r="M78" s="8" t="s">
        <v>201</v>
      </c>
      <c r="N78" s="5" t="str">
        <f>IF($M78="","",IFERROR(IF(VLOOKUP($M78,'Casos y evidencias'!$A$6:$O$83,5,FALSE)="","",VLOOKUP($M78,'Casos y evidencias'!$A$6:$O$83,5,FALSE)),"ID no encontrado"))</f>
        <v>Evaluación de condiciones</v>
      </c>
      <c r="O78" s="5" t="str">
        <f>IF($M78="","",IFERROR(IF(VLOOKUP($M78,'Casos y evidencias'!$A$6:$O$83,10,FALSE)="","",VLOOKUP($M78,'Casos y evidencias'!$A$6:$O$83,10,FALSE)),"ID no encontrado"))</f>
        <v>No ejecutado</v>
      </c>
      <c r="P78" s="7" t="str">
        <f>IF($M78="","",IFERROR(IF(VLOOKUP($M78,'Casos y evidencias'!$A$6:$O$83,11,FALSE)="","",VLOOKUP($M78,'Casos y evidencias'!$A$6:$O$83,11,FALSE)),"ID no encontrado"))</f>
        <v/>
      </c>
      <c r="Q78" s="5" t="str">
        <f>IF($M78="","",IFERROR(IF(VLOOKUP($M78,'Casos y evidencias'!$A$6:$O$83,12,FALSE)="","",VLOOKUP($M78,'Casos y evidencias'!$A$6:$O$83,12,FALSE)),"ID no encontrado"))</f>
        <v/>
      </c>
      <c r="R78" s="4"/>
    </row>
    <row r="79" spans="1:18" ht="75.599999999999994" customHeight="1">
      <c r="A79" s="6">
        <v>72</v>
      </c>
      <c r="B79" s="5" t="str">
        <f>IF($G79="","",IF($K79="","Falta criterio",IFERROR(IF(VLOOKUP($K79,'Historias y criterios'!$A$6:$P$83,3,FALSE)&lt;&gt;$G79,"Revisar relación requisito-criterio",IF($M79="","Falta caso de prueba",IF(VLOOKUP($M79,'Casos y evidencias'!$A$6:$O$83,2,FALSE)&lt;&gt;$K79,"Revisar relación criterio-caso",IF($O79="Aprobado",IF($P79="","Falta evidencia","Trazabilidad completa"),IF($O79="Fallido","Prueba fallida",IF($O79="Bloqueado","Prueba bloqueada","Prueba pendiente")))))),"ID no encontrado")))</f>
        <v>Prueba pendiente</v>
      </c>
      <c r="C79" s="7" t="str">
        <f>IF($G79="","",IFERROR(IF(VLOOKUP($G79,Requerimientos!$A$6:$M$43,2,FALSE)="","",VLOOKUP($G79,Requerimientos!$A$6:$M$43,2,FALSE)),"ID no encontrado"))</f>
        <v>OBJ-006</v>
      </c>
      <c r="D79" s="5" t="str">
        <f>IF($C79="","",IFERROR(IF(VLOOKUP($C79,'Objetivos y procesos'!$A$6:$H$35,2,FALSE)="","",VLOOKUP($C79,'Objetivos y procesos'!$A$6:$H$35,2,FALSE)),"ID no encontrado"))</f>
        <v>Centralizar la posventa y ofrecer visibilidad de cada caso, comprobante y decisión a los participantes autorizados.</v>
      </c>
      <c r="E79" s="7" t="str">
        <f>IF($G79="","",IFERROR(IF(VLOOKUP($G79,Requerimientos!$A$6:$M$43,3,FALSE)="","",VLOOKUP($G79,Requerimientos!$A$6:$M$43,3,FALSE)),"ID no encontrado"))</f>
        <v>PR-06</v>
      </c>
      <c r="F79" s="5" t="str">
        <f>IF($E79="","",IFERROR(IF(INDEX('Objetivos y procesos'!$D$6:$D$35,MATCH($E79,'Objetivos y procesos'!$C$6:$C$35,0))="","",IF(INDEX('Objetivos y procesos'!$D$6:$D$35,MATCH($E79,'Objetivos y procesos'!$C$6:$C$35,0))=INDEX('Objetivos y procesos'!$E$6:$E$35,MATCH($E79,'Objetivos y procesos'!$C$6:$C$35,0)),INDEX('Objetivos y procesos'!$D$6:$D$35,MATCH($E79,'Objetivos y procesos'!$C$6:$C$35,0)),INDEX('Objetivos y procesos'!$D$6:$D$35,MATCH($E79,'Objetivos y procesos'!$C$6:$C$35,0))&amp;IF(INDEX('Objetivos y procesos'!$E$6:$E$35,MATCH($E79,'Objetivos y procesos'!$C$6:$C$35,0))="",""," / "&amp;INDEX('Objetivos y procesos'!$E$6:$E$35,MATCH($E79,'Objetivos y procesos'!$C$6:$C$35,0))))),"ID no encontrado"))</f>
        <v>Gestión de Posventa</v>
      </c>
      <c r="G79" s="8" t="s">
        <v>202</v>
      </c>
      <c r="H79" s="5" t="str">
        <f>IF($G79="","",IFERROR(IF(VLOOKUP($G79,Requerimientos!$A$6:$M$43,7,FALSE)="","",VLOOKUP($G79,Requerimientos!$A$6:$M$43,7,FALSE)),"ID no encontrado"))</f>
        <v>El sistema debe permitir al vendedor corregir y reenviar un caso de posventa rechazado por el autorizador.</v>
      </c>
      <c r="I79" s="7" t="str">
        <f>IF($K79="","",IFERROR(IF(VLOOKUP($K79,'Historias y criterios'!$A$6:$P$83,2,FALSE)="","",VLOOKUP($K79,'Historias y criterios'!$A$6:$P$83,2,FALSE)),"ID no encontrado"))</f>
        <v>HU-019</v>
      </c>
      <c r="J79" s="5" t="str">
        <f>IF($K79="","",IFERROR(IF(VLOOKUP($K79,'Historias y criterios'!$A$6:$P$83,10,FALSE)="","",VLOOKUP($K79,'Historias y criterios'!$A$6:$P$83,10,FALSE)),"ID no encontrado"))</f>
        <v>Como autorizador de posventa, quiero evaluar las condiciones, aprobar o rechazar el caso y liberar su comprobante QR, para respaldar la decisión y continuar el flujo con el cliente</v>
      </c>
      <c r="K79" s="8" t="s">
        <v>203</v>
      </c>
      <c r="L79" s="5" t="str">
        <f>IF($K79="","",IFERROR(IF(VLOOKUP($K79,'Historias y criterios'!$A$6:$P$83,11,FALSE)="","",VLOOKUP($K79,'Historias y criterios'!$A$6:$P$83,11,FALSE)),"ID no encontrado"))</f>
        <v>El rechazo exige motivo y permite al creador corregir y reenviar a Pendiente.</v>
      </c>
      <c r="M79" s="8" t="s">
        <v>204</v>
      </c>
      <c r="N79" s="5" t="str">
        <f>IF($M79="","",IFERROR(IF(VLOOKUP($M79,'Casos y evidencias'!$A$6:$O$83,5,FALSE)="","",VLOOKUP($M79,'Casos y evidencias'!$A$6:$O$83,5,FALSE)),"ID no encontrado"))</f>
        <v>Rechazo, corrección y reenvío</v>
      </c>
      <c r="O79" s="5" t="str">
        <f>IF($M79="","",IFERROR(IF(VLOOKUP($M79,'Casos y evidencias'!$A$6:$O$83,10,FALSE)="","",VLOOKUP($M79,'Casos y evidencias'!$A$6:$O$83,10,FALSE)),"ID no encontrado"))</f>
        <v>No ejecutado</v>
      </c>
      <c r="P79" s="7" t="str">
        <f>IF($M79="","",IFERROR(IF(VLOOKUP($M79,'Casos y evidencias'!$A$6:$O$83,11,FALSE)="","",VLOOKUP($M79,'Casos y evidencias'!$A$6:$O$83,11,FALSE)),"ID no encontrado"))</f>
        <v/>
      </c>
      <c r="Q79" s="5" t="str">
        <f>IF($M79="","",IFERROR(IF(VLOOKUP($M79,'Casos y evidencias'!$A$6:$O$83,12,FALSE)="","",VLOOKUP($M79,'Casos y evidencias'!$A$6:$O$83,12,FALSE)),"ID no encontrado"))</f>
        <v/>
      </c>
      <c r="R79" s="4"/>
    </row>
    <row r="80" spans="1:18" ht="89.1" customHeight="1">
      <c r="A80" s="6">
        <v>73</v>
      </c>
      <c r="B80" s="5" t="str">
        <f>IF($G80="","",IF($K80="","Falta criterio",IFERROR(IF(VLOOKUP($K80,'Historias y criterios'!$A$6:$P$83,3,FALSE)&lt;&gt;$G80,"Revisar relación requisito-criterio",IF($M80="","Falta caso de prueba",IF(VLOOKUP($M80,'Casos y evidencias'!$A$6:$O$83,2,FALSE)&lt;&gt;$K80,"Revisar relación criterio-caso",IF($O80="Aprobado",IF($P80="","Falta evidencia","Trazabilidad completa"),IF($O80="Fallido","Prueba fallida",IF($O80="Bloqueado","Prueba bloqueada","Prueba pendiente")))))),"ID no encontrado")))</f>
        <v>Prueba pendiente</v>
      </c>
      <c r="C80" s="7" t="str">
        <f>IF($G80="","",IFERROR(IF(VLOOKUP($G80,Requerimientos!$A$6:$M$43,2,FALSE)="","",VLOOKUP($G80,Requerimientos!$A$6:$M$43,2,FALSE)),"ID no encontrado"))</f>
        <v>OBJ-006</v>
      </c>
      <c r="D80" s="5" t="str">
        <f>IF($C80="","",IFERROR(IF(VLOOKUP($C80,'Objetivos y procesos'!$A$6:$H$35,2,FALSE)="","",VLOOKUP($C80,'Objetivos y procesos'!$A$6:$H$35,2,FALSE)),"ID no encontrado"))</f>
        <v>Centralizar la posventa y ofrecer visibilidad de cada caso, comprobante y decisión a los participantes autorizados.</v>
      </c>
      <c r="E80" s="7" t="str">
        <f>IF($G80="","",IFERROR(IF(VLOOKUP($G80,Requerimientos!$A$6:$M$43,3,FALSE)="","",VLOOKUP($G80,Requerimientos!$A$6:$M$43,3,FALSE)),"ID no encontrado"))</f>
        <v>PR-06</v>
      </c>
      <c r="F80" s="5" t="str">
        <f>IF($E80="","",IFERROR(IF(INDEX('Objetivos y procesos'!$D$6:$D$35,MATCH($E80,'Objetivos y procesos'!$C$6:$C$35,0))="","",IF(INDEX('Objetivos y procesos'!$D$6:$D$35,MATCH($E80,'Objetivos y procesos'!$C$6:$C$35,0))=INDEX('Objetivos y procesos'!$E$6:$E$35,MATCH($E80,'Objetivos y procesos'!$C$6:$C$35,0)),INDEX('Objetivos y procesos'!$D$6:$D$35,MATCH($E80,'Objetivos y procesos'!$C$6:$C$35,0)),INDEX('Objetivos y procesos'!$D$6:$D$35,MATCH($E80,'Objetivos y procesos'!$C$6:$C$35,0))&amp;IF(INDEX('Objetivos y procesos'!$E$6:$E$35,MATCH($E80,'Objetivos y procesos'!$C$6:$C$35,0))="",""," / "&amp;INDEX('Objetivos y procesos'!$E$6:$E$35,MATCH($E80,'Objetivos y procesos'!$C$6:$C$35,0))))),"ID no encontrado"))</f>
        <v>Gestión de Posventa</v>
      </c>
      <c r="G80" s="8" t="s">
        <v>205</v>
      </c>
      <c r="H80" s="5" t="str">
        <f>IF($G80="","",IFERROR(IF(VLOOKUP($G80,Requerimientos!$A$6:$M$43,7,FALSE)="","",VLOOKUP($G80,Requerimientos!$A$6:$M$43,7,FALSE)),"ID no encontrado"))</f>
        <v>El sistema debe generar un comprobante del caso con código QR para su verificación posterior, y permitir que el usuario que envió la solicitud, una vez autorizada, lo descargue y marque el caso como QR enviado al cliente.</v>
      </c>
      <c r="I80" s="7" t="str">
        <f>IF($K80="","",IFERROR(IF(VLOOKUP($K80,'Historias y criterios'!$A$6:$P$83,2,FALSE)="","",VLOOKUP($K80,'Historias y criterios'!$A$6:$P$83,2,FALSE)),"ID no encontrado"))</f>
        <v>HU-019</v>
      </c>
      <c r="J80" s="5" t="str">
        <f>IF($K80="","",IFERROR(IF(VLOOKUP($K80,'Historias y criterios'!$A$6:$P$83,10,FALSE)="","",VLOOKUP($K80,'Historias y criterios'!$A$6:$P$83,10,FALSE)),"ID no encontrado"))</f>
        <v>Como autorizador de posventa, quiero evaluar las condiciones, aprobar o rechazar el caso y liberar su comprobante QR, para respaldar la decisión y continuar el flujo con el cliente</v>
      </c>
      <c r="K80" s="8" t="s">
        <v>206</v>
      </c>
      <c r="L80" s="5" t="str">
        <f>IF($K80="","",IFERROR(IF(VLOOKUP($K80,'Historias y criterios'!$A$6:$P$83,11,FALSE)="","",VLOOKUP($K80,'Historias y criterios'!$A$6:$P$83,11,FALSE)),"ID no encontrado"))</f>
        <v>Solo el autorizador de posventa aprueba y libera el comprobante QR.</v>
      </c>
      <c r="M80" s="8" t="s">
        <v>207</v>
      </c>
      <c r="N80" s="5" t="str">
        <f>IF($M80="","",IFERROR(IF(VLOOKUP($M80,'Casos y evidencias'!$A$6:$O$83,5,FALSE)="","",VLOOKUP($M80,'Casos y evidencias'!$A$6:$O$83,5,FALSE)),"ID no encontrado"))</f>
        <v>Aprobación y liberación del QR</v>
      </c>
      <c r="O80" s="5" t="str">
        <f>IF($M80="","",IFERROR(IF(VLOOKUP($M80,'Casos y evidencias'!$A$6:$O$83,10,FALSE)="","",VLOOKUP($M80,'Casos y evidencias'!$A$6:$O$83,10,FALSE)),"ID no encontrado"))</f>
        <v>No ejecutado</v>
      </c>
      <c r="P80" s="7" t="str">
        <f>IF($M80="","",IFERROR(IF(VLOOKUP($M80,'Casos y evidencias'!$A$6:$O$83,11,FALSE)="","",VLOOKUP($M80,'Casos y evidencias'!$A$6:$O$83,11,FALSE)),"ID no encontrado"))</f>
        <v/>
      </c>
      <c r="Q80" s="5" t="str">
        <f>IF($M80="","",IFERROR(IF(VLOOKUP($M80,'Casos y evidencias'!$A$6:$O$83,12,FALSE)="","",VLOOKUP($M80,'Casos y evidencias'!$A$6:$O$83,12,FALSE)),"ID no encontrado"))</f>
        <v/>
      </c>
      <c r="R80" s="4"/>
    </row>
    <row r="81" spans="1:18" ht="89.1" customHeight="1">
      <c r="A81" s="6">
        <v>74</v>
      </c>
      <c r="B81" s="5" t="str">
        <f>IF($G81="","",IF($K81="","Falta criterio",IFERROR(IF(VLOOKUP($K81,'Historias y criterios'!$A$6:$P$83,3,FALSE)&lt;&gt;$G81,"Revisar relación requisito-criterio",IF($M81="","Falta caso de prueba",IF(VLOOKUP($M81,'Casos y evidencias'!$A$6:$O$83,2,FALSE)&lt;&gt;$K81,"Revisar relación criterio-caso",IF($O81="Aprobado",IF($P81="","Falta evidencia","Trazabilidad completa"),IF($O81="Fallido","Prueba fallida",IF($O81="Bloqueado","Prueba bloqueada","Prueba pendiente")))))),"ID no encontrado")))</f>
        <v>Prueba pendiente</v>
      </c>
      <c r="C81" s="7" t="str">
        <f>IF($G81="","",IFERROR(IF(VLOOKUP($G81,Requerimientos!$A$6:$M$43,2,FALSE)="","",VLOOKUP($G81,Requerimientos!$A$6:$M$43,2,FALSE)),"ID no encontrado"))</f>
        <v>OBJ-006</v>
      </c>
      <c r="D81" s="5" t="str">
        <f>IF($C81="","",IFERROR(IF(VLOOKUP($C81,'Objetivos y procesos'!$A$6:$H$35,2,FALSE)="","",VLOOKUP($C81,'Objetivos y procesos'!$A$6:$H$35,2,FALSE)),"ID no encontrado"))</f>
        <v>Centralizar la posventa y ofrecer visibilidad de cada caso, comprobante y decisión a los participantes autorizados.</v>
      </c>
      <c r="E81" s="7" t="str">
        <f>IF($G81="","",IFERROR(IF(VLOOKUP($G81,Requerimientos!$A$6:$M$43,3,FALSE)="","",VLOOKUP($G81,Requerimientos!$A$6:$M$43,3,FALSE)),"ID no encontrado"))</f>
        <v>PR-06</v>
      </c>
      <c r="F81" s="5" t="str">
        <f>IF($E81="","",IFERROR(IF(INDEX('Objetivos y procesos'!$D$6:$D$35,MATCH($E81,'Objetivos y procesos'!$C$6:$C$35,0))="","",IF(INDEX('Objetivos y procesos'!$D$6:$D$35,MATCH($E81,'Objetivos y procesos'!$C$6:$C$35,0))=INDEX('Objetivos y procesos'!$E$6:$E$35,MATCH($E81,'Objetivos y procesos'!$C$6:$C$35,0)),INDEX('Objetivos y procesos'!$D$6:$D$35,MATCH($E81,'Objetivos y procesos'!$C$6:$C$35,0)),INDEX('Objetivos y procesos'!$D$6:$D$35,MATCH($E81,'Objetivos y procesos'!$C$6:$C$35,0))&amp;IF(INDEX('Objetivos y procesos'!$E$6:$E$35,MATCH($E81,'Objetivos y procesos'!$C$6:$C$35,0))="",""," / "&amp;INDEX('Objetivos y procesos'!$E$6:$E$35,MATCH($E81,'Objetivos y procesos'!$C$6:$C$35,0))))),"ID no encontrado"))</f>
        <v>Gestión de Posventa</v>
      </c>
      <c r="G81" s="8" t="s">
        <v>205</v>
      </c>
      <c r="H81" s="5" t="str">
        <f>IF($G81="","",IFERROR(IF(VLOOKUP($G81,Requerimientos!$A$6:$M$43,7,FALSE)="","",VLOOKUP($G81,Requerimientos!$A$6:$M$43,7,FALSE)),"ID no encontrado"))</f>
        <v>El sistema debe generar un comprobante del caso con código QR para su verificación posterior, y permitir que el usuario que envió la solicitud, una vez autorizada, lo descargue y marque el caso como QR enviado al cliente.</v>
      </c>
      <c r="I81" s="7" t="str">
        <f>IF($K81="","",IFERROR(IF(VLOOKUP($K81,'Historias y criterios'!$A$6:$P$83,2,FALSE)="","",VLOOKUP($K81,'Historias y criterios'!$A$6:$P$83,2,FALSE)),"ID no encontrado"))</f>
        <v>HU-019</v>
      </c>
      <c r="J81" s="5" t="str">
        <f>IF($K81="","",IFERROR(IF(VLOOKUP($K81,'Historias y criterios'!$A$6:$P$83,10,FALSE)="","",VLOOKUP($K81,'Historias y criterios'!$A$6:$P$83,10,FALSE)),"ID no encontrado"))</f>
        <v>Como autorizador de posventa, quiero evaluar las condiciones, aprobar o rechazar el caso y liberar su comprobante QR, para respaldar la decisión y continuar el flujo con el cliente</v>
      </c>
      <c r="K81" s="8" t="s">
        <v>208</v>
      </c>
      <c r="L81" s="5" t="str">
        <f>IF($K81="","",IFERROR(IF(VLOOKUP($K81,'Historias y criterios'!$A$6:$P$83,11,FALSE)="","",VLOOKUP($K81,'Historias y criterios'!$A$6:$P$83,11,FALSE)),"ID no encontrado"))</f>
        <v>El comprobante contiene los datos del caso; el solicitante puede descargarlo y marcarlo como enviado al cliente.</v>
      </c>
      <c r="M81" s="8" t="s">
        <v>209</v>
      </c>
      <c r="N81" s="5" t="str">
        <f>IF($M81="","",IFERROR(IF(VLOOKUP($M81,'Casos y evidencias'!$A$6:$O$83,5,FALSE)="","",VLOOKUP($M81,'Casos y evidencias'!$A$6:$O$83,5,FALSE)),"ID no encontrado"))</f>
        <v>Descarga del comprobante y QR enviado</v>
      </c>
      <c r="O81" s="5" t="str">
        <f>IF($M81="","",IFERROR(IF(VLOOKUP($M81,'Casos y evidencias'!$A$6:$O$83,10,FALSE)="","",VLOOKUP($M81,'Casos y evidencias'!$A$6:$O$83,10,FALSE)),"ID no encontrado"))</f>
        <v>No ejecutado</v>
      </c>
      <c r="P81" s="7" t="str">
        <f>IF($M81="","",IFERROR(IF(VLOOKUP($M81,'Casos y evidencias'!$A$6:$O$83,11,FALSE)="","",VLOOKUP($M81,'Casos y evidencias'!$A$6:$O$83,11,FALSE)),"ID no encontrado"))</f>
        <v/>
      </c>
      <c r="Q81" s="5" t="str">
        <f>IF($M81="","",IFERROR(IF(VLOOKUP($M81,'Casos y evidencias'!$A$6:$O$83,12,FALSE)="","",VLOOKUP($M81,'Casos y evidencias'!$A$6:$O$83,12,FALSE)),"ID no encontrado"))</f>
        <v/>
      </c>
      <c r="R81" s="4"/>
    </row>
    <row r="82" spans="1:18" ht="62.1" customHeight="1">
      <c r="A82" s="6">
        <v>75</v>
      </c>
      <c r="B82" s="5" t="str">
        <f>IF($G82="","",IF($K82="","Falta criterio",IFERROR(IF(VLOOKUP($K82,'Historias y criterios'!$A$6:$P$83,3,FALSE)&lt;&gt;$G82,"Revisar relación requisito-criterio",IF($M82="","Falta caso de prueba",IF(VLOOKUP($M82,'Casos y evidencias'!$A$6:$O$83,2,FALSE)&lt;&gt;$K82,"Revisar relación criterio-caso",IF($O82="Aprobado",IF($P82="","Falta evidencia","Trazabilidad completa"),IF($O82="Fallido","Prueba fallida",IF($O82="Bloqueado","Prueba bloqueada","Prueba pendiente")))))),"ID no encontrado")))</f>
        <v>Prueba pendiente</v>
      </c>
      <c r="C82" s="7" t="str">
        <f>IF($G82="","",IFERROR(IF(VLOOKUP($G82,Requerimientos!$A$6:$M$43,2,FALSE)="","",VLOOKUP($G82,Requerimientos!$A$6:$M$43,2,FALSE)),"ID no encontrado"))</f>
        <v>OBJ-006</v>
      </c>
      <c r="D82" s="5" t="str">
        <f>IF($C82="","",IFERROR(IF(VLOOKUP($C82,'Objetivos y procesos'!$A$6:$H$35,2,FALSE)="","",VLOOKUP($C82,'Objetivos y procesos'!$A$6:$H$35,2,FALSE)),"ID no encontrado"))</f>
        <v>Centralizar la posventa y ofrecer visibilidad de cada caso, comprobante y decisión a los participantes autorizados.</v>
      </c>
      <c r="E82" s="7" t="str">
        <f>IF($G82="","",IFERROR(IF(VLOOKUP($G82,Requerimientos!$A$6:$M$43,3,FALSE)="","",VLOOKUP($G82,Requerimientos!$A$6:$M$43,3,FALSE)),"ID no encontrado"))</f>
        <v>PR-06</v>
      </c>
      <c r="F82" s="5" t="str">
        <f>IF($E82="","",IFERROR(IF(INDEX('Objetivos y procesos'!$D$6:$D$35,MATCH($E82,'Objetivos y procesos'!$C$6:$C$35,0))="","",IF(INDEX('Objetivos y procesos'!$D$6:$D$35,MATCH($E82,'Objetivos y procesos'!$C$6:$C$35,0))=INDEX('Objetivos y procesos'!$E$6:$E$35,MATCH($E82,'Objetivos y procesos'!$C$6:$C$35,0)),INDEX('Objetivos y procesos'!$D$6:$D$35,MATCH($E82,'Objetivos y procesos'!$C$6:$C$35,0)),INDEX('Objetivos y procesos'!$D$6:$D$35,MATCH($E82,'Objetivos y procesos'!$C$6:$C$35,0))&amp;IF(INDEX('Objetivos y procesos'!$E$6:$E$35,MATCH($E82,'Objetivos y procesos'!$C$6:$C$35,0))="",""," / "&amp;INDEX('Objetivos y procesos'!$E$6:$E$35,MATCH($E82,'Objetivos y procesos'!$C$6:$C$35,0))))),"ID no encontrado"))</f>
        <v>Gestión de Posventa</v>
      </c>
      <c r="G82" s="8" t="s">
        <v>210</v>
      </c>
      <c r="H82" s="5" t="str">
        <f>IF($G82="","",IFERROR(IF(VLOOKUP($G82,Requerimientos!$A$6:$M$43,7,FALSE)="","",VLOOKUP($G82,Requerimientos!$A$6:$M$43,7,FALSE)),"ID no encontrado"))</f>
        <v>El sistema debe permitir consultar el avance de cada caso hasta su cierre y notificar a los participantes en cada cambio de estado.</v>
      </c>
      <c r="I82" s="7" t="str">
        <f>IF($K82="","",IFERROR(IF(VLOOKUP($K82,'Historias y criterios'!$A$6:$P$83,2,FALSE)="","",VLOOKUP($K82,'Historias y criterios'!$A$6:$P$83,2,FALSE)),"ID no encontrado"))</f>
        <v>HU-020</v>
      </c>
      <c r="J82" s="5" t="str">
        <f>IF($K82="","",IFERROR(IF(VLOOKUP($K82,'Historias y criterios'!$A$6:$P$83,10,FALSE)="","",VLOOKUP($K82,'Historias y criterios'!$A$6:$P$83,10,FALSE)),"ID no encontrado"))</f>
        <v>Como autorizador de posventa, quiero actualizar el caso por sus estados y registrar su resolución final, para mantener el seguimiento hasta un cierre controlado</v>
      </c>
      <c r="K82" s="8" t="s">
        <v>211</v>
      </c>
      <c r="L82" s="5" t="str">
        <f>IF($K82="","",IFERROR(IF(VLOOKUP($K82,'Historias y criterios'!$A$6:$P$83,11,FALSE)="","",VLOOKUP($K82,'Historias y criterios'!$A$6:$P$83,11,FALSE)),"ID no encontrado"))</f>
        <v>El flujo con guía contempla Pendiente, Autorizado, QR enviado, Recepcionado y la ruta de stock o proveedor hasta cierre.</v>
      </c>
      <c r="M82" s="8" t="s">
        <v>212</v>
      </c>
      <c r="N82" s="5" t="str">
        <f>IF($M82="","",IFERROR(IF(VLOOKUP($M82,'Casos y evidencias'!$A$6:$O$83,5,FALSE)="","",VLOOKUP($M82,'Casos y evidencias'!$A$6:$O$83,5,FALSE)),"ID no encontrado"))</f>
        <v>Flujo de estados con guía de despacho</v>
      </c>
      <c r="O82" s="5" t="str">
        <f>IF($M82="","",IFERROR(IF(VLOOKUP($M82,'Casos y evidencias'!$A$6:$O$83,10,FALSE)="","",VLOOKUP($M82,'Casos y evidencias'!$A$6:$O$83,10,FALSE)),"ID no encontrado"))</f>
        <v>No ejecutado</v>
      </c>
      <c r="P82" s="7" t="str">
        <f>IF($M82="","",IFERROR(IF(VLOOKUP($M82,'Casos y evidencias'!$A$6:$O$83,11,FALSE)="","",VLOOKUP($M82,'Casos y evidencias'!$A$6:$O$83,11,FALSE)),"ID no encontrado"))</f>
        <v/>
      </c>
      <c r="Q82" s="5" t="str">
        <f>IF($M82="","",IFERROR(IF(VLOOKUP($M82,'Casos y evidencias'!$A$6:$O$83,12,FALSE)="","",VLOOKUP($M82,'Casos y evidencias'!$A$6:$O$83,12,FALSE)),"ID no encontrado"))</f>
        <v/>
      </c>
      <c r="R82" s="4"/>
    </row>
    <row r="83" spans="1:18" ht="62.1" customHeight="1">
      <c r="A83" s="6">
        <v>76</v>
      </c>
      <c r="B83" s="5" t="str">
        <f>IF($G83="","",IF($K83="","Falta criterio",IFERROR(IF(VLOOKUP($K83,'Historias y criterios'!$A$6:$P$83,3,FALSE)&lt;&gt;$G83,"Revisar relación requisito-criterio",IF($M83="","Falta caso de prueba",IF(VLOOKUP($M83,'Casos y evidencias'!$A$6:$O$83,2,FALSE)&lt;&gt;$K83,"Revisar relación criterio-caso",IF($O83="Aprobado",IF($P83="","Falta evidencia","Trazabilidad completa"),IF($O83="Fallido","Prueba fallida",IF($O83="Bloqueado","Prueba bloqueada","Prueba pendiente")))))),"ID no encontrado")))</f>
        <v>Prueba pendiente</v>
      </c>
      <c r="C83" s="7" t="str">
        <f>IF($G83="","",IFERROR(IF(VLOOKUP($G83,Requerimientos!$A$6:$M$43,2,FALSE)="","",VLOOKUP($G83,Requerimientos!$A$6:$M$43,2,FALSE)),"ID no encontrado"))</f>
        <v>OBJ-006</v>
      </c>
      <c r="D83" s="5" t="str">
        <f>IF($C83="","",IFERROR(IF(VLOOKUP($C83,'Objetivos y procesos'!$A$6:$H$35,2,FALSE)="","",VLOOKUP($C83,'Objetivos y procesos'!$A$6:$H$35,2,FALSE)),"ID no encontrado"))</f>
        <v>Centralizar la posventa y ofrecer visibilidad de cada caso, comprobante y decisión a los participantes autorizados.</v>
      </c>
      <c r="E83" s="7" t="str">
        <f>IF($G83="","",IFERROR(IF(VLOOKUP($G83,Requerimientos!$A$6:$M$43,3,FALSE)="","",VLOOKUP($G83,Requerimientos!$A$6:$M$43,3,FALSE)),"ID no encontrado"))</f>
        <v>PR-06</v>
      </c>
      <c r="F83" s="5" t="str">
        <f>IF($E83="","",IFERROR(IF(INDEX('Objetivos y procesos'!$D$6:$D$35,MATCH($E83,'Objetivos y procesos'!$C$6:$C$35,0))="","",IF(INDEX('Objetivos y procesos'!$D$6:$D$35,MATCH($E83,'Objetivos y procesos'!$C$6:$C$35,0))=INDEX('Objetivos y procesos'!$E$6:$E$35,MATCH($E83,'Objetivos y procesos'!$C$6:$C$35,0)),INDEX('Objetivos y procesos'!$D$6:$D$35,MATCH($E83,'Objetivos y procesos'!$C$6:$C$35,0)),INDEX('Objetivos y procesos'!$D$6:$D$35,MATCH($E83,'Objetivos y procesos'!$C$6:$C$35,0))&amp;IF(INDEX('Objetivos y procesos'!$E$6:$E$35,MATCH($E83,'Objetivos y procesos'!$C$6:$C$35,0))="",""," / "&amp;INDEX('Objetivos y procesos'!$E$6:$E$35,MATCH($E83,'Objetivos y procesos'!$C$6:$C$35,0))))),"ID no encontrado"))</f>
        <v>Gestión de Posventa</v>
      </c>
      <c r="G83" s="8" t="s">
        <v>210</v>
      </c>
      <c r="H83" s="5" t="str">
        <f>IF($G83="","",IFERROR(IF(VLOOKUP($G83,Requerimientos!$A$6:$M$43,7,FALSE)="","",VLOOKUP($G83,Requerimientos!$A$6:$M$43,7,FALSE)),"ID no encontrado"))</f>
        <v>El sistema debe permitir consultar el avance de cada caso hasta su cierre y notificar a los participantes en cada cambio de estado.</v>
      </c>
      <c r="I83" s="7" t="str">
        <f>IF($K83="","",IFERROR(IF(VLOOKUP($K83,'Historias y criterios'!$A$6:$P$83,2,FALSE)="","",VLOOKUP($K83,'Historias y criterios'!$A$6:$P$83,2,FALSE)),"ID no encontrado"))</f>
        <v>HU-020</v>
      </c>
      <c r="J83" s="5" t="str">
        <f>IF($K83="","",IFERROR(IF(VLOOKUP($K83,'Historias y criterios'!$A$6:$P$83,10,FALSE)="","",VLOOKUP($K83,'Historias y criterios'!$A$6:$P$83,10,FALSE)),"ID no encontrado"))</f>
        <v>Como autorizador de posventa, quiero actualizar el caso por sus estados y registrar su resolución final, para mantener el seguimiento hasta un cierre controlado</v>
      </c>
      <c r="K83" s="8" t="s">
        <v>213</v>
      </c>
      <c r="L83" s="5" t="str">
        <f>IF($K83="","",IFERROR(IF(VLOOKUP($K83,'Historias y criterios'!$A$6:$P$83,11,FALSE)="","",VLOOKUP($K83,'Historias y criterios'!$A$6:$P$83,11,FALSE)),"ID no encontrado"))</f>
        <v>El caso con factura de reserva sigue la ruta sin QR ni recepción.</v>
      </c>
      <c r="M83" s="8" t="s">
        <v>214</v>
      </c>
      <c r="N83" s="5" t="str">
        <f>IF($M83="","",IFERROR(IF(VLOOKUP($M83,'Casos y evidencias'!$A$6:$O$83,5,FALSE)="","",VLOOKUP($M83,'Casos y evidencias'!$A$6:$O$83,5,FALSE)),"ID no encontrado"))</f>
        <v>Ruta con factura de reserva</v>
      </c>
      <c r="O83" s="5" t="str">
        <f>IF($M83="","",IFERROR(IF(VLOOKUP($M83,'Casos y evidencias'!$A$6:$O$83,10,FALSE)="","",VLOOKUP($M83,'Casos y evidencias'!$A$6:$O$83,10,FALSE)),"ID no encontrado"))</f>
        <v>No ejecutado</v>
      </c>
      <c r="P83" s="7" t="str">
        <f>IF($M83="","",IFERROR(IF(VLOOKUP($M83,'Casos y evidencias'!$A$6:$O$83,11,FALSE)="","",VLOOKUP($M83,'Casos y evidencias'!$A$6:$O$83,11,FALSE)),"ID no encontrado"))</f>
        <v/>
      </c>
      <c r="Q83" s="5" t="str">
        <f>IF($M83="","",IFERROR(IF(VLOOKUP($M83,'Casos y evidencias'!$A$6:$O$83,12,FALSE)="","",VLOOKUP($M83,'Casos y evidencias'!$A$6:$O$83,12,FALSE)),"ID no encontrado"))</f>
        <v/>
      </c>
      <c r="R83" s="4"/>
    </row>
    <row r="84" spans="1:18" ht="62.1" customHeight="1">
      <c r="A84" s="6">
        <v>77</v>
      </c>
      <c r="B84" s="5" t="str">
        <f>IF($G84="","",IF($K84="","Falta criterio",IFERROR(IF(VLOOKUP($K84,'Historias y criterios'!$A$6:$P$83,3,FALSE)&lt;&gt;$G84,"Revisar relación requisito-criterio",IF($M84="","Falta caso de prueba",IF(VLOOKUP($M84,'Casos y evidencias'!$A$6:$O$83,2,FALSE)&lt;&gt;$K84,"Revisar relación criterio-caso",IF($O84="Aprobado",IF($P84="","Falta evidencia","Trazabilidad completa"),IF($O84="Fallido","Prueba fallida",IF($O84="Bloqueado","Prueba bloqueada","Prueba pendiente")))))),"ID no encontrado")))</f>
        <v>Prueba pendiente</v>
      </c>
      <c r="C84" s="7" t="str">
        <f>IF($G84="","",IFERROR(IF(VLOOKUP($G84,Requerimientos!$A$6:$M$43,2,FALSE)="","",VLOOKUP($G84,Requerimientos!$A$6:$M$43,2,FALSE)),"ID no encontrado"))</f>
        <v>OBJ-006</v>
      </c>
      <c r="D84" s="5" t="str">
        <f>IF($C84="","",IFERROR(IF(VLOOKUP($C84,'Objetivos y procesos'!$A$6:$H$35,2,FALSE)="","",VLOOKUP($C84,'Objetivos y procesos'!$A$6:$H$35,2,FALSE)),"ID no encontrado"))</f>
        <v>Centralizar la posventa y ofrecer visibilidad de cada caso, comprobante y decisión a los participantes autorizados.</v>
      </c>
      <c r="E84" s="7" t="str">
        <f>IF($G84="","",IFERROR(IF(VLOOKUP($G84,Requerimientos!$A$6:$M$43,3,FALSE)="","",VLOOKUP($G84,Requerimientos!$A$6:$M$43,3,FALSE)),"ID no encontrado"))</f>
        <v>PR-06</v>
      </c>
      <c r="F84" s="5" t="str">
        <f>IF($E84="","",IFERROR(IF(INDEX('Objetivos y procesos'!$D$6:$D$35,MATCH($E84,'Objetivos y procesos'!$C$6:$C$35,0))="","",IF(INDEX('Objetivos y procesos'!$D$6:$D$35,MATCH($E84,'Objetivos y procesos'!$C$6:$C$35,0))=INDEX('Objetivos y procesos'!$E$6:$E$35,MATCH($E84,'Objetivos y procesos'!$C$6:$C$35,0)),INDEX('Objetivos y procesos'!$D$6:$D$35,MATCH($E84,'Objetivos y procesos'!$C$6:$C$35,0)),INDEX('Objetivos y procesos'!$D$6:$D$35,MATCH($E84,'Objetivos y procesos'!$C$6:$C$35,0))&amp;IF(INDEX('Objetivos y procesos'!$E$6:$E$35,MATCH($E84,'Objetivos y procesos'!$C$6:$C$35,0))="",""," / "&amp;INDEX('Objetivos y procesos'!$E$6:$E$35,MATCH($E84,'Objetivos y procesos'!$C$6:$C$35,0))))),"ID no encontrado"))</f>
        <v>Gestión de Posventa</v>
      </c>
      <c r="G84" s="8" t="s">
        <v>210</v>
      </c>
      <c r="H84" s="5" t="str">
        <f>IF($G84="","",IFERROR(IF(VLOOKUP($G84,Requerimientos!$A$6:$M$43,7,FALSE)="","",VLOOKUP($G84,Requerimientos!$A$6:$M$43,7,FALSE)),"ID no encontrado"))</f>
        <v>El sistema debe permitir consultar el avance de cada caso hasta su cierre y notificar a los participantes en cada cambio de estado.</v>
      </c>
      <c r="I84" s="7" t="str">
        <f>IF($K84="","",IFERROR(IF(VLOOKUP($K84,'Historias y criterios'!$A$6:$P$83,2,FALSE)="","",VLOOKUP($K84,'Historias y criterios'!$A$6:$P$83,2,FALSE)),"ID no encontrado"))</f>
        <v>HU-020</v>
      </c>
      <c r="J84" s="5" t="str">
        <f>IF($K84="","",IFERROR(IF(VLOOKUP($K84,'Historias y criterios'!$A$6:$P$83,10,FALSE)="","",VLOOKUP($K84,'Historias y criterios'!$A$6:$P$83,10,FALSE)),"ID no encontrado"))</f>
        <v>Como autorizador de posventa, quiero actualizar el caso por sus estados y registrar su resolución final, para mantener el seguimiento hasta un cierre controlado</v>
      </c>
      <c r="K84" s="8" t="s">
        <v>215</v>
      </c>
      <c r="L84" s="5" t="str">
        <f>IF($K84="","",IFERROR(IF(VLOOKUP($K84,'Historias y criterios'!$A$6:$P$83,11,FALSE)="","",VLOOKUP($K84,'Historias y criterios'!$A$6:$P$83,11,FALSE)),"ID no encontrado"))</f>
        <v>Cada cambio notifica al vendedor y autorizador y admite observaciones visibles.</v>
      </c>
      <c r="M84" s="8" t="s">
        <v>216</v>
      </c>
      <c r="N84" s="5" t="str">
        <f>IF($M84="","",IFERROR(IF(VLOOKUP($M84,'Casos y evidencias'!$A$6:$O$83,5,FALSE)="","",VLOOKUP($M84,'Casos y evidencias'!$A$6:$O$83,5,FALSE)),"ID no encontrado"))</f>
        <v>Notificaciones y observaciones en cada cambio</v>
      </c>
      <c r="O84" s="5" t="str">
        <f>IF($M84="","",IFERROR(IF(VLOOKUP($M84,'Casos y evidencias'!$A$6:$O$83,10,FALSE)="","",VLOOKUP($M84,'Casos y evidencias'!$A$6:$O$83,10,FALSE)),"ID no encontrado"))</f>
        <v>No ejecutado</v>
      </c>
      <c r="P84" s="7" t="str">
        <f>IF($M84="","",IFERROR(IF(VLOOKUP($M84,'Casos y evidencias'!$A$6:$O$83,11,FALSE)="","",VLOOKUP($M84,'Casos y evidencias'!$A$6:$O$83,11,FALSE)),"ID no encontrado"))</f>
        <v/>
      </c>
      <c r="Q84" s="5" t="str">
        <f>IF($M84="","",IFERROR(IF(VLOOKUP($M84,'Casos y evidencias'!$A$6:$O$83,12,FALSE)="","",VLOOKUP($M84,'Casos y evidencias'!$A$6:$O$83,12,FALSE)),"ID no encontrado"))</f>
        <v/>
      </c>
      <c r="R84" s="4"/>
    </row>
    <row r="85" spans="1:18" ht="62.1" customHeight="1">
      <c r="A85" s="6">
        <v>78</v>
      </c>
      <c r="B85" s="5" t="str">
        <f>IF($G85="","",IF($K85="","Falta criterio",IFERROR(IF(VLOOKUP($K85,'Historias y criterios'!$A$6:$P$83,3,FALSE)&lt;&gt;$G85,"Revisar relación requisito-criterio",IF($M85="","Falta caso de prueba",IF(VLOOKUP($M85,'Casos y evidencias'!$A$6:$O$83,2,FALSE)&lt;&gt;$K85,"Revisar relación criterio-caso",IF($O85="Aprobado",IF($P85="","Falta evidencia","Trazabilidad completa"),IF($O85="Fallido","Prueba fallida",IF($O85="Bloqueado","Prueba bloqueada","Prueba pendiente")))))),"ID no encontrado")))</f>
        <v>Prueba pendiente</v>
      </c>
      <c r="C85" s="7" t="str">
        <f>IF($G85="","",IFERROR(IF(VLOOKUP($G85,Requerimientos!$A$6:$M$43,2,FALSE)="","",VLOOKUP($G85,Requerimientos!$A$6:$M$43,2,FALSE)),"ID no encontrado"))</f>
        <v>OBJ-006</v>
      </c>
      <c r="D85" s="5" t="str">
        <f>IF($C85="","",IFERROR(IF(VLOOKUP($C85,'Objetivos y procesos'!$A$6:$H$35,2,FALSE)="","",VLOOKUP($C85,'Objetivos y procesos'!$A$6:$H$35,2,FALSE)),"ID no encontrado"))</f>
        <v>Centralizar la posventa y ofrecer visibilidad de cada caso, comprobante y decisión a los participantes autorizados.</v>
      </c>
      <c r="E85" s="7" t="str">
        <f>IF($G85="","",IFERROR(IF(VLOOKUP($G85,Requerimientos!$A$6:$M$43,3,FALSE)="","",VLOOKUP($G85,Requerimientos!$A$6:$M$43,3,FALSE)),"ID no encontrado"))</f>
        <v>PR-06</v>
      </c>
      <c r="F85" s="5" t="str">
        <f>IF($E85="","",IFERROR(IF(INDEX('Objetivos y procesos'!$D$6:$D$35,MATCH($E85,'Objetivos y procesos'!$C$6:$C$35,0))="","",IF(INDEX('Objetivos y procesos'!$D$6:$D$35,MATCH($E85,'Objetivos y procesos'!$C$6:$C$35,0))=INDEX('Objetivos y procesos'!$E$6:$E$35,MATCH($E85,'Objetivos y procesos'!$C$6:$C$35,0)),INDEX('Objetivos y procesos'!$D$6:$D$35,MATCH($E85,'Objetivos y procesos'!$C$6:$C$35,0)),INDEX('Objetivos y procesos'!$D$6:$D$35,MATCH($E85,'Objetivos y procesos'!$C$6:$C$35,0))&amp;IF(INDEX('Objetivos y procesos'!$E$6:$E$35,MATCH($E85,'Objetivos y procesos'!$C$6:$C$35,0))="",""," / "&amp;INDEX('Objetivos y procesos'!$E$6:$E$35,MATCH($E85,'Objetivos y procesos'!$C$6:$C$35,0))))),"ID no encontrado"))</f>
        <v>Gestión de Posventa</v>
      </c>
      <c r="G85" s="8" t="s">
        <v>217</v>
      </c>
      <c r="H85" s="5" t="str">
        <f>IF($G85="","",IFERROR(IF(VLOOKUP($G85,Requerimientos!$A$6:$M$43,7,FALSE)="","",VLOOKUP($G85,Requerimientos!$A$6:$M$43,7,FALSE)),"ID no encontrado"))</f>
        <v>El sistema debe permitir al autorizador de posventa cerrar un caso, registrando su resolución final.</v>
      </c>
      <c r="I85" s="7" t="str">
        <f>IF($K85="","",IFERROR(IF(VLOOKUP($K85,'Historias y criterios'!$A$6:$P$83,2,FALSE)="","",VLOOKUP($K85,'Historias y criterios'!$A$6:$P$83,2,FALSE)),"ID no encontrado"))</f>
        <v>HU-020</v>
      </c>
      <c r="J85" s="5" t="str">
        <f>IF($K85="","",IFERROR(IF(VLOOKUP($K85,'Historias y criterios'!$A$6:$P$83,10,FALSE)="","",VLOOKUP($K85,'Historias y criterios'!$A$6:$P$83,10,FALSE)),"ID no encontrado"))</f>
        <v>Como autorizador de posventa, quiero actualizar el caso por sus estados y registrar su resolución final, para mantener el seguimiento hasta un cierre controlado</v>
      </c>
      <c r="K85" s="8" t="s">
        <v>218</v>
      </c>
      <c r="L85" s="5" t="str">
        <f>IF($K85="","",IFERROR(IF(VLOOKUP($K85,'Historias y criterios'!$A$6:$P$83,11,FALSE)="","",VLOOKUP($K85,'Historias y criterios'!$A$6:$P$83,11,FALSE)),"ID no encontrado"))</f>
        <v>Solo el autorizador cierra el caso; un caso cerrado no acepta nuevos cambios.</v>
      </c>
      <c r="M85" s="8" t="s">
        <v>219</v>
      </c>
      <c r="N85" s="5" t="str">
        <f>IF($M85="","",IFERROR(IF(VLOOKUP($M85,'Casos y evidencias'!$A$6:$O$83,5,FALSE)="","",VLOOKUP($M85,'Casos y evidencias'!$A$6:$O$83,5,FALSE)),"ID no encontrado"))</f>
        <v>Cierre exclusivo y bloqueo posterior</v>
      </c>
      <c r="O85" s="5" t="str">
        <f>IF($M85="","",IFERROR(IF(VLOOKUP($M85,'Casos y evidencias'!$A$6:$O$83,10,FALSE)="","",VLOOKUP($M85,'Casos y evidencias'!$A$6:$O$83,10,FALSE)),"ID no encontrado"))</f>
        <v>No ejecutado</v>
      </c>
      <c r="P85" s="7" t="str">
        <f>IF($M85="","",IFERROR(IF(VLOOKUP($M85,'Casos y evidencias'!$A$6:$O$83,11,FALSE)="","",VLOOKUP($M85,'Casos y evidencias'!$A$6:$O$83,11,FALSE)),"ID no encontrado"))</f>
        <v/>
      </c>
      <c r="Q85" s="5" t="str">
        <f>IF($M85="","",IFERROR(IF(VLOOKUP($M85,'Casos y evidencias'!$A$6:$O$83,12,FALSE)="","",VLOOKUP($M85,'Casos y evidencias'!$A$6:$O$83,12,FALSE)),"ID no encontrado"))</f>
        <v/>
      </c>
      <c r="R85" s="4"/>
    </row>
  </sheetData>
  <mergeCells count="2">
    <mergeCell ref="A2:R2"/>
    <mergeCell ref="A4:R4"/>
  </mergeCells>
  <conditionalFormatting sqref="B8:B85">
    <cfRule type="containsText" dxfId="5" priority="1" operator="containsText" text="Trazabilidad completa">
      <formula>NOT(ISERROR(SEARCH("Trazabilidad completa",B8)))</formula>
    </cfRule>
    <cfRule type="containsText" dxfId="4" priority="2" operator="containsText" text="Falta">
      <formula>NOT(ISERROR(SEARCH("Falta",B8)))</formula>
    </cfRule>
    <cfRule type="containsText" dxfId="3" priority="3" operator="containsText" text="Revisar">
      <formula>NOT(ISERROR(SEARCH("Revisar",B8)))</formula>
    </cfRule>
    <cfRule type="containsText" dxfId="2" priority="4" operator="containsText" text="fallida">
      <formula>NOT(ISERROR(SEARCH("fallida",B8)))</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000-000000000000}">
          <x14:formula1>
            <xm:f>Requerimientos!$A$6:$A$43</xm:f>
          </x14:formula1>
          <xm:sqref>G8:G85</xm:sqref>
        </x14:dataValidation>
        <x14:dataValidation type="list" xr:uid="{00000000-0002-0000-0000-000001000000}">
          <x14:formula1>
            <xm:f>'Historias y criterios'!$A$6:$A$83</xm:f>
          </x14:formula1>
          <xm:sqref>K8:K85</xm:sqref>
        </x14:dataValidation>
        <x14:dataValidation type="list" xr:uid="{00000000-0002-0000-0000-000002000000}">
          <x14:formula1>
            <xm:f>'Casos y evidencias'!$A$6:$A$83</xm:f>
          </x14:formula1>
          <xm:sqref>M8:M85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EA6C4"/>
  </sheetPr>
  <dimension ref="A2:H35"/>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9" defaultRowHeight="14.25"/>
  <cols>
    <col min="1" max="1" width="13" customWidth="1"/>
    <col min="2" max="2" width="36" customWidth="1"/>
    <col min="3" max="3" width="12" customWidth="1"/>
    <col min="4" max="5" width="34" customWidth="1"/>
    <col min="6" max="6" width="32" customWidth="1"/>
    <col min="7" max="7" width="20" customWidth="1"/>
    <col min="8" max="8" width="14" customWidth="1"/>
  </cols>
  <sheetData>
    <row r="2" spans="1:8" ht="27.95" customHeight="1">
      <c r="A2" s="17" t="s">
        <v>220</v>
      </c>
      <c r="B2" s="18"/>
      <c r="C2" s="18"/>
      <c r="D2" s="18"/>
      <c r="E2" s="18"/>
      <c r="F2" s="18"/>
      <c r="G2" s="18"/>
      <c r="H2" s="18"/>
    </row>
    <row r="3" spans="1:8" ht="15">
      <c r="A3" s="15"/>
      <c r="B3" s="15"/>
      <c r="C3" s="15"/>
      <c r="D3" s="15"/>
      <c r="E3" s="15"/>
      <c r="F3" s="15"/>
      <c r="G3" s="15"/>
      <c r="H3" s="15"/>
    </row>
    <row r="4" spans="1:8" ht="27.95" customHeight="1">
      <c r="A4" s="19" t="s">
        <v>221</v>
      </c>
      <c r="B4" s="18"/>
      <c r="C4" s="18"/>
      <c r="D4" s="18"/>
      <c r="E4" s="18"/>
      <c r="F4" s="18"/>
      <c r="G4" s="18"/>
      <c r="H4" s="18"/>
    </row>
    <row r="5" spans="1:8" ht="38.1" customHeight="1">
      <c r="A5" s="3" t="s">
        <v>10</v>
      </c>
      <c r="B5" s="3" t="s">
        <v>11</v>
      </c>
      <c r="C5" s="3" t="s">
        <v>12</v>
      </c>
      <c r="D5" s="3" t="s">
        <v>222</v>
      </c>
      <c r="E5" s="3" t="s">
        <v>223</v>
      </c>
      <c r="F5" s="3" t="s">
        <v>224</v>
      </c>
      <c r="G5" s="3" t="s">
        <v>225</v>
      </c>
      <c r="H5" s="3" t="s">
        <v>226</v>
      </c>
    </row>
    <row r="6" spans="1:8" ht="48.6" customHeight="1">
      <c r="A6" s="10" t="s">
        <v>227</v>
      </c>
      <c r="B6" s="4" t="s">
        <v>228</v>
      </c>
      <c r="C6" s="10" t="s">
        <v>229</v>
      </c>
      <c r="D6" s="9" t="s">
        <v>230</v>
      </c>
      <c r="E6" s="9" t="s">
        <v>230</v>
      </c>
      <c r="F6" s="4" t="s">
        <v>231</v>
      </c>
      <c r="G6" s="4" t="s">
        <v>232</v>
      </c>
      <c r="H6" s="4" t="s">
        <v>233</v>
      </c>
    </row>
    <row r="7" spans="1:8" ht="48.6" customHeight="1">
      <c r="A7" s="10" t="s">
        <v>234</v>
      </c>
      <c r="B7" s="4" t="s">
        <v>235</v>
      </c>
      <c r="C7" s="10" t="s">
        <v>236</v>
      </c>
      <c r="D7" s="9" t="s">
        <v>237</v>
      </c>
      <c r="E7" s="9" t="s">
        <v>237</v>
      </c>
      <c r="F7" s="4" t="s">
        <v>238</v>
      </c>
      <c r="G7" s="4" t="s">
        <v>239</v>
      </c>
      <c r="H7" s="4" t="s">
        <v>233</v>
      </c>
    </row>
    <row r="8" spans="1:8" ht="48.6" customHeight="1">
      <c r="A8" s="10" t="s">
        <v>240</v>
      </c>
      <c r="B8" s="4" t="s">
        <v>241</v>
      </c>
      <c r="C8" s="10" t="s">
        <v>242</v>
      </c>
      <c r="D8" s="9" t="s">
        <v>243</v>
      </c>
      <c r="E8" s="9" t="s">
        <v>243</v>
      </c>
      <c r="F8" s="4" t="s">
        <v>244</v>
      </c>
      <c r="G8" s="4" t="s">
        <v>245</v>
      </c>
      <c r="H8" s="4" t="s">
        <v>233</v>
      </c>
    </row>
    <row r="9" spans="1:8" ht="48.6" customHeight="1">
      <c r="A9" s="10" t="s">
        <v>246</v>
      </c>
      <c r="B9" s="4" t="s">
        <v>247</v>
      </c>
      <c r="C9" s="10" t="s">
        <v>248</v>
      </c>
      <c r="D9" s="9" t="s">
        <v>249</v>
      </c>
      <c r="E9" s="9" t="s">
        <v>249</v>
      </c>
      <c r="F9" s="4" t="s">
        <v>250</v>
      </c>
      <c r="G9" s="4" t="s">
        <v>239</v>
      </c>
      <c r="H9" s="4" t="s">
        <v>233</v>
      </c>
    </row>
    <row r="10" spans="1:8" ht="48.6" customHeight="1">
      <c r="A10" s="10" t="s">
        <v>251</v>
      </c>
      <c r="B10" s="4" t="s">
        <v>252</v>
      </c>
      <c r="C10" s="10" t="s">
        <v>253</v>
      </c>
      <c r="D10" s="9" t="s">
        <v>254</v>
      </c>
      <c r="E10" s="9" t="s">
        <v>254</v>
      </c>
      <c r="F10" s="4" t="s">
        <v>255</v>
      </c>
      <c r="G10" s="4" t="s">
        <v>256</v>
      </c>
      <c r="H10" s="4" t="s">
        <v>233</v>
      </c>
    </row>
    <row r="11" spans="1:8" ht="48.6" customHeight="1">
      <c r="A11" s="10" t="s">
        <v>257</v>
      </c>
      <c r="B11" s="4" t="s">
        <v>258</v>
      </c>
      <c r="C11" s="10" t="s">
        <v>259</v>
      </c>
      <c r="D11" s="9" t="s">
        <v>260</v>
      </c>
      <c r="E11" s="9" t="s">
        <v>260</v>
      </c>
      <c r="F11" s="4" t="s">
        <v>261</v>
      </c>
      <c r="G11" s="4" t="s">
        <v>262</v>
      </c>
      <c r="H11" s="4" t="s">
        <v>233</v>
      </c>
    </row>
    <row r="12" spans="1:8" ht="45.95" customHeight="1">
      <c r="A12" s="10"/>
      <c r="B12" s="4"/>
      <c r="C12" s="10"/>
      <c r="D12" s="9"/>
      <c r="E12" s="9"/>
      <c r="F12" s="4"/>
      <c r="G12" s="4"/>
      <c r="H12" s="4"/>
    </row>
    <row r="13" spans="1:8" ht="45.95" customHeight="1">
      <c r="A13" s="10"/>
      <c r="B13" s="4"/>
      <c r="C13" s="10"/>
      <c r="D13" s="9"/>
      <c r="E13" s="9"/>
      <c r="F13" s="4"/>
      <c r="G13" s="4"/>
      <c r="H13" s="4"/>
    </row>
    <row r="14" spans="1:8" ht="45.95" customHeight="1">
      <c r="A14" s="10"/>
      <c r="B14" s="4"/>
      <c r="C14" s="10"/>
      <c r="D14" s="9"/>
      <c r="E14" s="9"/>
      <c r="F14" s="4"/>
      <c r="G14" s="4"/>
      <c r="H14" s="4"/>
    </row>
    <row r="15" spans="1:8" ht="45.95" customHeight="1">
      <c r="A15" s="10"/>
      <c r="B15" s="4"/>
      <c r="C15" s="10"/>
      <c r="D15" s="9"/>
      <c r="E15" s="9"/>
      <c r="F15" s="4"/>
      <c r="G15" s="4"/>
      <c r="H15" s="4"/>
    </row>
    <row r="16" spans="1:8" ht="45.95" customHeight="1">
      <c r="A16" s="10"/>
      <c r="B16" s="4"/>
      <c r="C16" s="10"/>
      <c r="D16" s="9"/>
      <c r="E16" s="9"/>
      <c r="F16" s="4"/>
      <c r="G16" s="4"/>
      <c r="H16" s="4"/>
    </row>
    <row r="17" spans="1:8" ht="45.95" customHeight="1">
      <c r="A17" s="10"/>
      <c r="B17" s="4"/>
      <c r="C17" s="10"/>
      <c r="D17" s="9"/>
      <c r="E17" s="9"/>
      <c r="F17" s="4"/>
      <c r="G17" s="4"/>
      <c r="H17" s="4"/>
    </row>
    <row r="18" spans="1:8" ht="45.95" customHeight="1">
      <c r="A18" s="10"/>
      <c r="B18" s="4"/>
      <c r="C18" s="10"/>
      <c r="D18" s="9"/>
      <c r="E18" s="9"/>
      <c r="F18" s="4"/>
      <c r="G18" s="4"/>
      <c r="H18" s="4"/>
    </row>
    <row r="19" spans="1:8" ht="45.95" customHeight="1">
      <c r="A19" s="10"/>
      <c r="B19" s="4"/>
      <c r="C19" s="10"/>
      <c r="D19" s="9"/>
      <c r="E19" s="9"/>
      <c r="F19" s="4"/>
      <c r="G19" s="4"/>
      <c r="H19" s="4"/>
    </row>
    <row r="20" spans="1:8" ht="45.95" customHeight="1">
      <c r="A20" s="10"/>
      <c r="B20" s="4"/>
      <c r="C20" s="10"/>
      <c r="D20" s="9"/>
      <c r="E20" s="9"/>
      <c r="F20" s="4"/>
      <c r="G20" s="4"/>
      <c r="H20" s="4"/>
    </row>
    <row r="21" spans="1:8" ht="45.95" customHeight="1">
      <c r="A21" s="10"/>
      <c r="B21" s="4"/>
      <c r="C21" s="10"/>
      <c r="D21" s="9"/>
      <c r="E21" s="9"/>
      <c r="F21" s="4"/>
      <c r="G21" s="4"/>
      <c r="H21" s="4"/>
    </row>
    <row r="22" spans="1:8" ht="45.95" customHeight="1">
      <c r="A22" s="10"/>
      <c r="B22" s="4"/>
      <c r="C22" s="10"/>
      <c r="D22" s="9"/>
      <c r="E22" s="9"/>
      <c r="F22" s="4"/>
      <c r="G22" s="4"/>
      <c r="H22" s="4"/>
    </row>
    <row r="23" spans="1:8" ht="45.95" customHeight="1">
      <c r="A23" s="10"/>
      <c r="B23" s="4"/>
      <c r="C23" s="10"/>
      <c r="D23" s="9"/>
      <c r="E23" s="9"/>
      <c r="F23" s="4"/>
      <c r="G23" s="4"/>
      <c r="H23" s="4"/>
    </row>
    <row r="24" spans="1:8" ht="45.95" customHeight="1">
      <c r="A24" s="10"/>
      <c r="B24" s="4"/>
      <c r="C24" s="10"/>
      <c r="D24" s="9"/>
      <c r="E24" s="9"/>
      <c r="F24" s="4"/>
      <c r="G24" s="4"/>
      <c r="H24" s="4"/>
    </row>
    <row r="25" spans="1:8" ht="45.95" customHeight="1">
      <c r="A25" s="10"/>
      <c r="B25" s="4"/>
      <c r="C25" s="10"/>
      <c r="D25" s="9"/>
      <c r="E25" s="9"/>
      <c r="F25" s="4"/>
      <c r="G25" s="4"/>
      <c r="H25" s="4"/>
    </row>
    <row r="26" spans="1:8" ht="45.95" customHeight="1">
      <c r="A26" s="10"/>
      <c r="B26" s="4"/>
      <c r="C26" s="10"/>
      <c r="D26" s="9"/>
      <c r="E26" s="9"/>
      <c r="F26" s="4"/>
      <c r="G26" s="4"/>
      <c r="H26" s="4"/>
    </row>
    <row r="27" spans="1:8" ht="45.95" customHeight="1">
      <c r="A27" s="10"/>
      <c r="B27" s="4"/>
      <c r="C27" s="10"/>
      <c r="D27" s="9"/>
      <c r="E27" s="9"/>
      <c r="F27" s="4"/>
      <c r="G27" s="4"/>
      <c r="H27" s="4"/>
    </row>
    <row r="28" spans="1:8" ht="45.95" customHeight="1">
      <c r="A28" s="10"/>
      <c r="B28" s="4"/>
      <c r="C28" s="10"/>
      <c r="D28" s="9"/>
      <c r="E28" s="9"/>
      <c r="F28" s="4"/>
      <c r="G28" s="4"/>
      <c r="H28" s="4"/>
    </row>
    <row r="29" spans="1:8" ht="45.95" customHeight="1">
      <c r="A29" s="10"/>
      <c r="B29" s="4"/>
      <c r="C29" s="10"/>
      <c r="D29" s="9"/>
      <c r="E29" s="9"/>
      <c r="F29" s="4"/>
      <c r="G29" s="4"/>
      <c r="H29" s="4"/>
    </row>
    <row r="30" spans="1:8" ht="45.95" customHeight="1">
      <c r="A30" s="10"/>
      <c r="B30" s="4"/>
      <c r="C30" s="10"/>
      <c r="D30" s="9"/>
      <c r="E30" s="9"/>
      <c r="F30" s="4"/>
      <c r="G30" s="4"/>
      <c r="H30" s="4"/>
    </row>
    <row r="31" spans="1:8" ht="45.95" customHeight="1">
      <c r="A31" s="10"/>
      <c r="B31" s="4"/>
      <c r="C31" s="10"/>
      <c r="D31" s="9"/>
      <c r="E31" s="9"/>
      <c r="F31" s="4"/>
      <c r="G31" s="4"/>
      <c r="H31" s="4"/>
    </row>
    <row r="32" spans="1:8" ht="45.95" customHeight="1">
      <c r="A32" s="10"/>
      <c r="B32" s="4"/>
      <c r="C32" s="10"/>
      <c r="D32" s="9"/>
      <c r="E32" s="9"/>
      <c r="F32" s="4"/>
      <c r="G32" s="4"/>
      <c r="H32" s="4"/>
    </row>
    <row r="33" spans="1:8" ht="45.95" customHeight="1">
      <c r="A33" s="10"/>
      <c r="B33" s="4"/>
      <c r="C33" s="10"/>
      <c r="D33" s="9"/>
      <c r="E33" s="9"/>
      <c r="F33" s="4"/>
      <c r="G33" s="4"/>
      <c r="H33" s="4"/>
    </row>
    <row r="34" spans="1:8" ht="45.95" customHeight="1">
      <c r="A34" s="10"/>
      <c r="B34" s="4"/>
      <c r="C34" s="10"/>
      <c r="D34" s="9"/>
      <c r="E34" s="9"/>
      <c r="F34" s="4"/>
      <c r="G34" s="4"/>
      <c r="H34" s="4"/>
    </row>
    <row r="35" spans="1:8" ht="45.95" customHeight="1">
      <c r="A35" s="10"/>
      <c r="B35" s="4"/>
      <c r="C35" s="10"/>
      <c r="D35" s="9"/>
      <c r="E35" s="9"/>
      <c r="F35" s="4"/>
      <c r="G35" s="4"/>
      <c r="H35" s="4"/>
    </row>
  </sheetData>
  <mergeCells count="2">
    <mergeCell ref="A4:H4"/>
    <mergeCell ref="A2:H2"/>
  </mergeCells>
  <dataValidations count="1">
    <dataValidation type="list" sqref="H6:H35" xr:uid="{00000000-0002-0000-0100-000000000000}">
      <formula1>"Borrador,En revisión,Aprobado,Descartado"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2:M43"/>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9" defaultRowHeight="14.25"/>
  <cols>
    <col min="1" max="1" width="16" customWidth="1"/>
    <col min="2" max="2" width="13" customWidth="1"/>
    <col min="3" max="3" width="12" customWidth="1"/>
    <col min="4" max="4" width="16" customWidth="1"/>
    <col min="5" max="5" width="32" customWidth="1"/>
    <col min="6" max="6" width="24" customWidth="1"/>
    <col min="7" max="7" width="38" customWidth="1"/>
    <col min="8" max="8" width="22" customWidth="1"/>
    <col min="9" max="9" width="12" customWidth="1"/>
    <col min="10" max="10" width="24" customWidth="1"/>
    <col min="11" max="11" width="16" customWidth="1"/>
    <col min="12" max="12" width="20" customWidth="1"/>
    <col min="13" max="13" width="10" customWidth="1"/>
  </cols>
  <sheetData>
    <row r="2" spans="1:13" ht="27.95" customHeight="1">
      <c r="A2" s="17" t="s">
        <v>288</v>
      </c>
      <c r="B2" s="18"/>
      <c r="C2" s="18"/>
      <c r="D2" s="18"/>
      <c r="E2" s="18"/>
      <c r="F2" s="18"/>
      <c r="G2" s="18"/>
      <c r="H2" s="18"/>
      <c r="I2" s="18"/>
      <c r="J2" s="18"/>
      <c r="K2" s="18"/>
      <c r="L2" s="18"/>
      <c r="M2" s="18"/>
    </row>
    <row r="3" spans="1:13" ht="15">
      <c r="A3" s="15"/>
      <c r="B3" s="15"/>
      <c r="C3" s="15"/>
      <c r="D3" s="15"/>
      <c r="E3" s="15"/>
      <c r="F3" s="15"/>
      <c r="G3" s="15"/>
      <c r="H3" s="15"/>
      <c r="I3" s="15"/>
      <c r="J3" s="15"/>
      <c r="K3" s="15"/>
      <c r="L3" s="15"/>
      <c r="M3" s="15"/>
    </row>
    <row r="4" spans="1:13" ht="27.95" customHeight="1">
      <c r="A4" s="19" t="s">
        <v>289</v>
      </c>
      <c r="B4" s="18"/>
      <c r="C4" s="18"/>
      <c r="D4" s="18"/>
      <c r="E4" s="18"/>
      <c r="F4" s="18"/>
      <c r="G4" s="18"/>
      <c r="H4" s="18"/>
      <c r="I4" s="18"/>
      <c r="J4" s="18"/>
      <c r="K4" s="18"/>
      <c r="L4" s="18"/>
      <c r="M4" s="18"/>
    </row>
    <row r="5" spans="1:13" ht="38.1" customHeight="1">
      <c r="A5" s="3" t="s">
        <v>14</v>
      </c>
      <c r="B5" s="3" t="s">
        <v>10</v>
      </c>
      <c r="C5" s="3" t="s">
        <v>12</v>
      </c>
      <c r="D5" s="3" t="s">
        <v>290</v>
      </c>
      <c r="E5" s="3" t="s">
        <v>223</v>
      </c>
      <c r="F5" s="3" t="s">
        <v>291</v>
      </c>
      <c r="G5" s="3" t="s">
        <v>292</v>
      </c>
      <c r="H5" s="3" t="s">
        <v>293</v>
      </c>
      <c r="I5" s="3" t="s">
        <v>294</v>
      </c>
      <c r="J5" s="3" t="s">
        <v>295</v>
      </c>
      <c r="K5" s="3" t="s">
        <v>226</v>
      </c>
      <c r="L5" s="3" t="s">
        <v>225</v>
      </c>
      <c r="M5" s="3" t="s">
        <v>296</v>
      </c>
    </row>
    <row r="6" spans="1:13" ht="50.1" customHeight="1">
      <c r="A6" s="10" t="s">
        <v>26</v>
      </c>
      <c r="B6" s="8" t="s">
        <v>227</v>
      </c>
      <c r="C6" s="8" t="s">
        <v>229</v>
      </c>
      <c r="D6" s="8" t="s">
        <v>297</v>
      </c>
      <c r="E6" s="5" t="str">
        <f>IF(C6="","",IFERROR(IF(INDEX('Objetivos y procesos'!$E$6:$E$35,MATCH(C6,'Objetivos y procesos'!$C$6:$C$35,0))="","",INDEX('Objetivos y procesos'!$E$6:$E$35,MATCH(C6,'Objetivos y procesos'!$C$6:$C$35,0))),"ID no encontrado"))</f>
        <v>Gestión de usuarios, roles y permisos</v>
      </c>
      <c r="F6" s="4" t="s">
        <v>298</v>
      </c>
      <c r="G6" s="4" t="s">
        <v>299</v>
      </c>
      <c r="H6" s="4" t="s">
        <v>300</v>
      </c>
      <c r="I6" s="8" t="s">
        <v>301</v>
      </c>
      <c r="J6" s="4" t="s">
        <v>302</v>
      </c>
      <c r="K6" s="8" t="s">
        <v>303</v>
      </c>
      <c r="L6" s="4" t="s">
        <v>232</v>
      </c>
      <c r="M6" s="4" t="s">
        <v>304</v>
      </c>
    </row>
    <row r="7" spans="1:13" ht="50.1" customHeight="1">
      <c r="A7" s="10" t="s">
        <v>33</v>
      </c>
      <c r="B7" s="8" t="s">
        <v>227</v>
      </c>
      <c r="C7" s="8" t="s">
        <v>229</v>
      </c>
      <c r="D7" s="8" t="s">
        <v>297</v>
      </c>
      <c r="E7" s="5" t="str">
        <f>IF(C7="","",IFERROR(IF(INDEX('Objetivos y procesos'!$E$6:$E$35,MATCH(C7,'Objetivos y procesos'!$C$6:$C$35,0))="","",INDEX('Objetivos y procesos'!$E$6:$E$35,MATCH(C7,'Objetivos y procesos'!$C$6:$C$35,0))),"ID no encontrado"))</f>
        <v>Gestión de usuarios, roles y permisos</v>
      </c>
      <c r="F7" s="4" t="s">
        <v>949</v>
      </c>
      <c r="G7" s="4" t="s">
        <v>915</v>
      </c>
      <c r="H7" s="4" t="s">
        <v>916</v>
      </c>
      <c r="I7" s="8" t="s">
        <v>301</v>
      </c>
      <c r="J7" s="4" t="s">
        <v>305</v>
      </c>
      <c r="K7" s="8" t="s">
        <v>303</v>
      </c>
      <c r="L7" s="4" t="s">
        <v>232</v>
      </c>
      <c r="M7" s="16" t="s">
        <v>917</v>
      </c>
    </row>
    <row r="8" spans="1:13" ht="50.1" customHeight="1">
      <c r="A8" s="10" t="s">
        <v>41</v>
      </c>
      <c r="B8" s="8" t="s">
        <v>227</v>
      </c>
      <c r="C8" s="8" t="s">
        <v>229</v>
      </c>
      <c r="D8" s="8" t="s">
        <v>297</v>
      </c>
      <c r="E8" s="5" t="str">
        <f>IF(C8="","",IFERROR(IF(INDEX('Objetivos y procesos'!$E$6:$E$35,MATCH(C8,'Objetivos y procesos'!$C$6:$C$35,0))="","",INDEX('Objetivos y procesos'!$E$6:$E$35,MATCH(C8,'Objetivos y procesos'!$C$6:$C$35,0))),"ID no encontrado"))</f>
        <v>Gestión de usuarios, roles y permisos</v>
      </c>
      <c r="F8" s="4" t="s">
        <v>950</v>
      </c>
      <c r="G8" s="4" t="s">
        <v>918</v>
      </c>
      <c r="H8" s="4" t="s">
        <v>916</v>
      </c>
      <c r="I8" s="8" t="s">
        <v>301</v>
      </c>
      <c r="J8" s="4" t="s">
        <v>306</v>
      </c>
      <c r="K8" s="8" t="s">
        <v>303</v>
      </c>
      <c r="L8" s="4" t="s">
        <v>232</v>
      </c>
      <c r="M8" s="16" t="s">
        <v>917</v>
      </c>
    </row>
    <row r="9" spans="1:13" ht="50.1" customHeight="1">
      <c r="A9" s="10" t="s">
        <v>36</v>
      </c>
      <c r="B9" s="8" t="s">
        <v>227</v>
      </c>
      <c r="C9" s="8" t="s">
        <v>229</v>
      </c>
      <c r="D9" s="8" t="s">
        <v>297</v>
      </c>
      <c r="E9" s="5" t="str">
        <f>IF(C9="","",IFERROR(IF(INDEX('Objetivos y procesos'!$E$6:$E$35,MATCH(C9,'Objetivos y procesos'!$C$6:$C$35,0))="","",INDEX('Objetivos y procesos'!$E$6:$E$35,MATCH(C9,'Objetivos y procesos'!$C$6:$C$35,0))),"ID no encontrado"))</f>
        <v>Gestión de usuarios, roles y permisos</v>
      </c>
      <c r="F9" s="4" t="s">
        <v>307</v>
      </c>
      <c r="G9" s="4" t="s">
        <v>308</v>
      </c>
      <c r="H9" s="4" t="s">
        <v>300</v>
      </c>
      <c r="I9" s="8" t="s">
        <v>301</v>
      </c>
      <c r="J9" s="4" t="s">
        <v>309</v>
      </c>
      <c r="K9" s="8" t="s">
        <v>303</v>
      </c>
      <c r="L9" s="4" t="s">
        <v>232</v>
      </c>
      <c r="M9" s="4" t="s">
        <v>304</v>
      </c>
    </row>
    <row r="10" spans="1:13" ht="50.1" customHeight="1">
      <c r="A10" s="10" t="s">
        <v>49</v>
      </c>
      <c r="B10" s="8" t="s">
        <v>227</v>
      </c>
      <c r="C10" s="8" t="s">
        <v>229</v>
      </c>
      <c r="D10" s="8" t="s">
        <v>297</v>
      </c>
      <c r="E10" s="5" t="str">
        <f>IF(C10="","",IFERROR(IF(INDEX('Objetivos y procesos'!$E$6:$E$35,MATCH(C10,'Objetivos y procesos'!$C$6:$C$35,0))="","",INDEX('Objetivos y procesos'!$E$6:$E$35,MATCH(C10,'Objetivos y procesos'!$C$6:$C$35,0))),"ID no encontrado"))</f>
        <v>Gestión de usuarios, roles y permisos</v>
      </c>
      <c r="F10" s="4" t="s">
        <v>310</v>
      </c>
      <c r="G10" s="4" t="s">
        <v>919</v>
      </c>
      <c r="H10" s="4" t="s">
        <v>916</v>
      </c>
      <c r="I10" s="8" t="s">
        <v>311</v>
      </c>
      <c r="J10" s="4" t="s">
        <v>312</v>
      </c>
      <c r="K10" s="8" t="s">
        <v>303</v>
      </c>
      <c r="L10" s="4" t="s">
        <v>232</v>
      </c>
      <c r="M10" s="16" t="s">
        <v>917</v>
      </c>
    </row>
    <row r="11" spans="1:13" ht="89.1" customHeight="1">
      <c r="A11" s="10" t="s">
        <v>63</v>
      </c>
      <c r="B11" s="8" t="s">
        <v>234</v>
      </c>
      <c r="C11" s="8" t="s">
        <v>236</v>
      </c>
      <c r="D11" s="8" t="s">
        <v>297</v>
      </c>
      <c r="E11" s="5" t="str">
        <f>IF(C11="","",IFERROR(IF(INDEX('Objetivos y procesos'!$E$6:$E$35,MATCH(C11,'Objetivos y procesos'!$C$6:$C$35,0))="","",INDEX('Objetivos y procesos'!$E$6:$E$35,MATCH(C11,'Objetivos y procesos'!$C$6:$C$35,0))),"ID no encontrado"))</f>
        <v>Solicitudes y autorizaciones</v>
      </c>
      <c r="F11" s="4" t="s">
        <v>313</v>
      </c>
      <c r="G11" s="4" t="s">
        <v>314</v>
      </c>
      <c r="H11" s="4" t="s">
        <v>315</v>
      </c>
      <c r="I11" s="8" t="s">
        <v>301</v>
      </c>
      <c r="J11" s="4" t="s">
        <v>316</v>
      </c>
      <c r="K11" s="8" t="s">
        <v>303</v>
      </c>
      <c r="L11" s="4" t="s">
        <v>239</v>
      </c>
      <c r="M11" s="4" t="s">
        <v>304</v>
      </c>
    </row>
    <row r="12" spans="1:13" ht="50.1" customHeight="1">
      <c r="A12" s="10" t="s">
        <v>73</v>
      </c>
      <c r="B12" s="8" t="s">
        <v>234</v>
      </c>
      <c r="C12" s="8" t="s">
        <v>236</v>
      </c>
      <c r="D12" s="8" t="s">
        <v>297</v>
      </c>
      <c r="E12" s="5" t="str">
        <f>IF(C12="","",IFERROR(IF(INDEX('Objetivos y procesos'!$E$6:$E$35,MATCH(C12,'Objetivos y procesos'!$C$6:$C$35,0))="","",INDEX('Objetivos y procesos'!$E$6:$E$35,MATCH(C12,'Objetivos y procesos'!$C$6:$C$35,0))),"ID no encontrado"))</f>
        <v>Solicitudes y autorizaciones</v>
      </c>
      <c r="F12" s="4" t="s">
        <v>317</v>
      </c>
      <c r="G12" s="4" t="s">
        <v>318</v>
      </c>
      <c r="H12" s="4" t="s">
        <v>315</v>
      </c>
      <c r="I12" s="8" t="s">
        <v>301</v>
      </c>
      <c r="J12" s="4" t="s">
        <v>319</v>
      </c>
      <c r="K12" s="8" t="s">
        <v>303</v>
      </c>
      <c r="L12" s="4" t="s">
        <v>239</v>
      </c>
      <c r="M12" s="4" t="s">
        <v>304</v>
      </c>
    </row>
    <row r="13" spans="1:13" ht="50.1" customHeight="1">
      <c r="A13" s="10" t="s">
        <v>82</v>
      </c>
      <c r="B13" s="8" t="s">
        <v>234</v>
      </c>
      <c r="C13" s="8" t="s">
        <v>236</v>
      </c>
      <c r="D13" s="8" t="s">
        <v>297</v>
      </c>
      <c r="E13" s="5" t="str">
        <f>IF(C13="","",IFERROR(IF(INDEX('Objetivos y procesos'!$E$6:$E$35,MATCH(C13,'Objetivos y procesos'!$C$6:$C$35,0))="","",INDEX('Objetivos y procesos'!$E$6:$E$35,MATCH(C13,'Objetivos y procesos'!$C$6:$C$35,0))),"ID no encontrado"))</f>
        <v>Solicitudes y autorizaciones</v>
      </c>
      <c r="F13" s="4" t="s">
        <v>320</v>
      </c>
      <c r="G13" s="4" t="s">
        <v>321</v>
      </c>
      <c r="H13" s="4" t="s">
        <v>315</v>
      </c>
      <c r="I13" s="8" t="s">
        <v>301</v>
      </c>
      <c r="J13" s="4" t="s">
        <v>322</v>
      </c>
      <c r="K13" s="8" t="s">
        <v>303</v>
      </c>
      <c r="L13" s="4" t="s">
        <v>239</v>
      </c>
      <c r="M13" s="4" t="s">
        <v>304</v>
      </c>
    </row>
    <row r="14" spans="1:13" ht="50.1" customHeight="1">
      <c r="A14" s="10" t="s">
        <v>87</v>
      </c>
      <c r="B14" s="8" t="s">
        <v>234</v>
      </c>
      <c r="C14" s="8" t="s">
        <v>236</v>
      </c>
      <c r="D14" s="8" t="s">
        <v>297</v>
      </c>
      <c r="E14" s="5" t="str">
        <f>IF(C14="","",IFERROR(IF(INDEX('Objetivos y procesos'!$E$6:$E$35,MATCH(C14,'Objetivos y procesos'!$C$6:$C$35,0))="","",INDEX('Objetivos y procesos'!$E$6:$E$35,MATCH(C14,'Objetivos y procesos'!$C$6:$C$35,0))),"ID no encontrado"))</f>
        <v>Solicitudes y autorizaciones</v>
      </c>
      <c r="F14" s="4" t="s">
        <v>323</v>
      </c>
      <c r="G14" s="4" t="s">
        <v>324</v>
      </c>
      <c r="H14" s="4" t="s">
        <v>315</v>
      </c>
      <c r="I14" s="8" t="s">
        <v>301</v>
      </c>
      <c r="J14" s="4" t="s">
        <v>325</v>
      </c>
      <c r="K14" s="8" t="s">
        <v>303</v>
      </c>
      <c r="L14" s="4" t="s">
        <v>239</v>
      </c>
      <c r="M14" s="4" t="s">
        <v>304</v>
      </c>
    </row>
    <row r="15" spans="1:13" ht="50.1" customHeight="1">
      <c r="A15" s="10" t="s">
        <v>90</v>
      </c>
      <c r="B15" s="8" t="s">
        <v>234</v>
      </c>
      <c r="C15" s="8" t="s">
        <v>236</v>
      </c>
      <c r="D15" s="8" t="s">
        <v>297</v>
      </c>
      <c r="E15" s="5" t="str">
        <f>IF(C15="","",IFERROR(IF(INDEX('Objetivos y procesos'!$E$6:$E$35,MATCH(C15,'Objetivos y procesos'!$C$6:$C$35,0))="","",INDEX('Objetivos y procesos'!$E$6:$E$35,MATCH(C15,'Objetivos y procesos'!$C$6:$C$35,0))),"ID no encontrado"))</f>
        <v>Solicitudes y autorizaciones</v>
      </c>
      <c r="F15" s="4" t="s">
        <v>326</v>
      </c>
      <c r="G15" s="4" t="s">
        <v>327</v>
      </c>
      <c r="H15" s="4" t="s">
        <v>315</v>
      </c>
      <c r="I15" s="8" t="s">
        <v>311</v>
      </c>
      <c r="J15" s="4" t="s">
        <v>328</v>
      </c>
      <c r="K15" s="8" t="s">
        <v>303</v>
      </c>
      <c r="L15" s="4" t="s">
        <v>239</v>
      </c>
      <c r="M15" s="4" t="s">
        <v>304</v>
      </c>
    </row>
    <row r="16" spans="1:13" ht="50.1" customHeight="1">
      <c r="A16" s="10" t="s">
        <v>93</v>
      </c>
      <c r="B16" s="8" t="s">
        <v>240</v>
      </c>
      <c r="C16" s="8" t="s">
        <v>242</v>
      </c>
      <c r="D16" s="8" t="s">
        <v>297</v>
      </c>
      <c r="E16" s="5" t="str">
        <f>IF(C16="","",IFERROR(IF(INDEX('Objetivos y procesos'!$E$6:$E$35,MATCH(C16,'Objetivos y procesos'!$C$6:$C$35,0))="","",INDEX('Objetivos y procesos'!$E$6:$E$35,MATCH(C16,'Objetivos y procesos'!$C$6:$C$35,0))),"ID no encontrado"))</f>
        <v>Gestión comercial, cotizaciones y órdenes de venta</v>
      </c>
      <c r="F16" s="4" t="s">
        <v>329</v>
      </c>
      <c r="G16" s="4" t="s">
        <v>330</v>
      </c>
      <c r="H16" s="4" t="s">
        <v>331</v>
      </c>
      <c r="I16" s="8" t="s">
        <v>301</v>
      </c>
      <c r="J16" s="4" t="s">
        <v>332</v>
      </c>
      <c r="K16" s="8" t="s">
        <v>303</v>
      </c>
      <c r="L16" s="4" t="s">
        <v>245</v>
      </c>
      <c r="M16" s="4" t="s">
        <v>304</v>
      </c>
    </row>
    <row r="17" spans="1:13" ht="50.1" customHeight="1">
      <c r="A17" s="10" t="s">
        <v>96</v>
      </c>
      <c r="B17" s="8" t="s">
        <v>240</v>
      </c>
      <c r="C17" s="8" t="s">
        <v>242</v>
      </c>
      <c r="D17" s="8" t="s">
        <v>297</v>
      </c>
      <c r="E17" s="5" t="str">
        <f>IF(C17="","",IFERROR(IF(INDEX('Objetivos y procesos'!$E$6:$E$35,MATCH(C17,'Objetivos y procesos'!$C$6:$C$35,0))="","",INDEX('Objetivos y procesos'!$E$6:$E$35,MATCH(C17,'Objetivos y procesos'!$C$6:$C$35,0))),"ID no encontrado"))</f>
        <v>Gestión comercial, cotizaciones y órdenes de venta</v>
      </c>
      <c r="F17" s="4" t="s">
        <v>333</v>
      </c>
      <c r="G17" s="4" t="s">
        <v>334</v>
      </c>
      <c r="H17" s="4" t="s">
        <v>331</v>
      </c>
      <c r="I17" s="8" t="s">
        <v>301</v>
      </c>
      <c r="J17" s="4" t="s">
        <v>335</v>
      </c>
      <c r="K17" s="8" t="s">
        <v>303</v>
      </c>
      <c r="L17" s="4" t="s">
        <v>245</v>
      </c>
      <c r="M17" s="4" t="s">
        <v>304</v>
      </c>
    </row>
    <row r="18" spans="1:13" ht="50.1" customHeight="1">
      <c r="A18" s="10" t="s">
        <v>103</v>
      </c>
      <c r="B18" s="8" t="s">
        <v>240</v>
      </c>
      <c r="C18" s="8" t="s">
        <v>242</v>
      </c>
      <c r="D18" s="8" t="s">
        <v>297</v>
      </c>
      <c r="E18" s="5" t="str">
        <f>IF(C18="","",IFERROR(IF(INDEX('Objetivos y procesos'!$E$6:$E$35,MATCH(C18,'Objetivos y procesos'!$C$6:$C$35,0))="","",INDEX('Objetivos y procesos'!$E$6:$E$35,MATCH(C18,'Objetivos y procesos'!$C$6:$C$35,0))),"ID no encontrado"))</f>
        <v>Gestión comercial, cotizaciones y órdenes de venta</v>
      </c>
      <c r="F18" s="4" t="s">
        <v>336</v>
      </c>
      <c r="G18" s="4" t="s">
        <v>337</v>
      </c>
      <c r="H18" s="4" t="s">
        <v>331</v>
      </c>
      <c r="I18" s="8" t="s">
        <v>301</v>
      </c>
      <c r="J18" s="4" t="s">
        <v>338</v>
      </c>
      <c r="K18" s="8" t="s">
        <v>303</v>
      </c>
      <c r="L18" s="4" t="s">
        <v>245</v>
      </c>
      <c r="M18" s="4" t="s">
        <v>304</v>
      </c>
    </row>
    <row r="19" spans="1:13" ht="50.1" customHeight="1">
      <c r="A19" s="10" t="s">
        <v>116</v>
      </c>
      <c r="B19" s="8" t="s">
        <v>240</v>
      </c>
      <c r="C19" s="8" t="s">
        <v>242</v>
      </c>
      <c r="D19" s="8" t="s">
        <v>297</v>
      </c>
      <c r="E19" s="5" t="str">
        <f>IF(C19="","",IFERROR(IF(INDEX('Objetivos y procesos'!$E$6:$E$35,MATCH(C19,'Objetivos y procesos'!$C$6:$C$35,0))="","",INDEX('Objetivos y procesos'!$E$6:$E$35,MATCH(C19,'Objetivos y procesos'!$C$6:$C$35,0))),"ID no encontrado"))</f>
        <v>Gestión comercial, cotizaciones y órdenes de venta</v>
      </c>
      <c r="F19" s="4" t="s">
        <v>339</v>
      </c>
      <c r="G19" s="4" t="s">
        <v>340</v>
      </c>
      <c r="H19" s="4" t="s">
        <v>331</v>
      </c>
      <c r="I19" s="8" t="s">
        <v>301</v>
      </c>
      <c r="J19" s="4" t="s">
        <v>341</v>
      </c>
      <c r="K19" s="8" t="s">
        <v>303</v>
      </c>
      <c r="L19" s="4" t="s">
        <v>245</v>
      </c>
      <c r="M19" s="4" t="s">
        <v>304</v>
      </c>
    </row>
    <row r="20" spans="1:13" ht="50.1" customHeight="1">
      <c r="A20" s="10" t="s">
        <v>123</v>
      </c>
      <c r="B20" s="8" t="s">
        <v>240</v>
      </c>
      <c r="C20" s="8" t="s">
        <v>242</v>
      </c>
      <c r="D20" s="8" t="s">
        <v>297</v>
      </c>
      <c r="E20" s="5" t="str">
        <f>IF(C20="","",IFERROR(IF(INDEX('Objetivos y procesos'!$E$6:$E$35,MATCH(C20,'Objetivos y procesos'!$C$6:$C$35,0))="","",INDEX('Objetivos y procesos'!$E$6:$E$35,MATCH(C20,'Objetivos y procesos'!$C$6:$C$35,0))),"ID no encontrado"))</f>
        <v>Gestión comercial, cotizaciones y órdenes de venta</v>
      </c>
      <c r="F20" s="4" t="s">
        <v>342</v>
      </c>
      <c r="G20" s="4" t="s">
        <v>343</v>
      </c>
      <c r="H20" s="4" t="s">
        <v>344</v>
      </c>
      <c r="I20" s="8" t="s">
        <v>301</v>
      </c>
      <c r="J20" s="4" t="s">
        <v>345</v>
      </c>
      <c r="K20" s="8" t="s">
        <v>303</v>
      </c>
      <c r="L20" s="4" t="s">
        <v>245</v>
      </c>
      <c r="M20" s="4" t="s">
        <v>304</v>
      </c>
    </row>
    <row r="21" spans="1:13" ht="50.1" customHeight="1">
      <c r="A21" s="10" t="s">
        <v>113</v>
      </c>
      <c r="B21" s="8" t="s">
        <v>240</v>
      </c>
      <c r="C21" s="8" t="s">
        <v>242</v>
      </c>
      <c r="D21" s="8" t="s">
        <v>297</v>
      </c>
      <c r="E21" s="5" t="str">
        <f>IF(C21="","",IFERROR(IF(INDEX('Objetivos y procesos'!$E$6:$E$35,MATCH(C21,'Objetivos y procesos'!$C$6:$C$35,0))="","",INDEX('Objetivos y procesos'!$E$6:$E$35,MATCH(C21,'Objetivos y procesos'!$C$6:$C$35,0))),"ID no encontrado"))</f>
        <v>Gestión comercial, cotizaciones y órdenes de venta</v>
      </c>
      <c r="F21" s="4" t="s">
        <v>346</v>
      </c>
      <c r="G21" s="4" t="s">
        <v>347</v>
      </c>
      <c r="H21" s="4" t="s">
        <v>331</v>
      </c>
      <c r="I21" s="8" t="s">
        <v>311</v>
      </c>
      <c r="J21" s="4" t="s">
        <v>348</v>
      </c>
      <c r="K21" s="8" t="s">
        <v>303</v>
      </c>
      <c r="L21" s="4" t="s">
        <v>245</v>
      </c>
      <c r="M21" s="4" t="s">
        <v>304</v>
      </c>
    </row>
    <row r="22" spans="1:13" ht="89.1" customHeight="1">
      <c r="A22" s="10" t="s">
        <v>133</v>
      </c>
      <c r="B22" s="8" t="s">
        <v>246</v>
      </c>
      <c r="C22" s="8" t="s">
        <v>248</v>
      </c>
      <c r="D22" s="8" t="s">
        <v>297</v>
      </c>
      <c r="E22" s="5" t="str">
        <f>IF(C22="","",IFERROR(IF(INDEX('Objetivos y procesos'!$E$6:$E$35,MATCH(C22,'Objetivos y procesos'!$C$6:$C$35,0))="","",INDEX('Objetivos y procesos'!$E$6:$E$35,MATCH(C22,'Objetivos y procesos'!$C$6:$C$35,0))),"ID no encontrado"))</f>
        <v>Notificaciones y trazabilidad</v>
      </c>
      <c r="F22" s="4" t="s">
        <v>349</v>
      </c>
      <c r="G22" s="4" t="s">
        <v>350</v>
      </c>
      <c r="H22" s="4" t="s">
        <v>351</v>
      </c>
      <c r="I22" s="8" t="s">
        <v>301</v>
      </c>
      <c r="J22" s="4" t="s">
        <v>352</v>
      </c>
      <c r="K22" s="8" t="s">
        <v>303</v>
      </c>
      <c r="L22" s="4" t="s">
        <v>239</v>
      </c>
      <c r="M22" s="4" t="s">
        <v>304</v>
      </c>
    </row>
    <row r="23" spans="1:13" ht="50.1" customHeight="1">
      <c r="A23" s="10" t="s">
        <v>142</v>
      </c>
      <c r="B23" s="8" t="s">
        <v>246</v>
      </c>
      <c r="C23" s="8" t="s">
        <v>248</v>
      </c>
      <c r="D23" s="8" t="s">
        <v>297</v>
      </c>
      <c r="E23" s="5" t="str">
        <f>IF(C23="","",IFERROR(IF(INDEX('Objetivos y procesos'!$E$6:$E$35,MATCH(C23,'Objetivos y procesos'!$C$6:$C$35,0))="","",INDEX('Objetivos y procesos'!$E$6:$E$35,MATCH(C23,'Objetivos y procesos'!$C$6:$C$35,0))),"ID no encontrado"))</f>
        <v>Notificaciones y trazabilidad</v>
      </c>
      <c r="F23" s="4" t="s">
        <v>353</v>
      </c>
      <c r="G23" s="4" t="s">
        <v>354</v>
      </c>
      <c r="H23" s="4" t="s">
        <v>351</v>
      </c>
      <c r="I23" s="8" t="s">
        <v>301</v>
      </c>
      <c r="J23" s="4" t="s">
        <v>355</v>
      </c>
      <c r="K23" s="8" t="s">
        <v>303</v>
      </c>
      <c r="L23" s="4" t="s">
        <v>239</v>
      </c>
      <c r="M23" s="4" t="s">
        <v>304</v>
      </c>
    </row>
    <row r="24" spans="1:13" ht="62.1" customHeight="1">
      <c r="A24" s="10" t="s">
        <v>151</v>
      </c>
      <c r="B24" s="8" t="s">
        <v>246</v>
      </c>
      <c r="C24" s="8" t="s">
        <v>248</v>
      </c>
      <c r="D24" s="8" t="s">
        <v>297</v>
      </c>
      <c r="E24" s="5" t="str">
        <f>IF(C24="","",IFERROR(IF(INDEX('Objetivos y procesos'!$E$6:$E$35,MATCH(C24,'Objetivos y procesos'!$C$6:$C$35,0))="","",INDEX('Objetivos y procesos'!$E$6:$E$35,MATCH(C24,'Objetivos y procesos'!$C$6:$C$35,0))),"ID no encontrado"))</f>
        <v>Notificaciones y trazabilidad</v>
      </c>
      <c r="F24" s="4" t="s">
        <v>356</v>
      </c>
      <c r="G24" s="4" t="s">
        <v>357</v>
      </c>
      <c r="H24" s="4" t="s">
        <v>351</v>
      </c>
      <c r="I24" s="8" t="s">
        <v>301</v>
      </c>
      <c r="J24" s="4" t="s">
        <v>358</v>
      </c>
      <c r="K24" s="8" t="s">
        <v>303</v>
      </c>
      <c r="L24" s="4" t="s">
        <v>239</v>
      </c>
      <c r="M24" s="4" t="s">
        <v>304</v>
      </c>
    </row>
    <row r="25" spans="1:13" ht="50.1" customHeight="1">
      <c r="A25" s="10" t="s">
        <v>154</v>
      </c>
      <c r="B25" s="8" t="s">
        <v>246</v>
      </c>
      <c r="C25" s="8" t="s">
        <v>248</v>
      </c>
      <c r="D25" s="8" t="s">
        <v>297</v>
      </c>
      <c r="E25" s="5" t="str">
        <f>IF(C25="","",IFERROR(IF(INDEX('Objetivos y procesos'!$E$6:$E$35,MATCH(C25,'Objetivos y procesos'!$C$6:$C$35,0))="","",INDEX('Objetivos y procesos'!$E$6:$E$35,MATCH(C25,'Objetivos y procesos'!$C$6:$C$35,0))),"ID no encontrado"))</f>
        <v>Notificaciones y trazabilidad</v>
      </c>
      <c r="F25" s="4" t="s">
        <v>359</v>
      </c>
      <c r="G25" s="4" t="s">
        <v>360</v>
      </c>
      <c r="H25" s="4" t="s">
        <v>351</v>
      </c>
      <c r="I25" s="8" t="s">
        <v>301</v>
      </c>
      <c r="J25" s="4" t="s">
        <v>361</v>
      </c>
      <c r="K25" s="8" t="s">
        <v>303</v>
      </c>
      <c r="L25" s="4" t="s">
        <v>239</v>
      </c>
      <c r="M25" s="4" t="s">
        <v>304</v>
      </c>
    </row>
    <row r="26" spans="1:13" ht="102.6" customHeight="1">
      <c r="A26" s="10" t="s">
        <v>189</v>
      </c>
      <c r="B26" s="8" t="s">
        <v>257</v>
      </c>
      <c r="C26" s="8" t="s">
        <v>259</v>
      </c>
      <c r="D26" s="8" t="s">
        <v>297</v>
      </c>
      <c r="E26" s="5" t="str">
        <f>IF(C26="","",IFERROR(IF(INDEX('Objetivos y procesos'!$E$6:$E$35,MATCH(C26,'Objetivos y procesos'!$C$6:$C$35,0))="","",INDEX('Objetivos y procesos'!$E$6:$E$35,MATCH(C26,'Objetivos y procesos'!$C$6:$C$35,0))),"ID no encontrado"))</f>
        <v>Gestión de Posventa</v>
      </c>
      <c r="F26" s="4" t="s">
        <v>362</v>
      </c>
      <c r="G26" s="4" t="s">
        <v>363</v>
      </c>
      <c r="H26" s="4" t="s">
        <v>364</v>
      </c>
      <c r="I26" s="8" t="s">
        <v>301</v>
      </c>
      <c r="J26" s="4" t="s">
        <v>365</v>
      </c>
      <c r="K26" s="8" t="s">
        <v>303</v>
      </c>
      <c r="L26" s="4" t="s">
        <v>262</v>
      </c>
      <c r="M26" s="4" t="s">
        <v>304</v>
      </c>
    </row>
    <row r="27" spans="1:13" ht="50.1" customHeight="1">
      <c r="A27" s="10" t="s">
        <v>194</v>
      </c>
      <c r="B27" s="8" t="s">
        <v>257</v>
      </c>
      <c r="C27" s="8" t="s">
        <v>259</v>
      </c>
      <c r="D27" s="8" t="s">
        <v>297</v>
      </c>
      <c r="E27" s="5" t="str">
        <f>IF(C27="","",IFERROR(IF(INDEX('Objetivos y procesos'!$E$6:$E$35,MATCH(C27,'Objetivos y procesos'!$C$6:$C$35,0))="","",INDEX('Objetivos y procesos'!$E$6:$E$35,MATCH(C27,'Objetivos y procesos'!$C$6:$C$35,0))),"ID no encontrado"))</f>
        <v>Gestión de Posventa</v>
      </c>
      <c r="F27" s="4" t="s">
        <v>366</v>
      </c>
      <c r="G27" s="4" t="s">
        <v>367</v>
      </c>
      <c r="H27" s="4" t="s">
        <v>364</v>
      </c>
      <c r="I27" s="8" t="s">
        <v>301</v>
      </c>
      <c r="J27" s="4" t="s">
        <v>368</v>
      </c>
      <c r="K27" s="8" t="s">
        <v>303</v>
      </c>
      <c r="L27" s="4" t="s">
        <v>262</v>
      </c>
      <c r="M27" s="4" t="s">
        <v>304</v>
      </c>
    </row>
    <row r="28" spans="1:13" ht="75.599999999999994" customHeight="1">
      <c r="A28" s="10" t="s">
        <v>199</v>
      </c>
      <c r="B28" s="8" t="s">
        <v>257</v>
      </c>
      <c r="C28" s="8" t="s">
        <v>259</v>
      </c>
      <c r="D28" s="8" t="s">
        <v>297</v>
      </c>
      <c r="E28" s="5" t="str">
        <f>IF(C28="","",IFERROR(IF(INDEX('Objetivos y procesos'!$E$6:$E$35,MATCH(C28,'Objetivos y procesos'!$C$6:$C$35,0))="","",INDEX('Objetivos y procesos'!$E$6:$E$35,MATCH(C28,'Objetivos y procesos'!$C$6:$C$35,0))),"ID no encontrado"))</f>
        <v>Gestión de Posventa</v>
      </c>
      <c r="F28" s="4" t="s">
        <v>369</v>
      </c>
      <c r="G28" s="4" t="s">
        <v>370</v>
      </c>
      <c r="H28" s="4" t="s">
        <v>364</v>
      </c>
      <c r="I28" s="8" t="s">
        <v>301</v>
      </c>
      <c r="J28" s="4" t="s">
        <v>368</v>
      </c>
      <c r="K28" s="8" t="s">
        <v>303</v>
      </c>
      <c r="L28" s="4" t="s">
        <v>262</v>
      </c>
      <c r="M28" s="4" t="s">
        <v>304</v>
      </c>
    </row>
    <row r="29" spans="1:13" ht="89.1" customHeight="1">
      <c r="A29" s="10" t="s">
        <v>205</v>
      </c>
      <c r="B29" s="8" t="s">
        <v>257</v>
      </c>
      <c r="C29" s="8" t="s">
        <v>259</v>
      </c>
      <c r="D29" s="8" t="s">
        <v>297</v>
      </c>
      <c r="E29" s="5" t="str">
        <f>IF(C29="","",IFERROR(IF(INDEX('Objetivos y procesos'!$E$6:$E$35,MATCH(C29,'Objetivos y procesos'!$C$6:$C$35,0))="","",INDEX('Objetivos y procesos'!$E$6:$E$35,MATCH(C29,'Objetivos y procesos'!$C$6:$C$35,0))),"ID no encontrado"))</f>
        <v>Gestión de Posventa</v>
      </c>
      <c r="F29" s="4" t="s">
        <v>371</v>
      </c>
      <c r="G29" s="4" t="s">
        <v>372</v>
      </c>
      <c r="H29" s="4" t="s">
        <v>364</v>
      </c>
      <c r="I29" s="8" t="s">
        <v>301</v>
      </c>
      <c r="J29" s="4" t="s">
        <v>373</v>
      </c>
      <c r="K29" s="8" t="s">
        <v>303</v>
      </c>
      <c r="L29" s="4" t="s">
        <v>262</v>
      </c>
      <c r="M29" s="4" t="s">
        <v>304</v>
      </c>
    </row>
    <row r="30" spans="1:13" ht="62.1" customHeight="1">
      <c r="A30" s="10" t="s">
        <v>161</v>
      </c>
      <c r="B30" s="8" t="s">
        <v>251</v>
      </c>
      <c r="C30" s="8" t="s">
        <v>253</v>
      </c>
      <c r="D30" s="8" t="s">
        <v>297</v>
      </c>
      <c r="E30" s="5" t="str">
        <f>IF(C30="","",IFERROR(IF(INDEX('Objetivos y procesos'!$E$6:$E$35,MATCH(C30,'Objetivos y procesos'!$C$6:$C$35,0))="","",INDEX('Objetivos y procesos'!$E$6:$E$35,MATCH(C30,'Objetivos y procesos'!$C$6:$C$35,0))),"ID no encontrado"))</f>
        <v>Integración con SAP Business One</v>
      </c>
      <c r="F30" s="4" t="s">
        <v>374</v>
      </c>
      <c r="G30" s="4" t="s">
        <v>375</v>
      </c>
      <c r="H30" s="4" t="s">
        <v>376</v>
      </c>
      <c r="I30" s="8" t="s">
        <v>301</v>
      </c>
      <c r="J30" s="4" t="s">
        <v>377</v>
      </c>
      <c r="K30" s="8" t="s">
        <v>303</v>
      </c>
      <c r="L30" s="4" t="s">
        <v>256</v>
      </c>
      <c r="M30" s="4" t="s">
        <v>304</v>
      </c>
    </row>
    <row r="31" spans="1:13" ht="50.1" customHeight="1">
      <c r="A31" s="10" t="s">
        <v>170</v>
      </c>
      <c r="B31" s="8" t="s">
        <v>251</v>
      </c>
      <c r="C31" s="8" t="s">
        <v>253</v>
      </c>
      <c r="D31" s="8" t="s">
        <v>297</v>
      </c>
      <c r="E31" s="5" t="str">
        <f>IF(C31="","",IFERROR(IF(INDEX('Objetivos y procesos'!$E$6:$E$35,MATCH(C31,'Objetivos y procesos'!$C$6:$C$35,0))="","",INDEX('Objetivos y procesos'!$E$6:$E$35,MATCH(C31,'Objetivos y procesos'!$C$6:$C$35,0))),"ID no encontrado"))</f>
        <v>Integración con SAP Business One</v>
      </c>
      <c r="F31" s="4" t="s">
        <v>378</v>
      </c>
      <c r="G31" s="4" t="s">
        <v>379</v>
      </c>
      <c r="H31" s="4" t="s">
        <v>376</v>
      </c>
      <c r="I31" s="8" t="s">
        <v>301</v>
      </c>
      <c r="J31" s="4" t="s">
        <v>380</v>
      </c>
      <c r="K31" s="8" t="s">
        <v>303</v>
      </c>
      <c r="L31" s="4" t="s">
        <v>256</v>
      </c>
      <c r="M31" s="4" t="s">
        <v>304</v>
      </c>
    </row>
    <row r="32" spans="1:13" ht="50.1" customHeight="1">
      <c r="A32" s="10" t="s">
        <v>179</v>
      </c>
      <c r="B32" s="8" t="s">
        <v>251</v>
      </c>
      <c r="C32" s="8" t="s">
        <v>253</v>
      </c>
      <c r="D32" s="8" t="s">
        <v>297</v>
      </c>
      <c r="E32" s="5" t="str">
        <f>IF(C32="","",IFERROR(IF(INDEX('Objetivos y procesos'!$E$6:$E$35,MATCH(C32,'Objetivos y procesos'!$C$6:$C$35,0))="","",INDEX('Objetivos y procesos'!$E$6:$E$35,MATCH(C32,'Objetivos y procesos'!$C$6:$C$35,0))),"ID no encontrado"))</f>
        <v>Integración con SAP Business One</v>
      </c>
      <c r="F32" s="4" t="s">
        <v>381</v>
      </c>
      <c r="G32" s="4" t="s">
        <v>382</v>
      </c>
      <c r="H32" s="4" t="s">
        <v>376</v>
      </c>
      <c r="I32" s="8" t="s">
        <v>301</v>
      </c>
      <c r="J32" s="4" t="s">
        <v>383</v>
      </c>
      <c r="K32" s="8" t="s">
        <v>303</v>
      </c>
      <c r="L32" s="4" t="s">
        <v>256</v>
      </c>
      <c r="M32" s="4" t="s">
        <v>304</v>
      </c>
    </row>
    <row r="33" spans="1:13" ht="50.1" customHeight="1">
      <c r="A33" s="10" t="s">
        <v>46</v>
      </c>
      <c r="B33" s="8" t="s">
        <v>227</v>
      </c>
      <c r="C33" s="8" t="s">
        <v>229</v>
      </c>
      <c r="D33" s="8" t="s">
        <v>297</v>
      </c>
      <c r="E33" s="5" t="str">
        <f>IF(C33="","",IFERROR(IF(INDEX('Objetivos y procesos'!$E$6:$E$35,MATCH(C33,'Objetivos y procesos'!$C$6:$C$35,0))="","",INDEX('Objetivos y procesos'!$E$6:$E$35,MATCH(C33,'Objetivos y procesos'!$C$6:$C$35,0))),"ID no encontrado"))</f>
        <v>Gestión de usuarios, roles y permisos</v>
      </c>
      <c r="F33" s="4" t="s">
        <v>384</v>
      </c>
      <c r="G33" s="4" t="s">
        <v>920</v>
      </c>
      <c r="H33" s="4" t="s">
        <v>916</v>
      </c>
      <c r="I33" s="8" t="s">
        <v>301</v>
      </c>
      <c r="J33" s="4" t="s">
        <v>385</v>
      </c>
      <c r="K33" s="8" t="s">
        <v>303</v>
      </c>
      <c r="L33" s="4" t="s">
        <v>232</v>
      </c>
      <c r="M33" s="16" t="s">
        <v>917</v>
      </c>
    </row>
    <row r="34" spans="1:13" ht="62.1" customHeight="1">
      <c r="A34" s="10" t="s">
        <v>210</v>
      </c>
      <c r="B34" s="8" t="s">
        <v>257</v>
      </c>
      <c r="C34" s="8" t="s">
        <v>259</v>
      </c>
      <c r="D34" s="8" t="s">
        <v>297</v>
      </c>
      <c r="E34" s="5" t="str">
        <f>IF(C34="","",IFERROR(IF(INDEX('Objetivos y procesos'!$E$6:$E$35,MATCH(C34,'Objetivos y procesos'!$C$6:$C$35,0))="","",INDEX('Objetivos y procesos'!$E$6:$E$35,MATCH(C34,'Objetivos y procesos'!$C$6:$C$35,0))),"ID no encontrado"))</f>
        <v>Gestión de Posventa</v>
      </c>
      <c r="F34" s="4" t="s">
        <v>386</v>
      </c>
      <c r="G34" s="4" t="s">
        <v>387</v>
      </c>
      <c r="H34" s="4" t="s">
        <v>364</v>
      </c>
      <c r="I34" s="8" t="s">
        <v>301</v>
      </c>
      <c r="J34" s="4" t="s">
        <v>388</v>
      </c>
      <c r="K34" s="8" t="s">
        <v>303</v>
      </c>
      <c r="L34" s="4" t="s">
        <v>262</v>
      </c>
      <c r="M34" s="4" t="s">
        <v>304</v>
      </c>
    </row>
    <row r="35" spans="1:13" ht="50.1" customHeight="1">
      <c r="A35" s="10" t="s">
        <v>130</v>
      </c>
      <c r="B35" s="8" t="s">
        <v>240</v>
      </c>
      <c r="C35" s="8" t="s">
        <v>242</v>
      </c>
      <c r="D35" s="8" t="s">
        <v>297</v>
      </c>
      <c r="E35" s="5" t="str">
        <f>IF(C35="","",IFERROR(IF(INDEX('Objetivos y procesos'!$E$6:$E$35,MATCH(C35,'Objetivos y procesos'!$C$6:$C$35,0))="","",INDEX('Objetivos y procesos'!$E$6:$E$35,MATCH(C35,'Objetivos y procesos'!$C$6:$C$35,0))),"ID no encontrado"))</f>
        <v>Gestión comercial, cotizaciones y órdenes de venta</v>
      </c>
      <c r="F35" s="4" t="s">
        <v>389</v>
      </c>
      <c r="G35" s="4" t="s">
        <v>390</v>
      </c>
      <c r="H35" s="4" t="s">
        <v>331</v>
      </c>
      <c r="I35" s="8" t="s">
        <v>301</v>
      </c>
      <c r="J35" s="4" t="s">
        <v>391</v>
      </c>
      <c r="K35" s="8" t="s">
        <v>303</v>
      </c>
      <c r="L35" s="4" t="s">
        <v>245</v>
      </c>
      <c r="M35" s="4" t="s">
        <v>304</v>
      </c>
    </row>
    <row r="36" spans="1:13" ht="50.1" customHeight="1">
      <c r="A36" s="10" t="s">
        <v>184</v>
      </c>
      <c r="B36" s="8" t="s">
        <v>251</v>
      </c>
      <c r="C36" s="8" t="s">
        <v>253</v>
      </c>
      <c r="D36" s="8" t="s">
        <v>297</v>
      </c>
      <c r="E36" s="5" t="str">
        <f>IF(C36="","",IFERROR(IF(INDEX('Objetivos y procesos'!$E$6:$E$35,MATCH(C36,'Objetivos y procesos'!$C$6:$C$35,0))="","",INDEX('Objetivos y procesos'!$E$6:$E$35,MATCH(C36,'Objetivos y procesos'!$C$6:$C$35,0))),"ID no encontrado"))</f>
        <v>Integración con SAP Business One</v>
      </c>
      <c r="F36" s="4" t="s">
        <v>392</v>
      </c>
      <c r="G36" s="4" t="s">
        <v>393</v>
      </c>
      <c r="H36" s="4" t="s">
        <v>376</v>
      </c>
      <c r="I36" s="8" t="s">
        <v>301</v>
      </c>
      <c r="J36" s="4" t="s">
        <v>394</v>
      </c>
      <c r="K36" s="8" t="s">
        <v>303</v>
      </c>
      <c r="L36" s="4" t="s">
        <v>256</v>
      </c>
      <c r="M36" s="4" t="s">
        <v>304</v>
      </c>
    </row>
    <row r="37" spans="1:13" ht="50.1" customHeight="1">
      <c r="A37" s="10" t="s">
        <v>202</v>
      </c>
      <c r="B37" s="8" t="s">
        <v>257</v>
      </c>
      <c r="C37" s="8" t="s">
        <v>259</v>
      </c>
      <c r="D37" s="8" t="s">
        <v>297</v>
      </c>
      <c r="E37" s="5" t="str">
        <f>IF(C37="","",IFERROR(IF(INDEX('Objetivos y procesos'!$E$6:$E$35,MATCH(C37,'Objetivos y procesos'!$C$6:$C$35,0))="","",INDEX('Objetivos y procesos'!$E$6:$E$35,MATCH(C37,'Objetivos y procesos'!$C$6:$C$35,0))),"ID no encontrado"))</f>
        <v>Gestión de Posventa</v>
      </c>
      <c r="F37" s="4" t="s">
        <v>395</v>
      </c>
      <c r="G37" s="4" t="s">
        <v>396</v>
      </c>
      <c r="H37" s="4" t="s">
        <v>364</v>
      </c>
      <c r="I37" s="8" t="s">
        <v>301</v>
      </c>
      <c r="J37" s="4" t="s">
        <v>397</v>
      </c>
      <c r="K37" s="8" t="s">
        <v>303</v>
      </c>
      <c r="L37" s="4" t="s">
        <v>262</v>
      </c>
      <c r="M37" s="4" t="s">
        <v>304</v>
      </c>
    </row>
    <row r="38" spans="1:13" ht="50.1" customHeight="1">
      <c r="A38" s="10" t="s">
        <v>217</v>
      </c>
      <c r="B38" s="8" t="s">
        <v>257</v>
      </c>
      <c r="C38" s="8" t="s">
        <v>259</v>
      </c>
      <c r="D38" s="8" t="s">
        <v>297</v>
      </c>
      <c r="E38" s="5" t="str">
        <f>IF(C38="","",IFERROR(IF(INDEX('Objetivos y procesos'!$E$6:$E$35,MATCH(C38,'Objetivos y procesos'!$C$6:$C$35,0))="","",INDEX('Objetivos y procesos'!$E$6:$E$35,MATCH(C38,'Objetivos y procesos'!$C$6:$C$35,0))),"ID no encontrado"))</f>
        <v>Gestión de Posventa</v>
      </c>
      <c r="F38" s="4" t="s">
        <v>398</v>
      </c>
      <c r="G38" s="4" t="s">
        <v>399</v>
      </c>
      <c r="H38" s="4" t="s">
        <v>364</v>
      </c>
      <c r="I38" s="8" t="s">
        <v>301</v>
      </c>
      <c r="J38" s="4" t="s">
        <v>400</v>
      </c>
      <c r="K38" s="8" t="s">
        <v>303</v>
      </c>
      <c r="L38" s="4" t="s">
        <v>262</v>
      </c>
      <c r="M38" s="4" t="s">
        <v>304</v>
      </c>
    </row>
    <row r="39" spans="1:13" ht="75.599999999999994" customHeight="1">
      <c r="A39" s="10" t="s">
        <v>52</v>
      </c>
      <c r="B39" s="8" t="s">
        <v>227</v>
      </c>
      <c r="C39" s="8" t="s">
        <v>229</v>
      </c>
      <c r="D39" s="8" t="s">
        <v>297</v>
      </c>
      <c r="E39" s="5" t="str">
        <f>IF(C39="","",IFERROR(IF(INDEX('Objetivos y procesos'!$E$6:$E$35,MATCH(C39,'Objetivos y procesos'!$C$6:$C$35,0))="","",INDEX('Objetivos y procesos'!$E$6:$E$35,MATCH(C39,'Objetivos y procesos'!$C$6:$C$35,0))),"ID no encontrado"))</f>
        <v>Gestión de usuarios, roles y permisos</v>
      </c>
      <c r="F39" s="4" t="s">
        <v>401</v>
      </c>
      <c r="G39" s="4" t="s">
        <v>402</v>
      </c>
      <c r="H39" s="4" t="s">
        <v>300</v>
      </c>
      <c r="I39" s="8" t="s">
        <v>301</v>
      </c>
      <c r="J39" s="4" t="s">
        <v>403</v>
      </c>
      <c r="K39" s="8" t="s">
        <v>303</v>
      </c>
      <c r="L39" s="4" t="s">
        <v>232</v>
      </c>
      <c r="M39" s="4" t="s">
        <v>304</v>
      </c>
    </row>
    <row r="40" spans="1:13" ht="62.1" customHeight="1">
      <c r="A40" s="10" t="s">
        <v>55</v>
      </c>
      <c r="B40" s="8" t="s">
        <v>240</v>
      </c>
      <c r="C40" s="8" t="s">
        <v>242</v>
      </c>
      <c r="D40" s="8" t="s">
        <v>297</v>
      </c>
      <c r="E40" s="5" t="str">
        <f>IF(C40="","",IFERROR(IF(INDEX('Objetivos y procesos'!$E$6:$E$35,MATCH(C40,'Objetivos y procesos'!$C$6:$C$35,0))="","",INDEX('Objetivos y procesos'!$E$6:$E$35,MATCH(C40,'Objetivos y procesos'!$C$6:$C$35,0))),"ID no encontrado"))</f>
        <v>Gestión comercial, cotizaciones y órdenes de venta</v>
      </c>
      <c r="F40" s="4" t="s">
        <v>404</v>
      </c>
      <c r="G40" s="4" t="s">
        <v>405</v>
      </c>
      <c r="H40" s="4" t="s">
        <v>331</v>
      </c>
      <c r="I40" s="8" t="s">
        <v>301</v>
      </c>
      <c r="J40" s="4" t="s">
        <v>406</v>
      </c>
      <c r="K40" s="8" t="s">
        <v>303</v>
      </c>
      <c r="L40" s="4" t="s">
        <v>245</v>
      </c>
      <c r="M40" s="4" t="s">
        <v>304</v>
      </c>
    </row>
    <row r="41" spans="1:13" ht="116.1" customHeight="1">
      <c r="A41" s="10" t="s">
        <v>58</v>
      </c>
      <c r="B41" s="8" t="s">
        <v>227</v>
      </c>
      <c r="C41" s="8" t="s">
        <v>229</v>
      </c>
      <c r="D41" s="8" t="s">
        <v>297</v>
      </c>
      <c r="E41" s="5" t="str">
        <f>IF(C41="","",IFERROR(IF(INDEX('Objetivos y procesos'!$E$6:$E$35,MATCH(C41,'Objetivos y procesos'!$C$6:$C$35,0))="","",INDEX('Objetivos y procesos'!$E$6:$E$35,MATCH(C41,'Objetivos y procesos'!$C$6:$C$35,0))),"ID no encontrado"))</f>
        <v>Gestión de usuarios, roles y permisos</v>
      </c>
      <c r="F41" s="4" t="s">
        <v>407</v>
      </c>
      <c r="G41" s="4" t="s">
        <v>408</v>
      </c>
      <c r="H41" s="4" t="s">
        <v>300</v>
      </c>
      <c r="I41" s="8" t="s">
        <v>301</v>
      </c>
      <c r="J41" s="4" t="s">
        <v>409</v>
      </c>
      <c r="K41" s="8" t="s">
        <v>303</v>
      </c>
      <c r="L41" s="4" t="s">
        <v>232</v>
      </c>
      <c r="M41" s="4" t="s">
        <v>304</v>
      </c>
    </row>
    <row r="42" spans="1:13" ht="89.1" customHeight="1">
      <c r="A42" s="10" t="s">
        <v>106</v>
      </c>
      <c r="B42" s="8" t="s">
        <v>240</v>
      </c>
      <c r="C42" s="8" t="s">
        <v>242</v>
      </c>
      <c r="D42" s="8" t="s">
        <v>297</v>
      </c>
      <c r="E42" s="5" t="str">
        <f>IF(C42="","",IFERROR(IF(INDEX('Objetivos y procesos'!$E$6:$E$35,MATCH(C42,'Objetivos y procesos'!$C$6:$C$35,0))="","",INDEX('Objetivos y procesos'!$E$6:$E$35,MATCH(C42,'Objetivos y procesos'!$C$6:$C$35,0))),"ID no encontrado"))</f>
        <v>Gestión comercial, cotizaciones y órdenes de venta</v>
      </c>
      <c r="F42" s="4" t="s">
        <v>410</v>
      </c>
      <c r="G42" s="4" t="s">
        <v>411</v>
      </c>
      <c r="H42" s="4" t="s">
        <v>331</v>
      </c>
      <c r="I42" s="8" t="s">
        <v>301</v>
      </c>
      <c r="J42" s="4" t="s">
        <v>412</v>
      </c>
      <c r="K42" s="8" t="s">
        <v>303</v>
      </c>
      <c r="L42" s="4" t="s">
        <v>245</v>
      </c>
      <c r="M42" s="4" t="s">
        <v>304</v>
      </c>
    </row>
    <row r="43" spans="1:13" ht="89.1" customHeight="1">
      <c r="A43" s="10" t="s">
        <v>68</v>
      </c>
      <c r="B43" s="8" t="s">
        <v>234</v>
      </c>
      <c r="C43" s="8" t="s">
        <v>236</v>
      </c>
      <c r="D43" s="8" t="s">
        <v>297</v>
      </c>
      <c r="E43" s="5" t="str">
        <f>IF(C43="","",IFERROR(IF(INDEX('Objetivos y procesos'!$E$6:$E$35,MATCH(C43,'Objetivos y procesos'!$C$6:$C$35,0))="","",INDEX('Objetivos y procesos'!$E$6:$E$35,MATCH(C43,'Objetivos y procesos'!$C$6:$C$35,0))),"ID no encontrado"))</f>
        <v>Solicitudes y autorizaciones</v>
      </c>
      <c r="F43" s="4" t="s">
        <v>413</v>
      </c>
      <c r="G43" s="4" t="s">
        <v>921</v>
      </c>
      <c r="H43" s="4" t="s">
        <v>922</v>
      </c>
      <c r="I43" s="8" t="s">
        <v>301</v>
      </c>
      <c r="J43" s="4" t="s">
        <v>414</v>
      </c>
      <c r="K43" s="8" t="s">
        <v>303</v>
      </c>
      <c r="L43" s="4" t="s">
        <v>239</v>
      </c>
      <c r="M43" s="16" t="s">
        <v>917</v>
      </c>
    </row>
  </sheetData>
  <mergeCells count="2">
    <mergeCell ref="A4:M4"/>
    <mergeCell ref="A2:M2"/>
  </mergeCells>
  <dataValidations count="3">
    <dataValidation type="list" sqref="D6:D43" xr:uid="{00000000-0002-0000-0200-000002000000}">
      <formula1>"Funcional,No funcional,Regla de negocio,Integración,Datos"</formula1>
    </dataValidation>
    <dataValidation type="list" sqref="I6:I43" xr:uid="{00000000-0002-0000-0200-000003000000}">
      <formula1>"Crítica,Alta,Media,Baja"</formula1>
    </dataValidation>
    <dataValidation type="list" sqref="K6:K43" xr:uid="{00000000-0002-0000-0200-000004000000}">
      <formula1>"Propuesto,En análisis,Aprobado,En desarrollo,Implementado,Descartado"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200-000000000000}">
          <x14:formula1>
            <xm:f>'Objetivos y procesos'!$A$6:$A$35</xm:f>
          </x14:formula1>
          <xm:sqref>B6:B43</xm:sqref>
        </x14:dataValidation>
        <x14:dataValidation type="list" xr:uid="{00000000-0002-0000-0200-000001000000}">
          <x14:formula1>
            <xm:f>'Objetivos y procesos'!$C$6:$C$35</xm:f>
          </x14:formula1>
          <xm:sqref>C6:C43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C4D6"/>
  </sheetPr>
  <dimension ref="A2:P83"/>
  <sheetViews>
    <sheetView showGridLines="0" workbookViewId="0">
      <pane xSplit="3" ySplit="5" topLeftCell="D6" activePane="bottomRight" state="frozen"/>
      <selection pane="topRight"/>
      <selection pane="bottomLeft"/>
      <selection pane="bottomRight" activeCell="D6" sqref="D6"/>
    </sheetView>
  </sheetViews>
  <sheetFormatPr baseColWidth="10" defaultColWidth="9" defaultRowHeight="14.25"/>
  <cols>
    <col min="1" max="1" width="12" customWidth="1"/>
    <col min="2" max="2" width="11" customWidth="1"/>
    <col min="3" max="3" width="16" customWidth="1"/>
    <col min="4" max="4" width="11" customWidth="1"/>
    <col min="5" max="5" width="22" customWidth="1"/>
    <col min="6" max="6" width="24" customWidth="1"/>
    <col min="7" max="7" width="19" customWidth="1"/>
    <col min="8" max="9" width="28" customWidth="1"/>
    <col min="10" max="10" width="42" customWidth="1"/>
    <col min="11" max="11" width="38" customWidth="1"/>
    <col min="12" max="13" width="12" customWidth="1"/>
    <col min="14" max="14" width="11" customWidth="1"/>
    <col min="15" max="15" width="16" customWidth="1"/>
    <col min="16" max="16" width="20" customWidth="1"/>
  </cols>
  <sheetData>
    <row r="2" spans="1:16" ht="27.95" customHeight="1">
      <c r="A2" s="17" t="s">
        <v>415</v>
      </c>
      <c r="B2" s="18"/>
      <c r="C2" s="18"/>
      <c r="D2" s="18"/>
      <c r="E2" s="18"/>
      <c r="F2" s="18"/>
      <c r="G2" s="18"/>
      <c r="H2" s="18"/>
      <c r="I2" s="18"/>
      <c r="J2" s="18"/>
      <c r="K2" s="18"/>
      <c r="L2" s="18"/>
      <c r="M2" s="18"/>
      <c r="N2" s="18"/>
      <c r="O2" s="18"/>
      <c r="P2" s="18"/>
    </row>
    <row r="3" spans="1:16" ht="15">
      <c r="A3" s="15"/>
      <c r="B3" s="15"/>
      <c r="C3" s="15"/>
      <c r="D3" s="15"/>
      <c r="E3" s="15"/>
      <c r="F3" s="15"/>
      <c r="G3" s="15"/>
      <c r="H3" s="15"/>
      <c r="I3" s="15"/>
      <c r="J3" s="15"/>
      <c r="K3" s="15"/>
      <c r="L3" s="15"/>
      <c r="M3" s="15"/>
      <c r="N3" s="15"/>
      <c r="O3" s="15"/>
      <c r="P3" s="15"/>
    </row>
    <row r="4" spans="1:16" ht="27.95" customHeight="1">
      <c r="A4" s="19" t="s">
        <v>416</v>
      </c>
      <c r="B4" s="18"/>
      <c r="C4" s="18"/>
      <c r="D4" s="18"/>
      <c r="E4" s="18"/>
      <c r="F4" s="18"/>
      <c r="G4" s="18"/>
      <c r="H4" s="18"/>
      <c r="I4" s="18"/>
      <c r="J4" s="18"/>
      <c r="K4" s="18"/>
      <c r="L4" s="18"/>
      <c r="M4" s="18"/>
      <c r="N4" s="18"/>
      <c r="O4" s="18"/>
      <c r="P4" s="18"/>
    </row>
    <row r="5" spans="1:16" ht="38.1" customHeight="1">
      <c r="A5" s="3" t="s">
        <v>18</v>
      </c>
      <c r="B5" s="3" t="s">
        <v>16</v>
      </c>
      <c r="C5" s="3" t="s">
        <v>14</v>
      </c>
      <c r="D5" s="3" t="s">
        <v>417</v>
      </c>
      <c r="E5" s="3" t="s">
        <v>418</v>
      </c>
      <c r="F5" s="3" t="s">
        <v>419</v>
      </c>
      <c r="G5" s="3" t="s">
        <v>420</v>
      </c>
      <c r="H5" s="3" t="s">
        <v>421</v>
      </c>
      <c r="I5" s="3" t="s">
        <v>422</v>
      </c>
      <c r="J5" s="3" t="s">
        <v>423</v>
      </c>
      <c r="K5" s="3" t="s">
        <v>19</v>
      </c>
      <c r="L5" s="3" t="s">
        <v>294</v>
      </c>
      <c r="M5" s="3" t="s">
        <v>424</v>
      </c>
      <c r="N5" s="3" t="s">
        <v>425</v>
      </c>
      <c r="O5" s="3" t="s">
        <v>226</v>
      </c>
      <c r="P5" s="3" t="s">
        <v>225</v>
      </c>
    </row>
    <row r="6" spans="1:16" ht="62.1" customHeight="1">
      <c r="A6" s="10" t="s">
        <v>27</v>
      </c>
      <c r="B6" s="10" t="s">
        <v>426</v>
      </c>
      <c r="C6" s="8" t="s">
        <v>26</v>
      </c>
      <c r="D6" s="8" t="s">
        <v>427</v>
      </c>
      <c r="E6" s="4" t="s">
        <v>428</v>
      </c>
      <c r="F6" s="4" t="s">
        <v>429</v>
      </c>
      <c r="G6" s="11" t="s">
        <v>430</v>
      </c>
      <c r="H6" s="11" t="s">
        <v>431</v>
      </c>
      <c r="I6" s="11" t="s">
        <v>432</v>
      </c>
      <c r="J6" s="12" t="str">
        <f t="shared" ref="J6:J37" si="0">IF(OR(G6="",H6="",I6=""),"","Como "&amp;G6&amp;", quiero "&amp;H6&amp;", para "&amp;I6)</f>
        <v>Como usuario habilitado, quiero iniciar sesión de forma segura y mantener una sesión controlada, para acceder únicamente a las funciones autorizadas</v>
      </c>
      <c r="K6" s="11" t="s">
        <v>433</v>
      </c>
      <c r="L6" s="8" t="s">
        <v>301</v>
      </c>
      <c r="M6" s="8">
        <v>5</v>
      </c>
      <c r="N6" s="8" t="s">
        <v>434</v>
      </c>
      <c r="O6" s="8" t="s">
        <v>435</v>
      </c>
      <c r="P6" s="4" t="s">
        <v>232</v>
      </c>
    </row>
    <row r="7" spans="1:16" ht="62.1" customHeight="1">
      <c r="A7" s="10" t="s">
        <v>29</v>
      </c>
      <c r="B7" s="10" t="s">
        <v>426</v>
      </c>
      <c r="C7" s="8" t="s">
        <v>26</v>
      </c>
      <c r="D7" s="8" t="s">
        <v>427</v>
      </c>
      <c r="E7" s="4" t="s">
        <v>428</v>
      </c>
      <c r="F7" s="4" t="s">
        <v>429</v>
      </c>
      <c r="G7" s="11" t="s">
        <v>430</v>
      </c>
      <c r="H7" s="11" t="s">
        <v>431</v>
      </c>
      <c r="I7" s="11" t="s">
        <v>432</v>
      </c>
      <c r="J7" s="12" t="str">
        <f t="shared" si="0"/>
        <v>Como usuario habilitado, quiero iniciar sesión de forma segura y mantener una sesión controlada, para acceder únicamente a las funciones autorizadas</v>
      </c>
      <c r="K7" s="11" t="s">
        <v>436</v>
      </c>
      <c r="L7" s="8" t="s">
        <v>301</v>
      </c>
      <c r="M7" s="8">
        <v>5</v>
      </c>
      <c r="N7" s="8" t="s">
        <v>434</v>
      </c>
      <c r="O7" s="8" t="s">
        <v>435</v>
      </c>
      <c r="P7" s="4" t="s">
        <v>232</v>
      </c>
    </row>
    <row r="8" spans="1:16" ht="62.1" customHeight="1">
      <c r="A8" s="10" t="s">
        <v>31</v>
      </c>
      <c r="B8" s="10" t="s">
        <v>426</v>
      </c>
      <c r="C8" s="8" t="s">
        <v>26</v>
      </c>
      <c r="D8" s="8" t="s">
        <v>427</v>
      </c>
      <c r="E8" s="4" t="s">
        <v>428</v>
      </c>
      <c r="F8" s="4" t="s">
        <v>429</v>
      </c>
      <c r="G8" s="11" t="s">
        <v>430</v>
      </c>
      <c r="H8" s="11" t="s">
        <v>431</v>
      </c>
      <c r="I8" s="11" t="s">
        <v>432</v>
      </c>
      <c r="J8" s="12" t="str">
        <f t="shared" si="0"/>
        <v>Como usuario habilitado, quiero iniciar sesión de forma segura y mantener una sesión controlada, para acceder únicamente a las funciones autorizadas</v>
      </c>
      <c r="K8" s="11" t="s">
        <v>437</v>
      </c>
      <c r="L8" s="8" t="s">
        <v>301</v>
      </c>
      <c r="M8" s="8">
        <v>5</v>
      </c>
      <c r="N8" s="8" t="s">
        <v>434</v>
      </c>
      <c r="O8" s="8" t="s">
        <v>435</v>
      </c>
      <c r="P8" s="4" t="s">
        <v>232</v>
      </c>
    </row>
    <row r="9" spans="1:16" ht="62.1" customHeight="1">
      <c r="A9" s="10" t="s">
        <v>34</v>
      </c>
      <c r="B9" s="10" t="s">
        <v>438</v>
      </c>
      <c r="C9" s="8" t="s">
        <v>33</v>
      </c>
      <c r="D9" s="8" t="s">
        <v>427</v>
      </c>
      <c r="E9" s="4" t="s">
        <v>307</v>
      </c>
      <c r="F9" s="4" t="s">
        <v>439</v>
      </c>
      <c r="G9" s="11" t="s">
        <v>440</v>
      </c>
      <c r="H9" s="11" t="s">
        <v>951</v>
      </c>
      <c r="I9" s="11" t="s">
        <v>441</v>
      </c>
      <c r="J9" s="12" t="str">
        <f t="shared" si="0"/>
        <v>Como administrador, quiero crear, editar, desactivar y reactivar usuarios asignándoles área, cargo, grupos de autorizadores y permisos directos, para mantener los accesos alineados con las responsabilidades de cada trabajador</v>
      </c>
      <c r="K9" s="11" t="s">
        <v>923</v>
      </c>
      <c r="L9" s="8" t="s">
        <v>301</v>
      </c>
      <c r="M9" s="8">
        <v>8</v>
      </c>
      <c r="N9" s="8" t="s">
        <v>434</v>
      </c>
      <c r="O9" s="8" t="s">
        <v>435</v>
      </c>
      <c r="P9" s="4" t="s">
        <v>232</v>
      </c>
    </row>
    <row r="10" spans="1:16" ht="62.1" customHeight="1">
      <c r="A10" s="10" t="s">
        <v>37</v>
      </c>
      <c r="B10" s="10" t="s">
        <v>438</v>
      </c>
      <c r="C10" s="8" t="s">
        <v>36</v>
      </c>
      <c r="D10" s="8" t="s">
        <v>427</v>
      </c>
      <c r="E10" s="4" t="s">
        <v>307</v>
      </c>
      <c r="F10" s="4" t="s">
        <v>439</v>
      </c>
      <c r="G10" s="11" t="s">
        <v>440</v>
      </c>
      <c r="H10" s="11" t="s">
        <v>951</v>
      </c>
      <c r="I10" s="11" t="s">
        <v>441</v>
      </c>
      <c r="J10" s="12" t="str">
        <f t="shared" si="0"/>
        <v>Como administrador, quiero crear, editar, desactivar y reactivar usuarios asignándoles área, cargo, grupos de autorizadores y permisos directos, para mantener los accesos alineados con las responsabilidades de cada trabajador</v>
      </c>
      <c r="K10" s="11" t="s">
        <v>442</v>
      </c>
      <c r="L10" s="8" t="s">
        <v>301</v>
      </c>
      <c r="M10" s="8">
        <v>8</v>
      </c>
      <c r="N10" s="8" t="s">
        <v>434</v>
      </c>
      <c r="O10" s="8" t="s">
        <v>435</v>
      </c>
      <c r="P10" s="4" t="s">
        <v>232</v>
      </c>
    </row>
    <row r="11" spans="1:16" ht="62.1" customHeight="1">
      <c r="A11" s="10" t="s">
        <v>39</v>
      </c>
      <c r="B11" s="10" t="s">
        <v>438</v>
      </c>
      <c r="C11" s="8" t="s">
        <v>36</v>
      </c>
      <c r="D11" s="8" t="s">
        <v>427</v>
      </c>
      <c r="E11" s="4" t="s">
        <v>307</v>
      </c>
      <c r="F11" s="4" t="s">
        <v>439</v>
      </c>
      <c r="G11" s="11" t="s">
        <v>440</v>
      </c>
      <c r="H11" s="11" t="s">
        <v>951</v>
      </c>
      <c r="I11" s="11" t="s">
        <v>441</v>
      </c>
      <c r="J11" s="12" t="str">
        <f t="shared" si="0"/>
        <v>Como administrador, quiero crear, editar, desactivar y reactivar usuarios asignándoles área, cargo, grupos de autorizadores y permisos directos, para mantener los accesos alineados con las responsabilidades de cada trabajador</v>
      </c>
      <c r="K11" s="11" t="s">
        <v>443</v>
      </c>
      <c r="L11" s="8" t="s">
        <v>301</v>
      </c>
      <c r="M11" s="8">
        <v>8</v>
      </c>
      <c r="N11" s="8" t="s">
        <v>434</v>
      </c>
      <c r="O11" s="8" t="s">
        <v>435</v>
      </c>
      <c r="P11" s="4" t="s">
        <v>232</v>
      </c>
    </row>
    <row r="12" spans="1:16" ht="75.599999999999994" customHeight="1">
      <c r="A12" s="10" t="s">
        <v>42</v>
      </c>
      <c r="B12" s="10" t="s">
        <v>444</v>
      </c>
      <c r="C12" s="8" t="s">
        <v>41</v>
      </c>
      <c r="D12" s="8" t="s">
        <v>427</v>
      </c>
      <c r="E12" s="4" t="s">
        <v>445</v>
      </c>
      <c r="F12" s="4" t="s">
        <v>446</v>
      </c>
      <c r="G12" s="11" t="s">
        <v>440</v>
      </c>
      <c r="H12" s="11" t="s">
        <v>952</v>
      </c>
      <c r="I12" s="11" t="s">
        <v>447</v>
      </c>
      <c r="J12" s="12" t="str">
        <f t="shared" si="0"/>
        <v>Como administrador, quiero definir permisos por área, por cargo y directos por usuario, además de los integrantes de los grupos de autorizadores de cada proceso, para controlar qué funciones, datos y decisiones corresponden a cada usuario</v>
      </c>
      <c r="K12" s="11" t="s">
        <v>448</v>
      </c>
      <c r="L12" s="8" t="s">
        <v>301</v>
      </c>
      <c r="M12" s="8">
        <v>8</v>
      </c>
      <c r="N12" s="8" t="s">
        <v>434</v>
      </c>
      <c r="O12" s="8" t="s">
        <v>435</v>
      </c>
      <c r="P12" s="4" t="s">
        <v>232</v>
      </c>
    </row>
    <row r="13" spans="1:16" ht="75.599999999999994" customHeight="1">
      <c r="A13" s="10" t="s">
        <v>44</v>
      </c>
      <c r="B13" s="10" t="s">
        <v>444</v>
      </c>
      <c r="C13" s="8" t="s">
        <v>41</v>
      </c>
      <c r="D13" s="8" t="s">
        <v>427</v>
      </c>
      <c r="E13" s="4" t="s">
        <v>445</v>
      </c>
      <c r="F13" s="4" t="s">
        <v>446</v>
      </c>
      <c r="G13" s="11" t="s">
        <v>440</v>
      </c>
      <c r="H13" s="11" t="s">
        <v>952</v>
      </c>
      <c r="I13" s="11" t="s">
        <v>447</v>
      </c>
      <c r="J13" s="12" t="str">
        <f t="shared" si="0"/>
        <v>Como administrador, quiero definir permisos por área, por cargo y directos por usuario, además de los integrantes de los grupos de autorizadores de cada proceso, para controlar qué funciones, datos y decisiones corresponden a cada usuario</v>
      </c>
      <c r="K13" s="11" t="s">
        <v>449</v>
      </c>
      <c r="L13" s="8" t="s">
        <v>301</v>
      </c>
      <c r="M13" s="8">
        <v>8</v>
      </c>
      <c r="N13" s="8" t="s">
        <v>434</v>
      </c>
      <c r="O13" s="8" t="s">
        <v>435</v>
      </c>
      <c r="P13" s="4" t="s">
        <v>232</v>
      </c>
    </row>
    <row r="14" spans="1:16" ht="75.599999999999994" customHeight="1">
      <c r="A14" s="10" t="s">
        <v>47</v>
      </c>
      <c r="B14" s="10" t="s">
        <v>444</v>
      </c>
      <c r="C14" s="8" t="s">
        <v>46</v>
      </c>
      <c r="D14" s="8" t="s">
        <v>427</v>
      </c>
      <c r="E14" s="4" t="s">
        <v>445</v>
      </c>
      <c r="F14" s="4" t="s">
        <v>446</v>
      </c>
      <c r="G14" s="11" t="s">
        <v>440</v>
      </c>
      <c r="H14" s="11" t="s">
        <v>952</v>
      </c>
      <c r="I14" s="11" t="s">
        <v>447</v>
      </c>
      <c r="J14" s="12" t="str">
        <f t="shared" si="0"/>
        <v>Como administrador, quiero definir permisos por área, por cargo y directos por usuario, además de los integrantes de los grupos de autorizadores de cada proceso, para controlar qué funciones, datos y decisiones corresponden a cada usuario</v>
      </c>
      <c r="K14" s="11" t="s">
        <v>924</v>
      </c>
      <c r="L14" s="8" t="s">
        <v>301</v>
      </c>
      <c r="M14" s="8">
        <v>8</v>
      </c>
      <c r="N14" s="8" t="s">
        <v>434</v>
      </c>
      <c r="O14" s="8" t="s">
        <v>435</v>
      </c>
      <c r="P14" s="4" t="s">
        <v>232</v>
      </c>
    </row>
    <row r="15" spans="1:16" ht="75.599999999999994" customHeight="1">
      <c r="A15" s="10" t="s">
        <v>50</v>
      </c>
      <c r="B15" s="10" t="s">
        <v>444</v>
      </c>
      <c r="C15" s="8" t="s">
        <v>49</v>
      </c>
      <c r="D15" s="8" t="s">
        <v>427</v>
      </c>
      <c r="E15" s="4" t="s">
        <v>445</v>
      </c>
      <c r="F15" s="4" t="s">
        <v>446</v>
      </c>
      <c r="G15" s="11" t="s">
        <v>440</v>
      </c>
      <c r="H15" s="11" t="s">
        <v>952</v>
      </c>
      <c r="I15" s="11" t="s">
        <v>447</v>
      </c>
      <c r="J15" s="12" t="str">
        <f t="shared" si="0"/>
        <v>Como administrador, quiero definir permisos por área, por cargo y directos por usuario, además de los integrantes de los grupos de autorizadores de cada proceso, para controlar qué funciones, datos y decisiones corresponden a cada usuario</v>
      </c>
      <c r="K15" s="11" t="s">
        <v>450</v>
      </c>
      <c r="L15" s="8" t="s">
        <v>301</v>
      </c>
      <c r="M15" s="8">
        <v>8</v>
      </c>
      <c r="N15" s="8" t="s">
        <v>434</v>
      </c>
      <c r="O15" s="8" t="s">
        <v>435</v>
      </c>
      <c r="P15" s="4" t="s">
        <v>232</v>
      </c>
    </row>
    <row r="16" spans="1:16" ht="62.1" customHeight="1">
      <c r="A16" s="10" t="s">
        <v>53</v>
      </c>
      <c r="B16" s="10" t="s">
        <v>451</v>
      </c>
      <c r="C16" s="8" t="s">
        <v>52</v>
      </c>
      <c r="D16" s="8" t="s">
        <v>427</v>
      </c>
      <c r="E16" s="4" t="s">
        <v>452</v>
      </c>
      <c r="F16" s="4" t="s">
        <v>453</v>
      </c>
      <c r="G16" s="11" t="s">
        <v>440</v>
      </c>
      <c r="H16" s="11" t="s">
        <v>454</v>
      </c>
      <c r="I16" s="11" t="s">
        <v>455</v>
      </c>
      <c r="J16" s="12" t="str">
        <f t="shared" si="0"/>
        <v>Como administrador, quiero asociar SlpCode y escala de comisión por empresa a vendedores y asistentes, para asegurar que cada operación use la empresa y el vendedor correctos</v>
      </c>
      <c r="K16" s="11" t="s">
        <v>456</v>
      </c>
      <c r="L16" s="8" t="s">
        <v>301</v>
      </c>
      <c r="M16" s="8">
        <v>8</v>
      </c>
      <c r="N16" s="8" t="s">
        <v>434</v>
      </c>
      <c r="O16" s="8" t="s">
        <v>435</v>
      </c>
      <c r="P16" s="4" t="s">
        <v>232</v>
      </c>
    </row>
    <row r="17" spans="1:16" ht="62.1" customHeight="1">
      <c r="A17" s="10" t="s">
        <v>56</v>
      </c>
      <c r="B17" s="10" t="s">
        <v>451</v>
      </c>
      <c r="C17" s="8" t="s">
        <v>55</v>
      </c>
      <c r="D17" s="8" t="s">
        <v>427</v>
      </c>
      <c r="E17" s="4" t="s">
        <v>452</v>
      </c>
      <c r="F17" s="4" t="s">
        <v>453</v>
      </c>
      <c r="G17" s="11" t="s">
        <v>440</v>
      </c>
      <c r="H17" s="11" t="s">
        <v>454</v>
      </c>
      <c r="I17" s="11" t="s">
        <v>455</v>
      </c>
      <c r="J17" s="12" t="str">
        <f t="shared" si="0"/>
        <v>Como administrador, quiero asociar SlpCode y escala de comisión por empresa a vendedores y asistentes, para asegurar que cada operación use la empresa y el vendedor correctos</v>
      </c>
      <c r="K17" s="11" t="s">
        <v>457</v>
      </c>
      <c r="L17" s="8" t="s">
        <v>301</v>
      </c>
      <c r="M17" s="8">
        <v>8</v>
      </c>
      <c r="N17" s="8" t="s">
        <v>434</v>
      </c>
      <c r="O17" s="8" t="s">
        <v>435</v>
      </c>
      <c r="P17" s="4" t="s">
        <v>232</v>
      </c>
    </row>
    <row r="18" spans="1:16" ht="62.1" customHeight="1">
      <c r="A18" s="10" t="s">
        <v>59</v>
      </c>
      <c r="B18" s="10" t="s">
        <v>451</v>
      </c>
      <c r="C18" s="8" t="s">
        <v>58</v>
      </c>
      <c r="D18" s="8" t="s">
        <v>427</v>
      </c>
      <c r="E18" s="4" t="s">
        <v>452</v>
      </c>
      <c r="F18" s="4" t="s">
        <v>453</v>
      </c>
      <c r="G18" s="11" t="s">
        <v>440</v>
      </c>
      <c r="H18" s="11" t="s">
        <v>454</v>
      </c>
      <c r="I18" s="11" t="s">
        <v>455</v>
      </c>
      <c r="J18" s="12" t="str">
        <f t="shared" si="0"/>
        <v>Como administrador, quiero asociar SlpCode y escala de comisión por empresa a vendedores y asistentes, para asegurar que cada operación use la empresa y el vendedor correctos</v>
      </c>
      <c r="K18" s="11" t="s">
        <v>458</v>
      </c>
      <c r="L18" s="8" t="s">
        <v>301</v>
      </c>
      <c r="M18" s="8">
        <v>8</v>
      </c>
      <c r="N18" s="8" t="s">
        <v>434</v>
      </c>
      <c r="O18" s="8" t="s">
        <v>435</v>
      </c>
      <c r="P18" s="4" t="s">
        <v>232</v>
      </c>
    </row>
    <row r="19" spans="1:16" ht="62.1" customHeight="1">
      <c r="A19" s="10" t="s">
        <v>61</v>
      </c>
      <c r="B19" s="10" t="s">
        <v>451</v>
      </c>
      <c r="C19" s="8" t="s">
        <v>58</v>
      </c>
      <c r="D19" s="8" t="s">
        <v>427</v>
      </c>
      <c r="E19" s="4" t="s">
        <v>452</v>
      </c>
      <c r="F19" s="4" t="s">
        <v>453</v>
      </c>
      <c r="G19" s="11" t="s">
        <v>440</v>
      </c>
      <c r="H19" s="11" t="s">
        <v>454</v>
      </c>
      <c r="I19" s="11" t="s">
        <v>455</v>
      </c>
      <c r="J19" s="12" t="str">
        <f t="shared" si="0"/>
        <v>Como administrador, quiero asociar SlpCode y escala de comisión por empresa a vendedores y asistentes, para asegurar que cada operación use la empresa y el vendedor correctos</v>
      </c>
      <c r="K19" s="11" t="s">
        <v>459</v>
      </c>
      <c r="L19" s="8" t="s">
        <v>301</v>
      </c>
      <c r="M19" s="8">
        <v>8</v>
      </c>
      <c r="N19" s="8" t="s">
        <v>434</v>
      </c>
      <c r="O19" s="8" t="s">
        <v>435</v>
      </c>
      <c r="P19" s="4" t="s">
        <v>232</v>
      </c>
    </row>
    <row r="20" spans="1:16" ht="62.1" customHeight="1">
      <c r="A20" s="10" t="s">
        <v>64</v>
      </c>
      <c r="B20" s="10" t="s">
        <v>460</v>
      </c>
      <c r="C20" s="8" t="s">
        <v>63</v>
      </c>
      <c r="D20" s="8" t="s">
        <v>461</v>
      </c>
      <c r="E20" s="4" t="s">
        <v>462</v>
      </c>
      <c r="F20" s="4" t="s">
        <v>463</v>
      </c>
      <c r="G20" s="11" t="s">
        <v>464</v>
      </c>
      <c r="H20" s="11" t="s">
        <v>465</v>
      </c>
      <c r="I20" s="11" t="s">
        <v>466</v>
      </c>
      <c r="J20" s="12" t="str">
        <f t="shared" si="0"/>
        <v>Como vendedor autorizado, quiero crear solicitudes de creación, activación o modificación de artículos con sus respaldos, para enviar información completa al grupo autorizador correspondiente</v>
      </c>
      <c r="K20" s="11" t="s">
        <v>467</v>
      </c>
      <c r="L20" s="8" t="s">
        <v>301</v>
      </c>
      <c r="M20" s="8">
        <v>8</v>
      </c>
      <c r="N20" s="8" t="s">
        <v>468</v>
      </c>
      <c r="O20" s="8" t="s">
        <v>435</v>
      </c>
      <c r="P20" s="4" t="s">
        <v>239</v>
      </c>
    </row>
    <row r="21" spans="1:16" ht="62.1" customHeight="1">
      <c r="A21" s="10" t="s">
        <v>66</v>
      </c>
      <c r="B21" s="10" t="s">
        <v>460</v>
      </c>
      <c r="C21" s="8" t="s">
        <v>63</v>
      </c>
      <c r="D21" s="8" t="s">
        <v>461</v>
      </c>
      <c r="E21" s="4" t="s">
        <v>462</v>
      </c>
      <c r="F21" s="4" t="s">
        <v>463</v>
      </c>
      <c r="G21" s="11" t="s">
        <v>464</v>
      </c>
      <c r="H21" s="11" t="s">
        <v>465</v>
      </c>
      <c r="I21" s="11" t="s">
        <v>466</v>
      </c>
      <c r="J21" s="12" t="str">
        <f t="shared" si="0"/>
        <v>Como vendedor autorizado, quiero crear solicitudes de creación, activación o modificación de artículos con sus respaldos, para enviar información completa al grupo autorizador correspondiente</v>
      </c>
      <c r="K21" s="11" t="s">
        <v>469</v>
      </c>
      <c r="L21" s="8" t="s">
        <v>301</v>
      </c>
      <c r="M21" s="8">
        <v>8</v>
      </c>
      <c r="N21" s="8" t="s">
        <v>468</v>
      </c>
      <c r="O21" s="8" t="s">
        <v>435</v>
      </c>
      <c r="P21" s="4" t="s">
        <v>239</v>
      </c>
    </row>
    <row r="22" spans="1:16" ht="62.1" customHeight="1">
      <c r="A22" s="10" t="s">
        <v>69</v>
      </c>
      <c r="B22" s="10" t="s">
        <v>460</v>
      </c>
      <c r="C22" s="8" t="s">
        <v>68</v>
      </c>
      <c r="D22" s="8" t="s">
        <v>461</v>
      </c>
      <c r="E22" s="4" t="s">
        <v>462</v>
      </c>
      <c r="F22" s="4" t="s">
        <v>463</v>
      </c>
      <c r="G22" s="11" t="s">
        <v>464</v>
      </c>
      <c r="H22" s="11" t="s">
        <v>465</v>
      </c>
      <c r="I22" s="11" t="s">
        <v>466</v>
      </c>
      <c r="J22" s="12" t="str">
        <f t="shared" si="0"/>
        <v>Como vendedor autorizado, quiero crear solicitudes de creación, activación o modificación de artículos con sus respaldos, para enviar información completa al grupo autorizador correspondiente</v>
      </c>
      <c r="K22" s="11" t="s">
        <v>925</v>
      </c>
      <c r="L22" s="8" t="s">
        <v>301</v>
      </c>
      <c r="M22" s="8">
        <v>8</v>
      </c>
      <c r="N22" s="8" t="s">
        <v>468</v>
      </c>
      <c r="O22" s="8" t="s">
        <v>435</v>
      </c>
      <c r="P22" s="4" t="s">
        <v>239</v>
      </c>
    </row>
    <row r="23" spans="1:16" ht="62.1" customHeight="1">
      <c r="A23" s="10" t="s">
        <v>71</v>
      </c>
      <c r="B23" s="10" t="s">
        <v>460</v>
      </c>
      <c r="C23" s="8" t="s">
        <v>63</v>
      </c>
      <c r="D23" s="8" t="s">
        <v>461</v>
      </c>
      <c r="E23" s="4" t="s">
        <v>462</v>
      </c>
      <c r="F23" s="4" t="s">
        <v>463</v>
      </c>
      <c r="G23" s="11" t="s">
        <v>464</v>
      </c>
      <c r="H23" s="11" t="s">
        <v>465</v>
      </c>
      <c r="I23" s="11" t="s">
        <v>466</v>
      </c>
      <c r="J23" s="12" t="str">
        <f t="shared" si="0"/>
        <v>Como vendedor autorizado, quiero crear solicitudes de creación, activación o modificación de artículos con sus respaldos, para enviar información completa al grupo autorizador correspondiente</v>
      </c>
      <c r="K23" s="11" t="s">
        <v>470</v>
      </c>
      <c r="L23" s="8" t="s">
        <v>301</v>
      </c>
      <c r="M23" s="8">
        <v>8</v>
      </c>
      <c r="N23" s="8" t="s">
        <v>468</v>
      </c>
      <c r="O23" s="8" t="s">
        <v>435</v>
      </c>
      <c r="P23" s="4" t="s">
        <v>239</v>
      </c>
    </row>
    <row r="24" spans="1:16" ht="57.95" customHeight="1">
      <c r="A24" s="10" t="s">
        <v>74</v>
      </c>
      <c r="B24" s="10" t="s">
        <v>471</v>
      </c>
      <c r="C24" s="8" t="s">
        <v>73</v>
      </c>
      <c r="D24" s="8" t="s">
        <v>461</v>
      </c>
      <c r="E24" s="4" t="s">
        <v>472</v>
      </c>
      <c r="F24" s="4" t="s">
        <v>473</v>
      </c>
      <c r="G24" s="11" t="s">
        <v>474</v>
      </c>
      <c r="H24" s="11" t="s">
        <v>953</v>
      </c>
      <c r="I24" s="11" t="s">
        <v>475</v>
      </c>
      <c r="J24" s="12" t="str">
        <f t="shared" si="0"/>
        <v>Como autorizador, quiero aprobar, rechazar o pedir corrección de una solicitud de la bandeja compartida, para resolverla con un responsable y una decisión trazable</v>
      </c>
      <c r="K24" s="11" t="s">
        <v>476</v>
      </c>
      <c r="L24" s="8" t="s">
        <v>301</v>
      </c>
      <c r="M24" s="8">
        <v>5</v>
      </c>
      <c r="N24" s="8" t="s">
        <v>468</v>
      </c>
      <c r="O24" s="8" t="s">
        <v>435</v>
      </c>
      <c r="P24" s="4" t="s">
        <v>239</v>
      </c>
    </row>
    <row r="25" spans="1:16" ht="57.95" customHeight="1">
      <c r="A25" s="10" t="s">
        <v>76</v>
      </c>
      <c r="B25" s="10" t="s">
        <v>471</v>
      </c>
      <c r="C25" s="8" t="s">
        <v>73</v>
      </c>
      <c r="D25" s="8" t="s">
        <v>461</v>
      </c>
      <c r="E25" s="4" t="s">
        <v>472</v>
      </c>
      <c r="F25" s="4" t="s">
        <v>473</v>
      </c>
      <c r="G25" s="11" t="s">
        <v>474</v>
      </c>
      <c r="H25" s="11" t="s">
        <v>953</v>
      </c>
      <c r="I25" s="11" t="s">
        <v>475</v>
      </c>
      <c r="J25" s="12" t="str">
        <f t="shared" si="0"/>
        <v>Como autorizador, quiero aprobar, rechazar o pedir corrección de una solicitud de la bandeja compartida, para resolverla con un responsable y una decisión trazable</v>
      </c>
      <c r="K25" s="11" t="s">
        <v>926</v>
      </c>
      <c r="L25" s="8" t="s">
        <v>301</v>
      </c>
      <c r="M25" s="8">
        <v>5</v>
      </c>
      <c r="N25" s="8" t="s">
        <v>468</v>
      </c>
      <c r="O25" s="8" t="s">
        <v>435</v>
      </c>
      <c r="P25" s="4" t="s">
        <v>239</v>
      </c>
    </row>
    <row r="26" spans="1:16" ht="57.95" customHeight="1">
      <c r="A26" s="10" t="s">
        <v>78</v>
      </c>
      <c r="B26" s="10" t="s">
        <v>471</v>
      </c>
      <c r="C26" s="8" t="s">
        <v>73</v>
      </c>
      <c r="D26" s="8" t="s">
        <v>461</v>
      </c>
      <c r="E26" s="4" t="s">
        <v>472</v>
      </c>
      <c r="F26" s="4" t="s">
        <v>473</v>
      </c>
      <c r="G26" s="11" t="s">
        <v>474</v>
      </c>
      <c r="H26" s="11" t="s">
        <v>953</v>
      </c>
      <c r="I26" s="11" t="s">
        <v>475</v>
      </c>
      <c r="J26" s="12" t="str">
        <f t="shared" si="0"/>
        <v>Como autorizador, quiero aprobar, rechazar o pedir corrección de una solicitud de la bandeja compartida, para resolverla con un responsable y una decisión trazable</v>
      </c>
      <c r="K26" s="11" t="s">
        <v>477</v>
      </c>
      <c r="L26" s="8" t="s">
        <v>301</v>
      </c>
      <c r="M26" s="8">
        <v>5</v>
      </c>
      <c r="N26" s="8" t="s">
        <v>468</v>
      </c>
      <c r="O26" s="8" t="s">
        <v>435</v>
      </c>
      <c r="P26" s="4" t="s">
        <v>239</v>
      </c>
    </row>
    <row r="27" spans="1:16" ht="57.95" customHeight="1">
      <c r="A27" s="10" t="s">
        <v>80</v>
      </c>
      <c r="B27" s="10" t="s">
        <v>471</v>
      </c>
      <c r="C27" s="8" t="s">
        <v>73</v>
      </c>
      <c r="D27" s="8" t="s">
        <v>461</v>
      </c>
      <c r="E27" s="4" t="s">
        <v>472</v>
      </c>
      <c r="F27" s="4" t="s">
        <v>473</v>
      </c>
      <c r="G27" s="11" t="s">
        <v>474</v>
      </c>
      <c r="H27" s="11" t="s">
        <v>953</v>
      </c>
      <c r="I27" s="11" t="s">
        <v>475</v>
      </c>
      <c r="J27" s="12" t="str">
        <f t="shared" si="0"/>
        <v>Como autorizador, quiero aprobar, rechazar o pedir corrección de una solicitud de la bandeja compartida, para resolverla con un responsable y una decisión trazable</v>
      </c>
      <c r="K27" s="11" t="s">
        <v>478</v>
      </c>
      <c r="L27" s="8" t="s">
        <v>301</v>
      </c>
      <c r="M27" s="8">
        <v>5</v>
      </c>
      <c r="N27" s="8" t="s">
        <v>468</v>
      </c>
      <c r="O27" s="8" t="s">
        <v>435</v>
      </c>
      <c r="P27" s="4" t="s">
        <v>239</v>
      </c>
    </row>
    <row r="28" spans="1:16" ht="62.1" customHeight="1">
      <c r="A28" s="10" t="s">
        <v>83</v>
      </c>
      <c r="B28" s="10" t="s">
        <v>479</v>
      </c>
      <c r="C28" s="8" t="s">
        <v>82</v>
      </c>
      <c r="D28" s="8" t="s">
        <v>461</v>
      </c>
      <c r="E28" s="4" t="s">
        <v>480</v>
      </c>
      <c r="F28" s="4" t="s">
        <v>481</v>
      </c>
      <c r="G28" s="11" t="s">
        <v>482</v>
      </c>
      <c r="H28" s="11" t="s">
        <v>483</v>
      </c>
      <c r="I28" s="11" t="s">
        <v>484</v>
      </c>
      <c r="J28" s="12" t="str">
        <f t="shared" si="0"/>
        <v>Como vendedor solicitante, quiero corregir y reenviar solicitudes rechazadas, además de consultar y filtrar su seguimiento, para resolver observaciones y conocer el estado de cada gestión</v>
      </c>
      <c r="K28" s="11" t="s">
        <v>485</v>
      </c>
      <c r="L28" s="8" t="s">
        <v>301</v>
      </c>
      <c r="M28" s="8">
        <v>8</v>
      </c>
      <c r="N28" s="8" t="s">
        <v>468</v>
      </c>
      <c r="O28" s="8" t="s">
        <v>435</v>
      </c>
      <c r="P28" s="4" t="s">
        <v>239</v>
      </c>
    </row>
    <row r="29" spans="1:16" ht="62.1" customHeight="1">
      <c r="A29" s="10" t="s">
        <v>85</v>
      </c>
      <c r="B29" s="10" t="s">
        <v>479</v>
      </c>
      <c r="C29" s="8" t="s">
        <v>82</v>
      </c>
      <c r="D29" s="8" t="s">
        <v>461</v>
      </c>
      <c r="E29" s="4" t="s">
        <v>480</v>
      </c>
      <c r="F29" s="4" t="s">
        <v>481</v>
      </c>
      <c r="G29" s="11" t="s">
        <v>482</v>
      </c>
      <c r="H29" s="11" t="s">
        <v>483</v>
      </c>
      <c r="I29" s="11" t="s">
        <v>484</v>
      </c>
      <c r="J29" s="12" t="str">
        <f t="shared" si="0"/>
        <v>Como vendedor solicitante, quiero corregir y reenviar solicitudes rechazadas, además de consultar y filtrar su seguimiento, para resolver observaciones y conocer el estado de cada gestión</v>
      </c>
      <c r="K29" s="11" t="s">
        <v>486</v>
      </c>
      <c r="L29" s="8" t="s">
        <v>301</v>
      </c>
      <c r="M29" s="8">
        <v>8</v>
      </c>
      <c r="N29" s="8" t="s">
        <v>468</v>
      </c>
      <c r="O29" s="8" t="s">
        <v>435</v>
      </c>
      <c r="P29" s="4" t="s">
        <v>239</v>
      </c>
    </row>
    <row r="30" spans="1:16" ht="62.1" customHeight="1">
      <c r="A30" s="10" t="s">
        <v>88</v>
      </c>
      <c r="B30" s="10" t="s">
        <v>479</v>
      </c>
      <c r="C30" s="8" t="s">
        <v>87</v>
      </c>
      <c r="D30" s="8" t="s">
        <v>461</v>
      </c>
      <c r="E30" s="4" t="s">
        <v>480</v>
      </c>
      <c r="F30" s="4" t="s">
        <v>481</v>
      </c>
      <c r="G30" s="11" t="s">
        <v>482</v>
      </c>
      <c r="H30" s="11" t="s">
        <v>483</v>
      </c>
      <c r="I30" s="11" t="s">
        <v>484</v>
      </c>
      <c r="J30" s="12" t="str">
        <f t="shared" si="0"/>
        <v>Como vendedor solicitante, quiero corregir y reenviar solicitudes rechazadas, además de consultar y filtrar su seguimiento, para resolver observaciones y conocer el estado de cada gestión</v>
      </c>
      <c r="K30" s="11" t="s">
        <v>487</v>
      </c>
      <c r="L30" s="8" t="s">
        <v>301</v>
      </c>
      <c r="M30" s="8">
        <v>8</v>
      </c>
      <c r="N30" s="8" t="s">
        <v>468</v>
      </c>
      <c r="O30" s="8" t="s">
        <v>435</v>
      </c>
      <c r="P30" s="4" t="s">
        <v>239</v>
      </c>
    </row>
    <row r="31" spans="1:16" ht="62.1" customHeight="1">
      <c r="A31" s="10" t="s">
        <v>91</v>
      </c>
      <c r="B31" s="10" t="s">
        <v>479</v>
      </c>
      <c r="C31" s="8" t="s">
        <v>90</v>
      </c>
      <c r="D31" s="8" t="s">
        <v>461</v>
      </c>
      <c r="E31" s="4" t="s">
        <v>480</v>
      </c>
      <c r="F31" s="4" t="s">
        <v>481</v>
      </c>
      <c r="G31" s="11" t="s">
        <v>482</v>
      </c>
      <c r="H31" s="11" t="s">
        <v>483</v>
      </c>
      <c r="I31" s="11" t="s">
        <v>484</v>
      </c>
      <c r="J31" s="12" t="str">
        <f t="shared" si="0"/>
        <v>Como vendedor solicitante, quiero corregir y reenviar solicitudes rechazadas, además de consultar y filtrar su seguimiento, para resolver observaciones y conocer el estado de cada gestión</v>
      </c>
      <c r="K31" s="11" t="s">
        <v>488</v>
      </c>
      <c r="L31" s="8" t="s">
        <v>301</v>
      </c>
      <c r="M31" s="8">
        <v>8</v>
      </c>
      <c r="N31" s="8" t="s">
        <v>468</v>
      </c>
      <c r="O31" s="8" t="s">
        <v>435</v>
      </c>
      <c r="P31" s="4" t="s">
        <v>239</v>
      </c>
    </row>
    <row r="32" spans="1:16" ht="62.1" customHeight="1">
      <c r="A32" s="10" t="s">
        <v>94</v>
      </c>
      <c r="B32" s="10" t="s">
        <v>489</v>
      </c>
      <c r="C32" s="8" t="s">
        <v>93</v>
      </c>
      <c r="D32" s="8" t="s">
        <v>490</v>
      </c>
      <c r="E32" s="4" t="s">
        <v>491</v>
      </c>
      <c r="F32" s="4" t="s">
        <v>492</v>
      </c>
      <c r="G32" s="11" t="s">
        <v>493</v>
      </c>
      <c r="H32" s="11" t="s">
        <v>494</v>
      </c>
      <c r="I32" s="11" t="s">
        <v>495</v>
      </c>
      <c r="J32" s="12" t="str">
        <f t="shared" si="0"/>
        <v>Como vendedor o asistente de vendedor, quiero consultar productos, stock, clientes, crédito y bloqueo en la empresa activa, para tomar decisiones comerciales con información vigente del ERP</v>
      </c>
      <c r="K32" s="11" t="s">
        <v>496</v>
      </c>
      <c r="L32" s="8" t="s">
        <v>301</v>
      </c>
      <c r="M32" s="8">
        <v>8</v>
      </c>
      <c r="N32" s="8" t="s">
        <v>497</v>
      </c>
      <c r="O32" s="8" t="s">
        <v>435</v>
      </c>
      <c r="P32" s="4" t="s">
        <v>245</v>
      </c>
    </row>
    <row r="33" spans="1:16" ht="62.1" customHeight="1">
      <c r="A33" s="10" t="s">
        <v>97</v>
      </c>
      <c r="B33" s="10" t="s">
        <v>489</v>
      </c>
      <c r="C33" s="8" t="s">
        <v>96</v>
      </c>
      <c r="D33" s="8" t="s">
        <v>490</v>
      </c>
      <c r="E33" s="4" t="s">
        <v>491</v>
      </c>
      <c r="F33" s="4" t="s">
        <v>492</v>
      </c>
      <c r="G33" s="11" t="s">
        <v>493</v>
      </c>
      <c r="H33" s="11" t="s">
        <v>494</v>
      </c>
      <c r="I33" s="11" t="s">
        <v>495</v>
      </c>
      <c r="J33" s="12" t="str">
        <f t="shared" si="0"/>
        <v>Como vendedor o asistente de vendedor, quiero consultar productos, stock, clientes, crédito y bloqueo en la empresa activa, para tomar decisiones comerciales con información vigente del ERP</v>
      </c>
      <c r="K33" s="11" t="s">
        <v>498</v>
      </c>
      <c r="L33" s="8" t="s">
        <v>301</v>
      </c>
      <c r="M33" s="8">
        <v>8</v>
      </c>
      <c r="N33" s="8" t="s">
        <v>497</v>
      </c>
      <c r="O33" s="8" t="s">
        <v>435</v>
      </c>
      <c r="P33" s="4" t="s">
        <v>245</v>
      </c>
    </row>
    <row r="34" spans="1:16" ht="62.1" customHeight="1">
      <c r="A34" s="10" t="s">
        <v>99</v>
      </c>
      <c r="B34" s="10" t="s">
        <v>489</v>
      </c>
      <c r="C34" s="8" t="s">
        <v>93</v>
      </c>
      <c r="D34" s="8" t="s">
        <v>490</v>
      </c>
      <c r="E34" s="4" t="s">
        <v>491</v>
      </c>
      <c r="F34" s="4" t="s">
        <v>492</v>
      </c>
      <c r="G34" s="11" t="s">
        <v>493</v>
      </c>
      <c r="H34" s="11" t="s">
        <v>494</v>
      </c>
      <c r="I34" s="11" t="s">
        <v>495</v>
      </c>
      <c r="J34" s="12" t="str">
        <f t="shared" si="0"/>
        <v>Como vendedor o asistente de vendedor, quiero consultar productos, stock, clientes, crédito y bloqueo en la empresa activa, para tomar decisiones comerciales con información vigente del ERP</v>
      </c>
      <c r="K34" s="11" t="s">
        <v>499</v>
      </c>
      <c r="L34" s="8" t="s">
        <v>301</v>
      </c>
      <c r="M34" s="8">
        <v>8</v>
      </c>
      <c r="N34" s="8" t="s">
        <v>497</v>
      </c>
      <c r="O34" s="8" t="s">
        <v>435</v>
      </c>
      <c r="P34" s="4" t="s">
        <v>245</v>
      </c>
    </row>
    <row r="35" spans="1:16" ht="62.1" customHeight="1">
      <c r="A35" s="10" t="s">
        <v>101</v>
      </c>
      <c r="B35" s="10" t="s">
        <v>489</v>
      </c>
      <c r="C35" s="8" t="s">
        <v>96</v>
      </c>
      <c r="D35" s="8" t="s">
        <v>490</v>
      </c>
      <c r="E35" s="4" t="s">
        <v>491</v>
      </c>
      <c r="F35" s="4" t="s">
        <v>492</v>
      </c>
      <c r="G35" s="11" t="s">
        <v>493</v>
      </c>
      <c r="H35" s="11" t="s">
        <v>494</v>
      </c>
      <c r="I35" s="11" t="s">
        <v>495</v>
      </c>
      <c r="J35" s="12" t="str">
        <f t="shared" si="0"/>
        <v>Como vendedor o asistente de vendedor, quiero consultar productos, stock, clientes, crédito y bloqueo en la empresa activa, para tomar decisiones comerciales con información vigente del ERP</v>
      </c>
      <c r="K35" s="11" t="s">
        <v>500</v>
      </c>
      <c r="L35" s="8" t="s">
        <v>301</v>
      </c>
      <c r="M35" s="8">
        <v>8</v>
      </c>
      <c r="N35" s="8" t="s">
        <v>497</v>
      </c>
      <c r="O35" s="8" t="s">
        <v>435</v>
      </c>
      <c r="P35" s="4" t="s">
        <v>245</v>
      </c>
    </row>
    <row r="36" spans="1:16" ht="62.1" customHeight="1">
      <c r="A36" s="10" t="s">
        <v>104</v>
      </c>
      <c r="B36" s="10" t="s">
        <v>501</v>
      </c>
      <c r="C36" s="8" t="s">
        <v>103</v>
      </c>
      <c r="D36" s="8" t="s">
        <v>490</v>
      </c>
      <c r="E36" s="4" t="s">
        <v>502</v>
      </c>
      <c r="F36" s="4" t="s">
        <v>503</v>
      </c>
      <c r="G36" s="11" t="s">
        <v>493</v>
      </c>
      <c r="H36" s="11" t="s">
        <v>504</v>
      </c>
      <c r="I36" s="11" t="s">
        <v>505</v>
      </c>
      <c r="J36" s="12" t="str">
        <f t="shared" si="0"/>
        <v>Como vendedor o asistente de vendedor, quiero crear cotizaciones con varias líneas y el vendedor correspondiente, para presentar una oferta comercial consistente con la empresa activa</v>
      </c>
      <c r="K36" s="11" t="s">
        <v>506</v>
      </c>
      <c r="L36" s="8" t="s">
        <v>301</v>
      </c>
      <c r="M36" s="8">
        <v>8</v>
      </c>
      <c r="N36" s="8" t="s">
        <v>497</v>
      </c>
      <c r="O36" s="8" t="s">
        <v>435</v>
      </c>
      <c r="P36" s="4" t="s">
        <v>262</v>
      </c>
    </row>
    <row r="37" spans="1:16" ht="62.1" customHeight="1">
      <c r="A37" s="10" t="s">
        <v>107</v>
      </c>
      <c r="B37" s="10" t="s">
        <v>501</v>
      </c>
      <c r="C37" s="8" t="s">
        <v>106</v>
      </c>
      <c r="D37" s="8" t="s">
        <v>490</v>
      </c>
      <c r="E37" s="4" t="s">
        <v>502</v>
      </c>
      <c r="F37" s="4" t="s">
        <v>503</v>
      </c>
      <c r="G37" s="11" t="s">
        <v>493</v>
      </c>
      <c r="H37" s="11" t="s">
        <v>504</v>
      </c>
      <c r="I37" s="11" t="s">
        <v>505</v>
      </c>
      <c r="J37" s="12" t="str">
        <f t="shared" si="0"/>
        <v>Como vendedor o asistente de vendedor, quiero crear cotizaciones con varias líneas y el vendedor correspondiente, para presentar una oferta comercial consistente con la empresa activa</v>
      </c>
      <c r="K37" s="11" t="s">
        <v>507</v>
      </c>
      <c r="L37" s="8" t="s">
        <v>301</v>
      </c>
      <c r="M37" s="8">
        <v>8</v>
      </c>
      <c r="N37" s="8" t="s">
        <v>497</v>
      </c>
      <c r="O37" s="8" t="s">
        <v>435</v>
      </c>
      <c r="P37" s="4" t="s">
        <v>262</v>
      </c>
    </row>
    <row r="38" spans="1:16" ht="62.1" customHeight="1">
      <c r="A38" s="10" t="s">
        <v>109</v>
      </c>
      <c r="B38" s="10" t="s">
        <v>501</v>
      </c>
      <c r="C38" s="8" t="s">
        <v>106</v>
      </c>
      <c r="D38" s="8" t="s">
        <v>490</v>
      </c>
      <c r="E38" s="4" t="s">
        <v>502</v>
      </c>
      <c r="F38" s="4" t="s">
        <v>503</v>
      </c>
      <c r="G38" s="11" t="s">
        <v>493</v>
      </c>
      <c r="H38" s="11" t="s">
        <v>504</v>
      </c>
      <c r="I38" s="11" t="s">
        <v>505</v>
      </c>
      <c r="J38" s="12" t="str">
        <f t="shared" ref="J38:J69" si="1">IF(OR(G38="",H38="",I38=""),"","Como "&amp;G38&amp;", quiero "&amp;H38&amp;", para "&amp;I38)</f>
        <v>Como vendedor o asistente de vendedor, quiero crear cotizaciones con varias líneas y el vendedor correspondiente, para presentar una oferta comercial consistente con la empresa activa</v>
      </c>
      <c r="K38" s="11" t="s">
        <v>508</v>
      </c>
      <c r="L38" s="8" t="s">
        <v>301</v>
      </c>
      <c r="M38" s="8">
        <v>8</v>
      </c>
      <c r="N38" s="8" t="s">
        <v>497</v>
      </c>
      <c r="O38" s="8" t="s">
        <v>435</v>
      </c>
      <c r="P38" s="4" t="s">
        <v>262</v>
      </c>
    </row>
    <row r="39" spans="1:16" ht="62.1" customHeight="1">
      <c r="A39" s="10" t="s">
        <v>111</v>
      </c>
      <c r="B39" s="10" t="s">
        <v>501</v>
      </c>
      <c r="C39" s="8" t="s">
        <v>106</v>
      </c>
      <c r="D39" s="8" t="s">
        <v>490</v>
      </c>
      <c r="E39" s="4" t="s">
        <v>502</v>
      </c>
      <c r="F39" s="4" t="s">
        <v>503</v>
      </c>
      <c r="G39" s="11" t="s">
        <v>493</v>
      </c>
      <c r="H39" s="11" t="s">
        <v>504</v>
      </c>
      <c r="I39" s="11" t="s">
        <v>505</v>
      </c>
      <c r="J39" s="12" t="str">
        <f t="shared" si="1"/>
        <v>Como vendedor o asistente de vendedor, quiero crear cotizaciones con varias líneas y el vendedor correspondiente, para presentar una oferta comercial consistente con la empresa activa</v>
      </c>
      <c r="K39" s="11" t="s">
        <v>509</v>
      </c>
      <c r="L39" s="8" t="s">
        <v>301</v>
      </c>
      <c r="M39" s="8">
        <v>8</v>
      </c>
      <c r="N39" s="8" t="s">
        <v>497</v>
      </c>
      <c r="O39" s="8" t="s">
        <v>435</v>
      </c>
      <c r="P39" s="4" t="s">
        <v>262</v>
      </c>
    </row>
    <row r="40" spans="1:16" ht="62.1" customHeight="1">
      <c r="A40" s="10" t="s">
        <v>114</v>
      </c>
      <c r="B40" s="10" t="s">
        <v>510</v>
      </c>
      <c r="C40" s="8" t="s">
        <v>113</v>
      </c>
      <c r="D40" s="8" t="s">
        <v>490</v>
      </c>
      <c r="E40" s="4" t="s">
        <v>511</v>
      </c>
      <c r="F40" s="4" t="s">
        <v>512</v>
      </c>
      <c r="G40" s="11" t="s">
        <v>513</v>
      </c>
      <c r="H40" s="11" t="s">
        <v>514</v>
      </c>
      <c r="I40" s="11" t="s">
        <v>515</v>
      </c>
      <c r="J40" s="12" t="str">
        <f t="shared" si="1"/>
        <v>Como vendedor, quiero descargar la cotización y convertir una cotización aceptada en solicitud de orden de venta, para continuar el proceso comercial sin volver a ingresar sus datos</v>
      </c>
      <c r="K40" s="11" t="s">
        <v>516</v>
      </c>
      <c r="L40" s="8" t="s">
        <v>301</v>
      </c>
      <c r="M40" s="8">
        <v>5</v>
      </c>
      <c r="N40" s="8" t="s">
        <v>517</v>
      </c>
      <c r="O40" s="8" t="s">
        <v>435</v>
      </c>
      <c r="P40" s="4" t="s">
        <v>262</v>
      </c>
    </row>
    <row r="41" spans="1:16" ht="62.1" customHeight="1">
      <c r="A41" s="10" t="s">
        <v>117</v>
      </c>
      <c r="B41" s="10" t="s">
        <v>510</v>
      </c>
      <c r="C41" s="8" t="s">
        <v>116</v>
      </c>
      <c r="D41" s="8" t="s">
        <v>490</v>
      </c>
      <c r="E41" s="4" t="s">
        <v>511</v>
      </c>
      <c r="F41" s="4" t="s">
        <v>512</v>
      </c>
      <c r="G41" s="11" t="s">
        <v>513</v>
      </c>
      <c r="H41" s="11" t="s">
        <v>514</v>
      </c>
      <c r="I41" s="11" t="s">
        <v>515</v>
      </c>
      <c r="J41" s="12" t="str">
        <f t="shared" si="1"/>
        <v>Como vendedor, quiero descargar la cotización y convertir una cotización aceptada en solicitud de orden de venta, para continuar el proceso comercial sin volver a ingresar sus datos</v>
      </c>
      <c r="K41" s="11" t="s">
        <v>518</v>
      </c>
      <c r="L41" s="8" t="s">
        <v>301</v>
      </c>
      <c r="M41" s="8">
        <v>5</v>
      </c>
      <c r="N41" s="8" t="s">
        <v>517</v>
      </c>
      <c r="O41" s="8" t="s">
        <v>435</v>
      </c>
      <c r="P41" s="4" t="s">
        <v>262</v>
      </c>
    </row>
    <row r="42" spans="1:16" ht="62.1" customHeight="1">
      <c r="A42" s="10" t="s">
        <v>119</v>
      </c>
      <c r="B42" s="10" t="s">
        <v>510</v>
      </c>
      <c r="C42" s="8" t="s">
        <v>116</v>
      </c>
      <c r="D42" s="8" t="s">
        <v>490</v>
      </c>
      <c r="E42" s="4" t="s">
        <v>511</v>
      </c>
      <c r="F42" s="4" t="s">
        <v>512</v>
      </c>
      <c r="G42" s="11" t="s">
        <v>513</v>
      </c>
      <c r="H42" s="11" t="s">
        <v>514</v>
      </c>
      <c r="I42" s="11" t="s">
        <v>515</v>
      </c>
      <c r="J42" s="12" t="str">
        <f t="shared" si="1"/>
        <v>Como vendedor, quiero descargar la cotización y convertir una cotización aceptada en solicitud de orden de venta, para continuar el proceso comercial sin volver a ingresar sus datos</v>
      </c>
      <c r="K42" s="11" t="s">
        <v>519</v>
      </c>
      <c r="L42" s="8" t="s">
        <v>301</v>
      </c>
      <c r="M42" s="8">
        <v>5</v>
      </c>
      <c r="N42" s="8" t="s">
        <v>517</v>
      </c>
      <c r="O42" s="8" t="s">
        <v>435</v>
      </c>
      <c r="P42" s="4" t="s">
        <v>262</v>
      </c>
    </row>
    <row r="43" spans="1:16" ht="62.1" customHeight="1">
      <c r="A43" s="10" t="s">
        <v>121</v>
      </c>
      <c r="B43" s="10" t="s">
        <v>510</v>
      </c>
      <c r="C43" s="8" t="s">
        <v>116</v>
      </c>
      <c r="D43" s="8" t="s">
        <v>490</v>
      </c>
      <c r="E43" s="4" t="s">
        <v>511</v>
      </c>
      <c r="F43" s="4" t="s">
        <v>512</v>
      </c>
      <c r="G43" s="11" t="s">
        <v>513</v>
      </c>
      <c r="H43" s="11" t="s">
        <v>514</v>
      </c>
      <c r="I43" s="11" t="s">
        <v>515</v>
      </c>
      <c r="J43" s="12" t="str">
        <f t="shared" si="1"/>
        <v>Como vendedor, quiero descargar la cotización y convertir una cotización aceptada en solicitud de orden de venta, para continuar el proceso comercial sin volver a ingresar sus datos</v>
      </c>
      <c r="K43" s="11" t="s">
        <v>520</v>
      </c>
      <c r="L43" s="8" t="s">
        <v>301</v>
      </c>
      <c r="M43" s="8">
        <v>5</v>
      </c>
      <c r="N43" s="8" t="s">
        <v>517</v>
      </c>
      <c r="O43" s="8" t="s">
        <v>435</v>
      </c>
      <c r="P43" s="4" t="s">
        <v>262</v>
      </c>
    </row>
    <row r="44" spans="1:16" ht="62.1" customHeight="1">
      <c r="A44" s="10" t="s">
        <v>124</v>
      </c>
      <c r="B44" s="10" t="s">
        <v>521</v>
      </c>
      <c r="C44" s="8" t="s">
        <v>123</v>
      </c>
      <c r="D44" s="8" t="s">
        <v>490</v>
      </c>
      <c r="E44" s="4" t="s">
        <v>522</v>
      </c>
      <c r="F44" s="4" t="s">
        <v>523</v>
      </c>
      <c r="G44" s="11" t="s">
        <v>524</v>
      </c>
      <c r="H44" s="11" t="s">
        <v>525</v>
      </c>
      <c r="I44" s="11" t="s">
        <v>526</v>
      </c>
      <c r="J44" s="12" t="str">
        <f t="shared" si="1"/>
        <v>Como autorizador comercial, quiero aprobar las solicitudes que correspondan y enviar la orden de venta al ERP, para crear únicamente documentos validados y mantener su trazabilidad</v>
      </c>
      <c r="K44" s="11" t="s">
        <v>954</v>
      </c>
      <c r="L44" s="8" t="s">
        <v>301</v>
      </c>
      <c r="M44" s="8">
        <v>8</v>
      </c>
      <c r="N44" s="8" t="s">
        <v>517</v>
      </c>
      <c r="O44" s="8" t="s">
        <v>435</v>
      </c>
      <c r="P44" s="4" t="s">
        <v>256</v>
      </c>
    </row>
    <row r="45" spans="1:16" ht="62.1" customHeight="1">
      <c r="A45" s="10" t="s">
        <v>126</v>
      </c>
      <c r="B45" s="10" t="s">
        <v>521</v>
      </c>
      <c r="C45" s="8" t="s">
        <v>123</v>
      </c>
      <c r="D45" s="8" t="s">
        <v>490</v>
      </c>
      <c r="E45" s="4" t="s">
        <v>522</v>
      </c>
      <c r="F45" s="4" t="s">
        <v>523</v>
      </c>
      <c r="G45" s="11" t="s">
        <v>524</v>
      </c>
      <c r="H45" s="11" t="s">
        <v>525</v>
      </c>
      <c r="I45" s="11" t="s">
        <v>526</v>
      </c>
      <c r="J45" s="12" t="str">
        <f t="shared" si="1"/>
        <v>Como autorizador comercial, quiero aprobar las solicitudes que correspondan y enviar la orden de venta al ERP, para crear únicamente documentos validados y mantener su trazabilidad</v>
      </c>
      <c r="K45" s="11" t="s">
        <v>527</v>
      </c>
      <c r="L45" s="8" t="s">
        <v>301</v>
      </c>
      <c r="M45" s="8">
        <v>8</v>
      </c>
      <c r="N45" s="8" t="s">
        <v>517</v>
      </c>
      <c r="O45" s="8" t="s">
        <v>435</v>
      </c>
      <c r="P45" s="4" t="s">
        <v>256</v>
      </c>
    </row>
    <row r="46" spans="1:16" ht="62.1" customHeight="1">
      <c r="A46" s="10" t="s">
        <v>128</v>
      </c>
      <c r="B46" s="10" t="s">
        <v>521</v>
      </c>
      <c r="C46" s="8" t="s">
        <v>123</v>
      </c>
      <c r="D46" s="8" t="s">
        <v>490</v>
      </c>
      <c r="E46" s="4" t="s">
        <v>522</v>
      </c>
      <c r="F46" s="4" t="s">
        <v>523</v>
      </c>
      <c r="G46" s="11" t="s">
        <v>524</v>
      </c>
      <c r="H46" s="11" t="s">
        <v>525</v>
      </c>
      <c r="I46" s="11" t="s">
        <v>526</v>
      </c>
      <c r="J46" s="12" t="str">
        <f t="shared" si="1"/>
        <v>Como autorizador comercial, quiero aprobar las solicitudes que correspondan y enviar la orden de venta al ERP, para crear únicamente documentos validados y mantener su trazabilidad</v>
      </c>
      <c r="K46" s="11" t="s">
        <v>528</v>
      </c>
      <c r="L46" s="8" t="s">
        <v>301</v>
      </c>
      <c r="M46" s="8">
        <v>8</v>
      </c>
      <c r="N46" s="8" t="s">
        <v>517</v>
      </c>
      <c r="O46" s="8" t="s">
        <v>435</v>
      </c>
      <c r="P46" s="4" t="s">
        <v>256</v>
      </c>
    </row>
    <row r="47" spans="1:16" ht="62.1" customHeight="1">
      <c r="A47" s="10" t="s">
        <v>131</v>
      </c>
      <c r="B47" s="10" t="s">
        <v>521</v>
      </c>
      <c r="C47" s="8" t="s">
        <v>130</v>
      </c>
      <c r="D47" s="8" t="s">
        <v>490</v>
      </c>
      <c r="E47" s="4" t="s">
        <v>522</v>
      </c>
      <c r="F47" s="4" t="s">
        <v>523</v>
      </c>
      <c r="G47" s="11" t="s">
        <v>524</v>
      </c>
      <c r="H47" s="11" t="s">
        <v>525</v>
      </c>
      <c r="I47" s="11" t="s">
        <v>526</v>
      </c>
      <c r="J47" s="12" t="str">
        <f t="shared" si="1"/>
        <v>Como autorizador comercial, quiero aprobar las solicitudes que correspondan y enviar la orden de venta al ERP, para crear únicamente documentos validados y mantener su trazabilidad</v>
      </c>
      <c r="K47" s="11" t="s">
        <v>529</v>
      </c>
      <c r="L47" s="8" t="s">
        <v>301</v>
      </c>
      <c r="M47" s="8">
        <v>8</v>
      </c>
      <c r="N47" s="8" t="s">
        <v>517</v>
      </c>
      <c r="O47" s="8" t="s">
        <v>435</v>
      </c>
      <c r="P47" s="4" t="s">
        <v>256</v>
      </c>
    </row>
    <row r="48" spans="1:16" ht="62.1" customHeight="1">
      <c r="A48" s="10" t="s">
        <v>134</v>
      </c>
      <c r="B48" s="10" t="s">
        <v>530</v>
      </c>
      <c r="C48" s="8" t="s">
        <v>133</v>
      </c>
      <c r="D48" s="8" t="s">
        <v>531</v>
      </c>
      <c r="E48" s="4" t="s">
        <v>532</v>
      </c>
      <c r="F48" s="4" t="s">
        <v>533</v>
      </c>
      <c r="G48" s="11" t="s">
        <v>474</v>
      </c>
      <c r="H48" s="11" t="s">
        <v>534</v>
      </c>
      <c r="I48" s="11" t="s">
        <v>535</v>
      </c>
      <c r="J48" s="12" t="str">
        <f t="shared" si="1"/>
        <v>Como autorizador, quiero recibir avisos de los procesos pendientes y recordatorios cuando superen una hora, para atender oportunamente las decisiones que me corresponden</v>
      </c>
      <c r="K48" s="11" t="s">
        <v>536</v>
      </c>
      <c r="L48" s="8" t="s">
        <v>301</v>
      </c>
      <c r="M48" s="8">
        <v>5</v>
      </c>
      <c r="N48" s="8" t="s">
        <v>468</v>
      </c>
      <c r="O48" s="8" t="s">
        <v>435</v>
      </c>
      <c r="P48" s="4" t="s">
        <v>239</v>
      </c>
    </row>
    <row r="49" spans="1:16" ht="62.1" customHeight="1">
      <c r="A49" s="10" t="s">
        <v>136</v>
      </c>
      <c r="B49" s="10" t="s">
        <v>530</v>
      </c>
      <c r="C49" s="8" t="s">
        <v>133</v>
      </c>
      <c r="D49" s="8" t="s">
        <v>531</v>
      </c>
      <c r="E49" s="4" t="s">
        <v>532</v>
      </c>
      <c r="F49" s="4" t="s">
        <v>533</v>
      </c>
      <c r="G49" s="11" t="s">
        <v>474</v>
      </c>
      <c r="H49" s="11" t="s">
        <v>534</v>
      </c>
      <c r="I49" s="11" t="s">
        <v>535</v>
      </c>
      <c r="J49" s="12" t="str">
        <f t="shared" si="1"/>
        <v>Como autorizador, quiero recibir avisos de los procesos pendientes y recordatorios cuando superen una hora, para atender oportunamente las decisiones que me corresponden</v>
      </c>
      <c r="K49" s="11" t="s">
        <v>537</v>
      </c>
      <c r="L49" s="8" t="s">
        <v>301</v>
      </c>
      <c r="M49" s="8">
        <v>5</v>
      </c>
      <c r="N49" s="8" t="s">
        <v>468</v>
      </c>
      <c r="O49" s="8" t="s">
        <v>435</v>
      </c>
      <c r="P49" s="4" t="s">
        <v>239</v>
      </c>
    </row>
    <row r="50" spans="1:16" ht="62.1" customHeight="1">
      <c r="A50" s="10" t="s">
        <v>138</v>
      </c>
      <c r="B50" s="10" t="s">
        <v>530</v>
      </c>
      <c r="C50" s="8" t="s">
        <v>133</v>
      </c>
      <c r="D50" s="8" t="s">
        <v>531</v>
      </c>
      <c r="E50" s="4" t="s">
        <v>532</v>
      </c>
      <c r="F50" s="4" t="s">
        <v>533</v>
      </c>
      <c r="G50" s="11" t="s">
        <v>474</v>
      </c>
      <c r="H50" s="11" t="s">
        <v>534</v>
      </c>
      <c r="I50" s="11" t="s">
        <v>535</v>
      </c>
      <c r="J50" s="12" t="str">
        <f t="shared" si="1"/>
        <v>Como autorizador, quiero recibir avisos de los procesos pendientes y recordatorios cuando superen una hora, para atender oportunamente las decisiones que me corresponden</v>
      </c>
      <c r="K50" s="11" t="s">
        <v>538</v>
      </c>
      <c r="L50" s="8" t="s">
        <v>301</v>
      </c>
      <c r="M50" s="8">
        <v>5</v>
      </c>
      <c r="N50" s="8" t="s">
        <v>468</v>
      </c>
      <c r="O50" s="8" t="s">
        <v>435</v>
      </c>
      <c r="P50" s="4" t="s">
        <v>239</v>
      </c>
    </row>
    <row r="51" spans="1:16" ht="62.1" customHeight="1">
      <c r="A51" s="10" t="s">
        <v>140</v>
      </c>
      <c r="B51" s="10" t="s">
        <v>530</v>
      </c>
      <c r="C51" s="8" t="s">
        <v>133</v>
      </c>
      <c r="D51" s="8" t="s">
        <v>531</v>
      </c>
      <c r="E51" s="4" t="s">
        <v>532</v>
      </c>
      <c r="F51" s="4" t="s">
        <v>533</v>
      </c>
      <c r="G51" s="11" t="s">
        <v>474</v>
      </c>
      <c r="H51" s="11" t="s">
        <v>534</v>
      </c>
      <c r="I51" s="11" t="s">
        <v>535</v>
      </c>
      <c r="J51" s="12" t="str">
        <f t="shared" si="1"/>
        <v>Como autorizador, quiero recibir avisos de los procesos pendientes y recordatorios cuando superen una hora, para atender oportunamente las decisiones que me corresponden</v>
      </c>
      <c r="K51" s="11" t="s">
        <v>539</v>
      </c>
      <c r="L51" s="8" t="s">
        <v>301</v>
      </c>
      <c r="M51" s="8">
        <v>5</v>
      </c>
      <c r="N51" s="8" t="s">
        <v>468</v>
      </c>
      <c r="O51" s="8" t="s">
        <v>435</v>
      </c>
      <c r="P51" s="4" t="s">
        <v>239</v>
      </c>
    </row>
    <row r="52" spans="1:16" ht="75.599999999999994" customHeight="1">
      <c r="A52" s="10" t="s">
        <v>143</v>
      </c>
      <c r="B52" s="10" t="s">
        <v>540</v>
      </c>
      <c r="C52" s="8" t="s">
        <v>142</v>
      </c>
      <c r="D52" s="8" t="s">
        <v>531</v>
      </c>
      <c r="E52" s="4" t="s">
        <v>541</v>
      </c>
      <c r="F52" s="4" t="s">
        <v>542</v>
      </c>
      <c r="G52" s="11" t="s">
        <v>543</v>
      </c>
      <c r="H52" s="11" t="s">
        <v>544</v>
      </c>
      <c r="I52" s="11" t="s">
        <v>545</v>
      </c>
      <c r="J52" s="12" t="str">
        <f t="shared" si="1"/>
        <v>Como participante de un proceso, quiero recibir y administrar notificaciones de aprobaciones, rechazos, observaciones y cambios de estado, para saber cuándo debo actuar y acceder directamente al proceso</v>
      </c>
      <c r="K52" s="11" t="s">
        <v>546</v>
      </c>
      <c r="L52" s="8" t="s">
        <v>301</v>
      </c>
      <c r="M52" s="8">
        <v>5</v>
      </c>
      <c r="N52" s="8" t="s">
        <v>497</v>
      </c>
      <c r="O52" s="8" t="s">
        <v>435</v>
      </c>
      <c r="P52" s="4" t="s">
        <v>239</v>
      </c>
    </row>
    <row r="53" spans="1:16" ht="75.599999999999994" customHeight="1">
      <c r="A53" s="10" t="s">
        <v>145</v>
      </c>
      <c r="B53" s="10" t="s">
        <v>540</v>
      </c>
      <c r="C53" s="8" t="s">
        <v>142</v>
      </c>
      <c r="D53" s="8" t="s">
        <v>531</v>
      </c>
      <c r="E53" s="4" t="s">
        <v>541</v>
      </c>
      <c r="F53" s="4" t="s">
        <v>542</v>
      </c>
      <c r="G53" s="11" t="s">
        <v>543</v>
      </c>
      <c r="H53" s="11" t="s">
        <v>544</v>
      </c>
      <c r="I53" s="11" t="s">
        <v>545</v>
      </c>
      <c r="J53" s="12" t="str">
        <f t="shared" si="1"/>
        <v>Como participante de un proceso, quiero recibir y administrar notificaciones de aprobaciones, rechazos, observaciones y cambios de estado, para saber cuándo debo actuar y acceder directamente al proceso</v>
      </c>
      <c r="K53" s="11" t="s">
        <v>547</v>
      </c>
      <c r="L53" s="8" t="s">
        <v>301</v>
      </c>
      <c r="M53" s="8">
        <v>5</v>
      </c>
      <c r="N53" s="8" t="s">
        <v>497</v>
      </c>
      <c r="O53" s="8" t="s">
        <v>435</v>
      </c>
      <c r="P53" s="4" t="s">
        <v>239</v>
      </c>
    </row>
    <row r="54" spans="1:16" ht="75.599999999999994" customHeight="1">
      <c r="A54" s="10" t="s">
        <v>147</v>
      </c>
      <c r="B54" s="10" t="s">
        <v>540</v>
      </c>
      <c r="C54" s="8" t="s">
        <v>142</v>
      </c>
      <c r="D54" s="8" t="s">
        <v>531</v>
      </c>
      <c r="E54" s="4" t="s">
        <v>541</v>
      </c>
      <c r="F54" s="4" t="s">
        <v>542</v>
      </c>
      <c r="G54" s="11" t="s">
        <v>543</v>
      </c>
      <c r="H54" s="11" t="s">
        <v>544</v>
      </c>
      <c r="I54" s="11" t="s">
        <v>545</v>
      </c>
      <c r="J54" s="12" t="str">
        <f t="shared" si="1"/>
        <v>Como participante de un proceso, quiero recibir y administrar notificaciones de aprobaciones, rechazos, observaciones y cambios de estado, para saber cuándo debo actuar y acceder directamente al proceso</v>
      </c>
      <c r="K54" s="11" t="s">
        <v>548</v>
      </c>
      <c r="L54" s="8" t="s">
        <v>301</v>
      </c>
      <c r="M54" s="8">
        <v>5</v>
      </c>
      <c r="N54" s="8" t="s">
        <v>497</v>
      </c>
      <c r="O54" s="8" t="s">
        <v>435</v>
      </c>
      <c r="P54" s="4" t="s">
        <v>239</v>
      </c>
    </row>
    <row r="55" spans="1:16" ht="75.599999999999994" customHeight="1">
      <c r="A55" s="10" t="s">
        <v>149</v>
      </c>
      <c r="B55" s="10" t="s">
        <v>540</v>
      </c>
      <c r="C55" s="8" t="s">
        <v>142</v>
      </c>
      <c r="D55" s="8" t="s">
        <v>531</v>
      </c>
      <c r="E55" s="4" t="s">
        <v>541</v>
      </c>
      <c r="F55" s="4" t="s">
        <v>542</v>
      </c>
      <c r="G55" s="11" t="s">
        <v>543</v>
      </c>
      <c r="H55" s="11" t="s">
        <v>544</v>
      </c>
      <c r="I55" s="11" t="s">
        <v>545</v>
      </c>
      <c r="J55" s="12" t="str">
        <f t="shared" si="1"/>
        <v>Como participante de un proceso, quiero recibir y administrar notificaciones de aprobaciones, rechazos, observaciones y cambios de estado, para saber cuándo debo actuar y acceder directamente al proceso</v>
      </c>
      <c r="K55" s="11" t="s">
        <v>549</v>
      </c>
      <c r="L55" s="8" t="s">
        <v>301</v>
      </c>
      <c r="M55" s="8">
        <v>5</v>
      </c>
      <c r="N55" s="8" t="s">
        <v>497</v>
      </c>
      <c r="O55" s="8" t="s">
        <v>435</v>
      </c>
      <c r="P55" s="4" t="s">
        <v>239</v>
      </c>
    </row>
    <row r="56" spans="1:16" ht="62.1" customHeight="1">
      <c r="A56" s="10" t="s">
        <v>152</v>
      </c>
      <c r="B56" s="10" t="s">
        <v>550</v>
      </c>
      <c r="C56" s="8" t="s">
        <v>151</v>
      </c>
      <c r="D56" s="8" t="s">
        <v>531</v>
      </c>
      <c r="E56" s="4" t="s">
        <v>551</v>
      </c>
      <c r="F56" s="4" t="s">
        <v>552</v>
      </c>
      <c r="G56" s="11" t="s">
        <v>553</v>
      </c>
      <c r="H56" s="11" t="s">
        <v>554</v>
      </c>
      <c r="I56" s="11" t="s">
        <v>555</v>
      </c>
      <c r="J56" s="12" t="str">
        <f t="shared" si="1"/>
        <v>Como usuario participante o jefatura autorizada, quiero consultar el estado y el historial de cada proceso, para conocer quién realizó cada acción, cuándo y con qué resultado</v>
      </c>
      <c r="K56" s="11" t="s">
        <v>556</v>
      </c>
      <c r="L56" s="8" t="s">
        <v>301</v>
      </c>
      <c r="M56" s="8">
        <v>8</v>
      </c>
      <c r="N56" s="8" t="s">
        <v>557</v>
      </c>
      <c r="O56" s="8" t="s">
        <v>435</v>
      </c>
      <c r="P56" s="4" t="s">
        <v>239</v>
      </c>
    </row>
    <row r="57" spans="1:16" ht="62.1" customHeight="1">
      <c r="A57" s="10" t="s">
        <v>155</v>
      </c>
      <c r="B57" s="10" t="s">
        <v>550</v>
      </c>
      <c r="C57" s="8" t="s">
        <v>154</v>
      </c>
      <c r="D57" s="8" t="s">
        <v>531</v>
      </c>
      <c r="E57" s="4" t="s">
        <v>551</v>
      </c>
      <c r="F57" s="4" t="s">
        <v>552</v>
      </c>
      <c r="G57" s="11" t="s">
        <v>553</v>
      </c>
      <c r="H57" s="11" t="s">
        <v>554</v>
      </c>
      <c r="I57" s="11" t="s">
        <v>555</v>
      </c>
      <c r="J57" s="12" t="str">
        <f t="shared" si="1"/>
        <v>Como usuario participante o jefatura autorizada, quiero consultar el estado y el historial de cada proceso, para conocer quién realizó cada acción, cuándo y con qué resultado</v>
      </c>
      <c r="K57" s="11" t="s">
        <v>558</v>
      </c>
      <c r="L57" s="8" t="s">
        <v>301</v>
      </c>
      <c r="M57" s="8">
        <v>8</v>
      </c>
      <c r="N57" s="8" t="s">
        <v>557</v>
      </c>
      <c r="O57" s="8" t="s">
        <v>435</v>
      </c>
      <c r="P57" s="4" t="s">
        <v>239</v>
      </c>
    </row>
    <row r="58" spans="1:16" ht="62.1" customHeight="1">
      <c r="A58" s="10" t="s">
        <v>157</v>
      </c>
      <c r="B58" s="10" t="s">
        <v>550</v>
      </c>
      <c r="C58" s="8" t="s">
        <v>151</v>
      </c>
      <c r="D58" s="8" t="s">
        <v>531</v>
      </c>
      <c r="E58" s="4" t="s">
        <v>551</v>
      </c>
      <c r="F58" s="4" t="s">
        <v>552</v>
      </c>
      <c r="G58" s="11" t="s">
        <v>553</v>
      </c>
      <c r="H58" s="11" t="s">
        <v>554</v>
      </c>
      <c r="I58" s="11" t="s">
        <v>555</v>
      </c>
      <c r="J58" s="12" t="str">
        <f t="shared" si="1"/>
        <v>Como usuario participante o jefatura autorizada, quiero consultar el estado y el historial de cada proceso, para conocer quién realizó cada acción, cuándo y con qué resultado</v>
      </c>
      <c r="K58" s="11" t="s">
        <v>559</v>
      </c>
      <c r="L58" s="8" t="s">
        <v>301</v>
      </c>
      <c r="M58" s="8">
        <v>8</v>
      </c>
      <c r="N58" s="8" t="s">
        <v>557</v>
      </c>
      <c r="O58" s="8" t="s">
        <v>435</v>
      </c>
      <c r="P58" s="4" t="s">
        <v>239</v>
      </c>
    </row>
    <row r="59" spans="1:16" ht="62.1" customHeight="1">
      <c r="A59" s="10" t="s">
        <v>159</v>
      </c>
      <c r="B59" s="10" t="s">
        <v>550</v>
      </c>
      <c r="C59" s="8" t="s">
        <v>154</v>
      </c>
      <c r="D59" s="8" t="s">
        <v>531</v>
      </c>
      <c r="E59" s="4" t="s">
        <v>551</v>
      </c>
      <c r="F59" s="4" t="s">
        <v>552</v>
      </c>
      <c r="G59" s="11" t="s">
        <v>553</v>
      </c>
      <c r="H59" s="11" t="s">
        <v>554</v>
      </c>
      <c r="I59" s="11" t="s">
        <v>555</v>
      </c>
      <c r="J59" s="12" t="str">
        <f t="shared" si="1"/>
        <v>Como usuario participante o jefatura autorizada, quiero consultar el estado y el historial de cada proceso, para conocer quién realizó cada acción, cuándo y con qué resultado</v>
      </c>
      <c r="K59" s="11" t="s">
        <v>560</v>
      </c>
      <c r="L59" s="8" t="s">
        <v>301</v>
      </c>
      <c r="M59" s="8">
        <v>8</v>
      </c>
      <c r="N59" s="8" t="s">
        <v>557</v>
      </c>
      <c r="O59" s="8" t="s">
        <v>435</v>
      </c>
      <c r="P59" s="4" t="s">
        <v>239</v>
      </c>
    </row>
    <row r="60" spans="1:16" ht="75.599999999999994" customHeight="1">
      <c r="A60" s="10" t="s">
        <v>162</v>
      </c>
      <c r="B60" s="10" t="s">
        <v>561</v>
      </c>
      <c r="C60" s="8" t="s">
        <v>161</v>
      </c>
      <c r="D60" s="8" t="s">
        <v>562</v>
      </c>
      <c r="E60" s="4" t="s">
        <v>563</v>
      </c>
      <c r="F60" s="4" t="s">
        <v>564</v>
      </c>
      <c r="G60" s="11" t="s">
        <v>565</v>
      </c>
      <c r="H60" s="11" t="s">
        <v>566</v>
      </c>
      <c r="I60" s="11" t="s">
        <v>567</v>
      </c>
      <c r="J60" s="12" t="str">
        <f t="shared" si="1"/>
        <v>Como usuario autorizado de la plataforma, quiero obtener productos, clientes, stock y datos permitidos mediante la API de lectura, para trabajar desde la web sin modificar directamente la información oficial del ERP</v>
      </c>
      <c r="K60" s="11" t="s">
        <v>568</v>
      </c>
      <c r="L60" s="8" t="s">
        <v>301</v>
      </c>
      <c r="M60" s="8">
        <v>8</v>
      </c>
      <c r="N60" s="8" t="s">
        <v>497</v>
      </c>
      <c r="O60" s="8" t="s">
        <v>435</v>
      </c>
      <c r="P60" s="4" t="s">
        <v>256</v>
      </c>
    </row>
    <row r="61" spans="1:16" ht="75.599999999999994" customHeight="1">
      <c r="A61" s="10" t="s">
        <v>164</v>
      </c>
      <c r="B61" s="10" t="s">
        <v>561</v>
      </c>
      <c r="C61" s="8" t="s">
        <v>161</v>
      </c>
      <c r="D61" s="8" t="s">
        <v>562</v>
      </c>
      <c r="E61" s="4" t="s">
        <v>563</v>
      </c>
      <c r="F61" s="4" t="s">
        <v>564</v>
      </c>
      <c r="G61" s="11" t="s">
        <v>565</v>
      </c>
      <c r="H61" s="11" t="s">
        <v>566</v>
      </c>
      <c r="I61" s="11" t="s">
        <v>567</v>
      </c>
      <c r="J61" s="12" t="str">
        <f t="shared" si="1"/>
        <v>Como usuario autorizado de la plataforma, quiero obtener productos, clientes, stock y datos permitidos mediante la API de lectura, para trabajar desde la web sin modificar directamente la información oficial del ERP</v>
      </c>
      <c r="K61" s="11" t="s">
        <v>569</v>
      </c>
      <c r="L61" s="8" t="s">
        <v>301</v>
      </c>
      <c r="M61" s="8">
        <v>8</v>
      </c>
      <c r="N61" s="8" t="s">
        <v>497</v>
      </c>
      <c r="O61" s="8" t="s">
        <v>435</v>
      </c>
      <c r="P61" s="4" t="s">
        <v>256</v>
      </c>
    </row>
    <row r="62" spans="1:16" ht="75.599999999999994" customHeight="1">
      <c r="A62" s="10" t="s">
        <v>166</v>
      </c>
      <c r="B62" s="10" t="s">
        <v>561</v>
      </c>
      <c r="C62" s="8" t="s">
        <v>161</v>
      </c>
      <c r="D62" s="8" t="s">
        <v>562</v>
      </c>
      <c r="E62" s="4" t="s">
        <v>563</v>
      </c>
      <c r="F62" s="4" t="s">
        <v>564</v>
      </c>
      <c r="G62" s="11" t="s">
        <v>565</v>
      </c>
      <c r="H62" s="11" t="s">
        <v>566</v>
      </c>
      <c r="I62" s="11" t="s">
        <v>567</v>
      </c>
      <c r="J62" s="12" t="str">
        <f t="shared" si="1"/>
        <v>Como usuario autorizado de la plataforma, quiero obtener productos, clientes, stock y datos permitidos mediante la API de lectura, para trabajar desde la web sin modificar directamente la información oficial del ERP</v>
      </c>
      <c r="K62" s="11" t="s">
        <v>570</v>
      </c>
      <c r="L62" s="8" t="s">
        <v>301</v>
      </c>
      <c r="M62" s="8">
        <v>8</v>
      </c>
      <c r="N62" s="8" t="s">
        <v>497</v>
      </c>
      <c r="O62" s="8" t="s">
        <v>435</v>
      </c>
      <c r="P62" s="4" t="s">
        <v>256</v>
      </c>
    </row>
    <row r="63" spans="1:16" ht="75.599999999999994" customHeight="1">
      <c r="A63" s="10" t="s">
        <v>168</v>
      </c>
      <c r="B63" s="10" t="s">
        <v>561</v>
      </c>
      <c r="C63" s="8" t="s">
        <v>161</v>
      </c>
      <c r="D63" s="8" t="s">
        <v>562</v>
      </c>
      <c r="E63" s="4" t="s">
        <v>563</v>
      </c>
      <c r="F63" s="4" t="s">
        <v>564</v>
      </c>
      <c r="G63" s="11" t="s">
        <v>565</v>
      </c>
      <c r="H63" s="11" t="s">
        <v>566</v>
      </c>
      <c r="I63" s="11" t="s">
        <v>567</v>
      </c>
      <c r="J63" s="12" t="str">
        <f t="shared" si="1"/>
        <v>Como usuario autorizado de la plataforma, quiero obtener productos, clientes, stock y datos permitidos mediante la API de lectura, para trabajar desde la web sin modificar directamente la información oficial del ERP</v>
      </c>
      <c r="K63" s="11" t="s">
        <v>571</v>
      </c>
      <c r="L63" s="8" t="s">
        <v>301</v>
      </c>
      <c r="M63" s="8">
        <v>8</v>
      </c>
      <c r="N63" s="8" t="s">
        <v>497</v>
      </c>
      <c r="O63" s="8" t="s">
        <v>435</v>
      </c>
      <c r="P63" s="4" t="s">
        <v>256</v>
      </c>
    </row>
    <row r="64" spans="1:16" ht="62.1" customHeight="1">
      <c r="A64" s="10" t="s">
        <v>171</v>
      </c>
      <c r="B64" s="10" t="s">
        <v>572</v>
      </c>
      <c r="C64" s="8" t="s">
        <v>170</v>
      </c>
      <c r="D64" s="8" t="s">
        <v>562</v>
      </c>
      <c r="E64" s="4" t="s">
        <v>573</v>
      </c>
      <c r="F64" s="4" t="s">
        <v>574</v>
      </c>
      <c r="G64" s="11" t="s">
        <v>575</v>
      </c>
      <c r="H64" s="11" t="s">
        <v>576</v>
      </c>
      <c r="I64" s="11" t="s">
        <v>577</v>
      </c>
      <c r="J64" s="12" t="str">
        <f t="shared" si="1"/>
        <v>Como usuario autorizado, quiero enviar al ERP solo operaciones previamente validadas mediante Service Layer, para mantener la integridad y las reglas oficiales de SAP Business One</v>
      </c>
      <c r="K64" s="11" t="s">
        <v>578</v>
      </c>
      <c r="L64" s="8" t="s">
        <v>301</v>
      </c>
      <c r="M64" s="8">
        <v>8</v>
      </c>
      <c r="N64" s="8" t="s">
        <v>517</v>
      </c>
      <c r="O64" s="8" t="s">
        <v>435</v>
      </c>
      <c r="P64" s="4" t="s">
        <v>256</v>
      </c>
    </row>
    <row r="65" spans="1:16" ht="62.1" customHeight="1">
      <c r="A65" s="10" t="s">
        <v>173</v>
      </c>
      <c r="B65" s="10" t="s">
        <v>572</v>
      </c>
      <c r="C65" s="8" t="s">
        <v>170</v>
      </c>
      <c r="D65" s="8" t="s">
        <v>562</v>
      </c>
      <c r="E65" s="4" t="s">
        <v>573</v>
      </c>
      <c r="F65" s="4" t="s">
        <v>574</v>
      </c>
      <c r="G65" s="11" t="s">
        <v>575</v>
      </c>
      <c r="H65" s="11" t="s">
        <v>576</v>
      </c>
      <c r="I65" s="11" t="s">
        <v>577</v>
      </c>
      <c r="J65" s="12" t="str">
        <f t="shared" si="1"/>
        <v>Como usuario autorizado, quiero enviar al ERP solo operaciones previamente validadas mediante Service Layer, para mantener la integridad y las reglas oficiales de SAP Business One</v>
      </c>
      <c r="K65" s="11" t="s">
        <v>579</v>
      </c>
      <c r="L65" s="8" t="s">
        <v>301</v>
      </c>
      <c r="M65" s="8">
        <v>8</v>
      </c>
      <c r="N65" s="8" t="s">
        <v>517</v>
      </c>
      <c r="O65" s="8" t="s">
        <v>435</v>
      </c>
      <c r="P65" s="4" t="s">
        <v>256</v>
      </c>
    </row>
    <row r="66" spans="1:16" ht="62.1" customHeight="1">
      <c r="A66" s="10" t="s">
        <v>175</v>
      </c>
      <c r="B66" s="10" t="s">
        <v>572</v>
      </c>
      <c r="C66" s="8" t="s">
        <v>170</v>
      </c>
      <c r="D66" s="8" t="s">
        <v>562</v>
      </c>
      <c r="E66" s="4" t="s">
        <v>573</v>
      </c>
      <c r="F66" s="4" t="s">
        <v>574</v>
      </c>
      <c r="G66" s="11" t="s">
        <v>575</v>
      </c>
      <c r="H66" s="11" t="s">
        <v>576</v>
      </c>
      <c r="I66" s="11" t="s">
        <v>577</v>
      </c>
      <c r="J66" s="12" t="str">
        <f t="shared" si="1"/>
        <v>Como usuario autorizado, quiero enviar al ERP solo operaciones previamente validadas mediante Service Layer, para mantener la integridad y las reglas oficiales de SAP Business One</v>
      </c>
      <c r="K66" s="11" t="s">
        <v>580</v>
      </c>
      <c r="L66" s="8" t="s">
        <v>301</v>
      </c>
      <c r="M66" s="8">
        <v>8</v>
      </c>
      <c r="N66" s="8" t="s">
        <v>517</v>
      </c>
      <c r="O66" s="8" t="s">
        <v>435</v>
      </c>
      <c r="P66" s="4" t="s">
        <v>256</v>
      </c>
    </row>
    <row r="67" spans="1:16" ht="62.1" customHeight="1">
      <c r="A67" s="10" t="s">
        <v>177</v>
      </c>
      <c r="B67" s="10" t="s">
        <v>572</v>
      </c>
      <c r="C67" s="8" t="s">
        <v>170</v>
      </c>
      <c r="D67" s="8" t="s">
        <v>562</v>
      </c>
      <c r="E67" s="4" t="s">
        <v>573</v>
      </c>
      <c r="F67" s="4" t="s">
        <v>574</v>
      </c>
      <c r="G67" s="11" t="s">
        <v>575</v>
      </c>
      <c r="H67" s="11" t="s">
        <v>576</v>
      </c>
      <c r="I67" s="11" t="s">
        <v>577</v>
      </c>
      <c r="J67" s="12" t="str">
        <f t="shared" si="1"/>
        <v>Como usuario autorizado, quiero enviar al ERP solo operaciones previamente validadas mediante Service Layer, para mantener la integridad y las reglas oficiales de SAP Business One</v>
      </c>
      <c r="K67" s="11" t="s">
        <v>581</v>
      </c>
      <c r="L67" s="8" t="s">
        <v>301</v>
      </c>
      <c r="M67" s="8">
        <v>8</v>
      </c>
      <c r="N67" s="8" t="s">
        <v>517</v>
      </c>
      <c r="O67" s="8" t="s">
        <v>435</v>
      </c>
      <c r="P67" s="4" t="s">
        <v>256</v>
      </c>
    </row>
    <row r="68" spans="1:16" ht="62.1" customHeight="1">
      <c r="A68" s="10" t="s">
        <v>180</v>
      </c>
      <c r="B68" s="10" t="s">
        <v>582</v>
      </c>
      <c r="C68" s="8" t="s">
        <v>179</v>
      </c>
      <c r="D68" s="8" t="s">
        <v>562</v>
      </c>
      <c r="E68" s="4" t="s">
        <v>583</v>
      </c>
      <c r="F68" s="4" t="s">
        <v>584</v>
      </c>
      <c r="G68" s="11" t="s">
        <v>585</v>
      </c>
      <c r="H68" s="11" t="s">
        <v>586</v>
      </c>
      <c r="I68" s="11" t="s">
        <v>587</v>
      </c>
      <c r="J68" s="12" t="str">
        <f t="shared" si="1"/>
        <v>Como responsable de operación, quiero consultar el resultado de cada envío y reintentar los fallidos de forma segura, para resolver errores sin duplicar documentos ni líneas en el ERP</v>
      </c>
      <c r="K68" s="11" t="s">
        <v>588</v>
      </c>
      <c r="L68" s="8" t="s">
        <v>301</v>
      </c>
      <c r="M68" s="8">
        <v>8</v>
      </c>
      <c r="N68" s="8" t="s">
        <v>517</v>
      </c>
      <c r="O68" s="8" t="s">
        <v>435</v>
      </c>
      <c r="P68" s="4" t="s">
        <v>256</v>
      </c>
    </row>
    <row r="69" spans="1:16" ht="62.1" customHeight="1">
      <c r="A69" s="10" t="s">
        <v>182</v>
      </c>
      <c r="B69" s="10" t="s">
        <v>582</v>
      </c>
      <c r="C69" s="8" t="s">
        <v>179</v>
      </c>
      <c r="D69" s="8" t="s">
        <v>562</v>
      </c>
      <c r="E69" s="4" t="s">
        <v>583</v>
      </c>
      <c r="F69" s="4" t="s">
        <v>584</v>
      </c>
      <c r="G69" s="11" t="s">
        <v>585</v>
      </c>
      <c r="H69" s="11" t="s">
        <v>586</v>
      </c>
      <c r="I69" s="11" t="s">
        <v>587</v>
      </c>
      <c r="J69" s="12" t="str">
        <f t="shared" si="1"/>
        <v>Como responsable de operación, quiero consultar el resultado de cada envío y reintentar los fallidos de forma segura, para resolver errores sin duplicar documentos ni líneas en el ERP</v>
      </c>
      <c r="K69" s="11" t="s">
        <v>589</v>
      </c>
      <c r="L69" s="8" t="s">
        <v>301</v>
      </c>
      <c r="M69" s="8">
        <v>8</v>
      </c>
      <c r="N69" s="8" t="s">
        <v>517</v>
      </c>
      <c r="O69" s="8" t="s">
        <v>435</v>
      </c>
      <c r="P69" s="4" t="s">
        <v>256</v>
      </c>
    </row>
    <row r="70" spans="1:16" ht="62.1" customHeight="1">
      <c r="A70" s="10" t="s">
        <v>185</v>
      </c>
      <c r="B70" s="10" t="s">
        <v>582</v>
      </c>
      <c r="C70" s="8" t="s">
        <v>184</v>
      </c>
      <c r="D70" s="8" t="s">
        <v>562</v>
      </c>
      <c r="E70" s="4" t="s">
        <v>583</v>
      </c>
      <c r="F70" s="4" t="s">
        <v>584</v>
      </c>
      <c r="G70" s="11" t="s">
        <v>585</v>
      </c>
      <c r="H70" s="11" t="s">
        <v>586</v>
      </c>
      <c r="I70" s="11" t="s">
        <v>587</v>
      </c>
      <c r="J70" s="12" t="str">
        <f t="shared" ref="J70:J83" si="2">IF(OR(G70="",H70="",I70=""),"","Como "&amp;G70&amp;", quiero "&amp;H70&amp;", para "&amp;I70)</f>
        <v>Como responsable de operación, quiero consultar el resultado de cada envío y reintentar los fallidos de forma segura, para resolver errores sin duplicar documentos ni líneas en el ERP</v>
      </c>
      <c r="K70" s="11" t="s">
        <v>590</v>
      </c>
      <c r="L70" s="8" t="s">
        <v>301</v>
      </c>
      <c r="M70" s="8">
        <v>8</v>
      </c>
      <c r="N70" s="8" t="s">
        <v>517</v>
      </c>
      <c r="O70" s="8" t="s">
        <v>435</v>
      </c>
      <c r="P70" s="4" t="s">
        <v>256</v>
      </c>
    </row>
    <row r="71" spans="1:16" ht="62.1" customHeight="1">
      <c r="A71" s="10" t="s">
        <v>187</v>
      </c>
      <c r="B71" s="10" t="s">
        <v>582</v>
      </c>
      <c r="C71" s="8" t="s">
        <v>184</v>
      </c>
      <c r="D71" s="8" t="s">
        <v>562</v>
      </c>
      <c r="E71" s="4" t="s">
        <v>583</v>
      </c>
      <c r="F71" s="4" t="s">
        <v>584</v>
      </c>
      <c r="G71" s="11" t="s">
        <v>585</v>
      </c>
      <c r="H71" s="11" t="s">
        <v>586</v>
      </c>
      <c r="I71" s="11" t="s">
        <v>587</v>
      </c>
      <c r="J71" s="12" t="str">
        <f t="shared" si="2"/>
        <v>Como responsable de operación, quiero consultar el resultado de cada envío y reintentar los fallidos de forma segura, para resolver errores sin duplicar documentos ni líneas en el ERP</v>
      </c>
      <c r="K71" s="11" t="s">
        <v>591</v>
      </c>
      <c r="L71" s="8" t="s">
        <v>301</v>
      </c>
      <c r="M71" s="8">
        <v>8</v>
      </c>
      <c r="N71" s="8" t="s">
        <v>517</v>
      </c>
      <c r="O71" s="8" t="s">
        <v>435</v>
      </c>
      <c r="P71" s="4" t="s">
        <v>256</v>
      </c>
    </row>
    <row r="72" spans="1:16" ht="62.1" customHeight="1">
      <c r="A72" s="10" t="s">
        <v>190</v>
      </c>
      <c r="B72" s="10" t="s">
        <v>592</v>
      </c>
      <c r="C72" s="8" t="s">
        <v>189</v>
      </c>
      <c r="D72" s="8" t="s">
        <v>593</v>
      </c>
      <c r="E72" s="4" t="s">
        <v>594</v>
      </c>
      <c r="F72" s="4" t="s">
        <v>595</v>
      </c>
      <c r="G72" s="11" t="s">
        <v>493</v>
      </c>
      <c r="H72" s="11" t="s">
        <v>596</v>
      </c>
      <c r="I72" s="11" t="s">
        <v>597</v>
      </c>
      <c r="J72" s="12" t="str">
        <f t="shared" si="2"/>
        <v>Como vendedor o asistente de vendedor, quiero registrar un caso de posventa con cliente, productos, respaldo y evidencias, para iniciar formalmente su evaluación y seguimiento</v>
      </c>
      <c r="K72" s="11" t="s">
        <v>598</v>
      </c>
      <c r="L72" s="8" t="s">
        <v>301</v>
      </c>
      <c r="M72" s="8">
        <v>8</v>
      </c>
      <c r="N72" s="8" t="s">
        <v>557</v>
      </c>
      <c r="O72" s="8" t="s">
        <v>435</v>
      </c>
      <c r="P72" s="4" t="s">
        <v>262</v>
      </c>
    </row>
    <row r="73" spans="1:16" ht="62.1" customHeight="1">
      <c r="A73" s="10" t="s">
        <v>192</v>
      </c>
      <c r="B73" s="10" t="s">
        <v>592</v>
      </c>
      <c r="C73" s="8" t="s">
        <v>189</v>
      </c>
      <c r="D73" s="8" t="s">
        <v>593</v>
      </c>
      <c r="E73" s="4" t="s">
        <v>594</v>
      </c>
      <c r="F73" s="4" t="s">
        <v>595</v>
      </c>
      <c r="G73" s="11" t="s">
        <v>493</v>
      </c>
      <c r="H73" s="11" t="s">
        <v>596</v>
      </c>
      <c r="I73" s="11" t="s">
        <v>597</v>
      </c>
      <c r="J73" s="12" t="str">
        <f t="shared" si="2"/>
        <v>Como vendedor o asistente de vendedor, quiero registrar un caso de posventa con cliente, productos, respaldo y evidencias, para iniciar formalmente su evaluación y seguimiento</v>
      </c>
      <c r="K73" s="11" t="s">
        <v>599</v>
      </c>
      <c r="L73" s="8" t="s">
        <v>301</v>
      </c>
      <c r="M73" s="8">
        <v>8</v>
      </c>
      <c r="N73" s="8" t="s">
        <v>557</v>
      </c>
      <c r="O73" s="8" t="s">
        <v>435</v>
      </c>
      <c r="P73" s="4" t="s">
        <v>262</v>
      </c>
    </row>
    <row r="74" spans="1:16" ht="62.1" customHeight="1">
      <c r="A74" s="10" t="s">
        <v>195</v>
      </c>
      <c r="B74" s="10" t="s">
        <v>592</v>
      </c>
      <c r="C74" s="8" t="s">
        <v>194</v>
      </c>
      <c r="D74" s="8" t="s">
        <v>593</v>
      </c>
      <c r="E74" s="4" t="s">
        <v>594</v>
      </c>
      <c r="F74" s="4" t="s">
        <v>595</v>
      </c>
      <c r="G74" s="11" t="s">
        <v>493</v>
      </c>
      <c r="H74" s="11" t="s">
        <v>596</v>
      </c>
      <c r="I74" s="11" t="s">
        <v>597</v>
      </c>
      <c r="J74" s="12" t="str">
        <f t="shared" si="2"/>
        <v>Como vendedor o asistente de vendedor, quiero registrar un caso de posventa con cliente, productos, respaldo y evidencias, para iniciar formalmente su evaluación y seguimiento</v>
      </c>
      <c r="K74" s="11" t="s">
        <v>600</v>
      </c>
      <c r="L74" s="8" t="s">
        <v>301</v>
      </c>
      <c r="M74" s="8">
        <v>8</v>
      </c>
      <c r="N74" s="8" t="s">
        <v>557</v>
      </c>
      <c r="O74" s="8" t="s">
        <v>435</v>
      </c>
      <c r="P74" s="4" t="s">
        <v>262</v>
      </c>
    </row>
    <row r="75" spans="1:16" ht="62.1" customHeight="1">
      <c r="A75" s="10" t="s">
        <v>197</v>
      </c>
      <c r="B75" s="10" t="s">
        <v>592</v>
      </c>
      <c r="C75" s="8" t="s">
        <v>194</v>
      </c>
      <c r="D75" s="8" t="s">
        <v>593</v>
      </c>
      <c r="E75" s="4" t="s">
        <v>594</v>
      </c>
      <c r="F75" s="4" t="s">
        <v>595</v>
      </c>
      <c r="G75" s="11" t="s">
        <v>493</v>
      </c>
      <c r="H75" s="11" t="s">
        <v>596</v>
      </c>
      <c r="I75" s="11" t="s">
        <v>597</v>
      </c>
      <c r="J75" s="12" t="str">
        <f t="shared" si="2"/>
        <v>Como vendedor o asistente de vendedor, quiero registrar un caso de posventa con cliente, productos, respaldo y evidencias, para iniciar formalmente su evaluación y seguimiento</v>
      </c>
      <c r="K75" s="11" t="s">
        <v>601</v>
      </c>
      <c r="L75" s="8" t="s">
        <v>301</v>
      </c>
      <c r="M75" s="8">
        <v>8</v>
      </c>
      <c r="N75" s="8" t="s">
        <v>557</v>
      </c>
      <c r="O75" s="8" t="s">
        <v>435</v>
      </c>
      <c r="P75" s="4" t="s">
        <v>262</v>
      </c>
    </row>
    <row r="76" spans="1:16" ht="62.1" customHeight="1">
      <c r="A76" s="10" t="s">
        <v>200</v>
      </c>
      <c r="B76" s="10" t="s">
        <v>602</v>
      </c>
      <c r="C76" s="8" t="s">
        <v>199</v>
      </c>
      <c r="D76" s="8" t="s">
        <v>593</v>
      </c>
      <c r="E76" s="4" t="s">
        <v>603</v>
      </c>
      <c r="F76" s="4" t="s">
        <v>604</v>
      </c>
      <c r="G76" s="11" t="s">
        <v>605</v>
      </c>
      <c r="H76" s="11" t="s">
        <v>606</v>
      </c>
      <c r="I76" s="11" t="s">
        <v>607</v>
      </c>
      <c r="J76" s="12" t="str">
        <f t="shared" si="2"/>
        <v>Como autorizador de posventa, quiero evaluar las condiciones, aprobar o rechazar el caso y liberar su comprobante QR, para respaldar la decisión y continuar el flujo con el cliente</v>
      </c>
      <c r="K76" s="11" t="s">
        <v>927</v>
      </c>
      <c r="L76" s="8" t="s">
        <v>301</v>
      </c>
      <c r="M76" s="8">
        <v>8</v>
      </c>
      <c r="N76" s="8" t="s">
        <v>557</v>
      </c>
      <c r="O76" s="8" t="s">
        <v>435</v>
      </c>
      <c r="P76" s="4" t="s">
        <v>239</v>
      </c>
    </row>
    <row r="77" spans="1:16" ht="62.1" customHeight="1">
      <c r="A77" s="10" t="s">
        <v>203</v>
      </c>
      <c r="B77" s="10" t="s">
        <v>602</v>
      </c>
      <c r="C77" s="8" t="s">
        <v>202</v>
      </c>
      <c r="D77" s="8" t="s">
        <v>593</v>
      </c>
      <c r="E77" s="4" t="s">
        <v>603</v>
      </c>
      <c r="F77" s="4" t="s">
        <v>604</v>
      </c>
      <c r="G77" s="11" t="s">
        <v>605</v>
      </c>
      <c r="H77" s="11" t="s">
        <v>606</v>
      </c>
      <c r="I77" s="11" t="s">
        <v>607</v>
      </c>
      <c r="J77" s="12" t="str">
        <f t="shared" si="2"/>
        <v>Como autorizador de posventa, quiero evaluar las condiciones, aprobar o rechazar el caso y liberar su comprobante QR, para respaldar la decisión y continuar el flujo con el cliente</v>
      </c>
      <c r="K77" s="11" t="s">
        <v>608</v>
      </c>
      <c r="L77" s="8" t="s">
        <v>301</v>
      </c>
      <c r="M77" s="8">
        <v>8</v>
      </c>
      <c r="N77" s="8" t="s">
        <v>557</v>
      </c>
      <c r="O77" s="8" t="s">
        <v>435</v>
      </c>
      <c r="P77" s="4" t="s">
        <v>239</v>
      </c>
    </row>
    <row r="78" spans="1:16" ht="62.1" customHeight="1">
      <c r="A78" s="10" t="s">
        <v>206</v>
      </c>
      <c r="B78" s="10" t="s">
        <v>602</v>
      </c>
      <c r="C78" s="8" t="s">
        <v>205</v>
      </c>
      <c r="D78" s="8" t="s">
        <v>593</v>
      </c>
      <c r="E78" s="4" t="s">
        <v>603</v>
      </c>
      <c r="F78" s="4" t="s">
        <v>604</v>
      </c>
      <c r="G78" s="11" t="s">
        <v>605</v>
      </c>
      <c r="H78" s="11" t="s">
        <v>606</v>
      </c>
      <c r="I78" s="11" t="s">
        <v>607</v>
      </c>
      <c r="J78" s="12" t="str">
        <f t="shared" si="2"/>
        <v>Como autorizador de posventa, quiero evaluar las condiciones, aprobar o rechazar el caso y liberar su comprobante QR, para respaldar la decisión y continuar el flujo con el cliente</v>
      </c>
      <c r="K78" s="11" t="s">
        <v>609</v>
      </c>
      <c r="L78" s="8" t="s">
        <v>301</v>
      </c>
      <c r="M78" s="8">
        <v>8</v>
      </c>
      <c r="N78" s="8" t="s">
        <v>557</v>
      </c>
      <c r="O78" s="8" t="s">
        <v>435</v>
      </c>
      <c r="P78" s="4" t="s">
        <v>239</v>
      </c>
    </row>
    <row r="79" spans="1:16" ht="62.1" customHeight="1">
      <c r="A79" s="10" t="s">
        <v>208</v>
      </c>
      <c r="B79" s="10" t="s">
        <v>602</v>
      </c>
      <c r="C79" s="8" t="s">
        <v>205</v>
      </c>
      <c r="D79" s="8" t="s">
        <v>593</v>
      </c>
      <c r="E79" s="4" t="s">
        <v>603</v>
      </c>
      <c r="F79" s="4" t="s">
        <v>604</v>
      </c>
      <c r="G79" s="11" t="s">
        <v>605</v>
      </c>
      <c r="H79" s="11" t="s">
        <v>606</v>
      </c>
      <c r="I79" s="11" t="s">
        <v>607</v>
      </c>
      <c r="J79" s="12" t="str">
        <f t="shared" si="2"/>
        <v>Como autorizador de posventa, quiero evaluar las condiciones, aprobar o rechazar el caso y liberar su comprobante QR, para respaldar la decisión y continuar el flujo con el cliente</v>
      </c>
      <c r="K79" s="11" t="s">
        <v>610</v>
      </c>
      <c r="L79" s="8" t="s">
        <v>301</v>
      </c>
      <c r="M79" s="8">
        <v>8</v>
      </c>
      <c r="N79" s="8" t="s">
        <v>557</v>
      </c>
      <c r="O79" s="8" t="s">
        <v>435</v>
      </c>
      <c r="P79" s="4" t="s">
        <v>239</v>
      </c>
    </row>
    <row r="80" spans="1:16" ht="62.1" customHeight="1">
      <c r="A80" s="10" t="s">
        <v>211</v>
      </c>
      <c r="B80" s="10" t="s">
        <v>611</v>
      </c>
      <c r="C80" s="8" t="s">
        <v>210</v>
      </c>
      <c r="D80" s="8" t="s">
        <v>593</v>
      </c>
      <c r="E80" s="4" t="s">
        <v>612</v>
      </c>
      <c r="F80" s="4" t="s">
        <v>613</v>
      </c>
      <c r="G80" s="11" t="s">
        <v>605</v>
      </c>
      <c r="H80" s="11" t="s">
        <v>614</v>
      </c>
      <c r="I80" s="11" t="s">
        <v>615</v>
      </c>
      <c r="J80" s="12" t="str">
        <f t="shared" si="2"/>
        <v>Como autorizador de posventa, quiero actualizar el caso por sus estados y registrar su resolución final, para mantener el seguimiento hasta un cierre controlado</v>
      </c>
      <c r="K80" s="11" t="s">
        <v>616</v>
      </c>
      <c r="L80" s="8" t="s">
        <v>301</v>
      </c>
      <c r="M80" s="8">
        <v>8</v>
      </c>
      <c r="N80" s="8" t="s">
        <v>617</v>
      </c>
      <c r="O80" s="8" t="s">
        <v>435</v>
      </c>
      <c r="P80" s="4" t="s">
        <v>262</v>
      </c>
    </row>
    <row r="81" spans="1:16" ht="62.1" customHeight="1">
      <c r="A81" s="10" t="s">
        <v>213</v>
      </c>
      <c r="B81" s="10" t="s">
        <v>611</v>
      </c>
      <c r="C81" s="8" t="s">
        <v>210</v>
      </c>
      <c r="D81" s="8" t="s">
        <v>593</v>
      </c>
      <c r="E81" s="4" t="s">
        <v>612</v>
      </c>
      <c r="F81" s="4" t="s">
        <v>613</v>
      </c>
      <c r="G81" s="11" t="s">
        <v>605</v>
      </c>
      <c r="H81" s="11" t="s">
        <v>614</v>
      </c>
      <c r="I81" s="11" t="s">
        <v>615</v>
      </c>
      <c r="J81" s="12" t="str">
        <f t="shared" si="2"/>
        <v>Como autorizador de posventa, quiero actualizar el caso por sus estados y registrar su resolución final, para mantener el seguimiento hasta un cierre controlado</v>
      </c>
      <c r="K81" s="11" t="s">
        <v>618</v>
      </c>
      <c r="L81" s="8" t="s">
        <v>301</v>
      </c>
      <c r="M81" s="8">
        <v>8</v>
      </c>
      <c r="N81" s="8" t="s">
        <v>617</v>
      </c>
      <c r="O81" s="8" t="s">
        <v>435</v>
      </c>
      <c r="P81" s="4" t="s">
        <v>262</v>
      </c>
    </row>
    <row r="82" spans="1:16" ht="62.1" customHeight="1">
      <c r="A82" s="10" t="s">
        <v>215</v>
      </c>
      <c r="B82" s="10" t="s">
        <v>611</v>
      </c>
      <c r="C82" s="8" t="s">
        <v>210</v>
      </c>
      <c r="D82" s="8" t="s">
        <v>593</v>
      </c>
      <c r="E82" s="4" t="s">
        <v>612</v>
      </c>
      <c r="F82" s="4" t="s">
        <v>613</v>
      </c>
      <c r="G82" s="11" t="s">
        <v>605</v>
      </c>
      <c r="H82" s="11" t="s">
        <v>614</v>
      </c>
      <c r="I82" s="11" t="s">
        <v>615</v>
      </c>
      <c r="J82" s="12" t="str">
        <f t="shared" si="2"/>
        <v>Como autorizador de posventa, quiero actualizar el caso por sus estados y registrar su resolución final, para mantener el seguimiento hasta un cierre controlado</v>
      </c>
      <c r="K82" s="11" t="s">
        <v>619</v>
      </c>
      <c r="L82" s="8" t="s">
        <v>301</v>
      </c>
      <c r="M82" s="8">
        <v>8</v>
      </c>
      <c r="N82" s="8" t="s">
        <v>617</v>
      </c>
      <c r="O82" s="8" t="s">
        <v>435</v>
      </c>
      <c r="P82" s="4" t="s">
        <v>262</v>
      </c>
    </row>
    <row r="83" spans="1:16" ht="62.1" customHeight="1">
      <c r="A83" s="10" t="s">
        <v>218</v>
      </c>
      <c r="B83" s="10" t="s">
        <v>611</v>
      </c>
      <c r="C83" s="8" t="s">
        <v>217</v>
      </c>
      <c r="D83" s="8" t="s">
        <v>593</v>
      </c>
      <c r="E83" s="4" t="s">
        <v>612</v>
      </c>
      <c r="F83" s="4" t="s">
        <v>613</v>
      </c>
      <c r="G83" s="11" t="s">
        <v>605</v>
      </c>
      <c r="H83" s="11" t="s">
        <v>614</v>
      </c>
      <c r="I83" s="11" t="s">
        <v>615</v>
      </c>
      <c r="J83" s="12" t="str">
        <f t="shared" si="2"/>
        <v>Como autorizador de posventa, quiero actualizar el caso por sus estados y registrar su resolución final, para mantener el seguimiento hasta un cierre controlado</v>
      </c>
      <c r="K83" s="11" t="s">
        <v>620</v>
      </c>
      <c r="L83" s="8" t="s">
        <v>301</v>
      </c>
      <c r="M83" s="8">
        <v>8</v>
      </c>
      <c r="N83" s="8" t="s">
        <v>617</v>
      </c>
      <c r="O83" s="8" t="s">
        <v>435</v>
      </c>
      <c r="P83" s="4" t="s">
        <v>262</v>
      </c>
    </row>
  </sheetData>
  <mergeCells count="2">
    <mergeCell ref="A4:P4"/>
    <mergeCell ref="A2:P2"/>
  </mergeCells>
  <dataValidations count="3">
    <dataValidation type="list" sqref="L6:L83" xr:uid="{00000000-0002-0000-0300-000001000000}">
      <formula1>"Crítica,Alta,Media,Baja"</formula1>
    </dataValidation>
    <dataValidation type="whole" sqref="M6:M83" xr:uid="{00000000-0002-0000-0300-000002000000}">
      <formula1>0</formula1>
      <formula2>100</formula2>
    </dataValidation>
    <dataValidation type="list" sqref="O6:O83" xr:uid="{00000000-0002-0000-0300-000003000000}">
      <formula1>"Propuesto,En refinamiento,Listo,En Sprint,En curso,En pruebas,Terminado,Bloqueado"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300-000000000000}">
          <x14:formula1>
            <xm:f>Requerimientos!$A$6:$A$43</xm:f>
          </x14:formula1>
          <xm:sqref>C6:C83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6E0B4"/>
  </sheetPr>
  <dimension ref="A2:O83"/>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9" defaultRowHeight="14.25"/>
  <cols>
    <col min="1" max="1" width="15" customWidth="1"/>
    <col min="2" max="2" width="12" customWidth="1"/>
    <col min="3" max="3" width="11" customWidth="1"/>
    <col min="4" max="4" width="16" customWidth="1"/>
    <col min="5" max="6" width="28" customWidth="1"/>
    <col min="7" max="7" width="38" customWidth="1"/>
    <col min="8" max="9" width="32" customWidth="1"/>
    <col min="10" max="10" width="16" customWidth="1"/>
    <col min="11" max="11" width="13" customWidth="1"/>
    <col min="12" max="12" width="30" customWidth="1"/>
    <col min="13" max="13" width="13" customWidth="1"/>
    <col min="14" max="14" width="20" customWidth="1"/>
    <col min="15" max="15" width="28" customWidth="1"/>
  </cols>
  <sheetData>
    <row r="2" spans="1:15" ht="27.95" customHeight="1">
      <c r="A2" s="17" t="s">
        <v>621</v>
      </c>
      <c r="B2" s="18"/>
      <c r="C2" s="18"/>
      <c r="D2" s="18"/>
      <c r="E2" s="18"/>
      <c r="F2" s="18"/>
      <c r="G2" s="18"/>
      <c r="H2" s="18"/>
      <c r="I2" s="18"/>
      <c r="J2" s="18"/>
      <c r="K2" s="18"/>
      <c r="L2" s="18"/>
      <c r="M2" s="18"/>
      <c r="N2" s="18"/>
      <c r="O2" s="18"/>
    </row>
    <row r="3" spans="1:15" ht="15">
      <c r="A3" s="15"/>
      <c r="B3" s="15"/>
      <c r="C3" s="15"/>
      <c r="D3" s="15"/>
      <c r="E3" s="15"/>
      <c r="F3" s="15"/>
      <c r="G3" s="15"/>
      <c r="H3" s="15"/>
      <c r="I3" s="15"/>
      <c r="J3" s="15"/>
      <c r="K3" s="15"/>
      <c r="L3" s="15"/>
      <c r="M3" s="15"/>
      <c r="N3" s="15"/>
      <c r="O3" s="15"/>
    </row>
    <row r="4" spans="1:15" ht="27.95" customHeight="1">
      <c r="A4" s="19" t="s">
        <v>622</v>
      </c>
      <c r="B4" s="18"/>
      <c r="C4" s="18"/>
      <c r="D4" s="18"/>
      <c r="E4" s="18"/>
      <c r="F4" s="18"/>
      <c r="G4" s="18"/>
      <c r="H4" s="18"/>
      <c r="I4" s="18"/>
      <c r="J4" s="18"/>
      <c r="K4" s="18"/>
      <c r="L4" s="18"/>
      <c r="M4" s="18"/>
      <c r="N4" s="18"/>
      <c r="O4" s="18"/>
    </row>
    <row r="5" spans="1:15" ht="38.1" customHeight="1">
      <c r="A5" s="3" t="s">
        <v>623</v>
      </c>
      <c r="B5" s="3" t="s">
        <v>18</v>
      </c>
      <c r="C5" s="3" t="s">
        <v>16</v>
      </c>
      <c r="D5" s="3" t="s">
        <v>14</v>
      </c>
      <c r="E5" s="3" t="s">
        <v>21</v>
      </c>
      <c r="F5" s="3" t="s">
        <v>624</v>
      </c>
      <c r="G5" s="3" t="s">
        <v>625</v>
      </c>
      <c r="H5" s="3" t="s">
        <v>626</v>
      </c>
      <c r="I5" s="3" t="s">
        <v>627</v>
      </c>
      <c r="J5" s="3" t="s">
        <v>22</v>
      </c>
      <c r="K5" s="3" t="s">
        <v>23</v>
      </c>
      <c r="L5" s="3" t="s">
        <v>628</v>
      </c>
      <c r="M5" s="3" t="s">
        <v>629</v>
      </c>
      <c r="N5" s="3" t="s">
        <v>225</v>
      </c>
      <c r="O5" s="3" t="s">
        <v>25</v>
      </c>
    </row>
    <row r="6" spans="1:15" ht="62.1" customHeight="1">
      <c r="A6" s="10" t="s">
        <v>28</v>
      </c>
      <c r="B6" s="8" t="s">
        <v>27</v>
      </c>
      <c r="C6" s="7" t="str">
        <f>IF($B6="","",IFERROR(IF(VLOOKUP($B6,'Historias y criterios'!$A$6:$P$83,2,FALSE)="","",VLOOKUP($B6,'Historias y criterios'!$A$6:$P$83,2,FALSE)),"ID no encontrado"))</f>
        <v>HU-001</v>
      </c>
      <c r="D6" s="7" t="str">
        <f>IF($B6="","",IFERROR(IF(VLOOKUP($B6,'Historias y criterios'!$A$6:$P$83,3,FALSE)="","",VLOOKUP($B6,'Historias y criterios'!$A$6:$P$83,3,FALSE)),"ID no encontrado"))</f>
        <v>RF-01</v>
      </c>
      <c r="E6" s="11" t="s">
        <v>630</v>
      </c>
      <c r="F6" s="11" t="s">
        <v>928</v>
      </c>
      <c r="G6" s="11" t="s">
        <v>631</v>
      </c>
      <c r="H6" s="11" t="s">
        <v>632</v>
      </c>
      <c r="I6" s="11" t="s">
        <v>958</v>
      </c>
      <c r="J6" s="8" t="s">
        <v>959</v>
      </c>
      <c r="K6" s="8"/>
      <c r="L6" s="4" t="s">
        <v>960</v>
      </c>
      <c r="M6" s="13" t="s">
        <v>961</v>
      </c>
      <c r="N6" s="4" t="s">
        <v>232</v>
      </c>
      <c r="O6" s="4"/>
    </row>
    <row r="7" spans="1:15" ht="62.1" customHeight="1">
      <c r="A7" s="10" t="s">
        <v>30</v>
      </c>
      <c r="B7" s="8" t="s">
        <v>29</v>
      </c>
      <c r="C7" s="7" t="str">
        <f>IF($B7="","",IFERROR(IF(VLOOKUP($B7,'Historias y criterios'!$A$6:$P$83,2,FALSE)="","",VLOOKUP($B7,'Historias y criterios'!$A$6:$P$83,2,FALSE)),"ID no encontrado"))</f>
        <v>HU-001</v>
      </c>
      <c r="D7" s="7" t="str">
        <f>IF($B7="","",IFERROR(IF(VLOOKUP($B7,'Historias y criterios'!$A$6:$P$83,3,FALSE)="","",VLOOKUP($B7,'Historias y criterios'!$A$6:$P$83,3,FALSE)),"ID no encontrado"))</f>
        <v>RF-01</v>
      </c>
      <c r="E7" s="11" t="s">
        <v>634</v>
      </c>
      <c r="F7" s="11" t="s">
        <v>635</v>
      </c>
      <c r="G7" s="11" t="s">
        <v>636</v>
      </c>
      <c r="H7" s="11" t="s">
        <v>637</v>
      </c>
      <c r="I7" s="11" t="s">
        <v>958</v>
      </c>
      <c r="J7" s="8" t="s">
        <v>959</v>
      </c>
      <c r="K7" s="8"/>
      <c r="L7" s="4" t="s">
        <v>962</v>
      </c>
      <c r="M7" s="13" t="s">
        <v>961</v>
      </c>
      <c r="N7" s="4" t="s">
        <v>232</v>
      </c>
      <c r="O7" s="4"/>
    </row>
    <row r="8" spans="1:15" ht="89.1" customHeight="1">
      <c r="A8" s="10" t="s">
        <v>32</v>
      </c>
      <c r="B8" s="8" t="s">
        <v>31</v>
      </c>
      <c r="C8" s="7" t="str">
        <f>IF($B8="","",IFERROR(IF(VLOOKUP($B8,'Historias y criterios'!$A$6:$P$83,2,FALSE)="","",VLOOKUP($B8,'Historias y criterios'!$A$6:$P$83,2,FALSE)),"ID no encontrado"))</f>
        <v>HU-001</v>
      </c>
      <c r="D8" s="7" t="str">
        <f>IF($B8="","",IFERROR(IF(VLOOKUP($B8,'Historias y criterios'!$A$6:$P$83,3,FALSE)="","",VLOOKUP($B8,'Historias y criterios'!$A$6:$P$83,3,FALSE)),"ID no encontrado"))</f>
        <v>RF-01</v>
      </c>
      <c r="E8" s="11" t="s">
        <v>638</v>
      </c>
      <c r="F8" s="11" t="s">
        <v>639</v>
      </c>
      <c r="G8" s="11" t="s">
        <v>929</v>
      </c>
      <c r="H8" s="11" t="s">
        <v>640</v>
      </c>
      <c r="I8" s="11" t="s">
        <v>958</v>
      </c>
      <c r="J8" s="8" t="s">
        <v>959</v>
      </c>
      <c r="K8" s="8"/>
      <c r="L8" s="4" t="s">
        <v>963</v>
      </c>
      <c r="M8" s="13" t="s">
        <v>961</v>
      </c>
      <c r="N8" s="4" t="s">
        <v>232</v>
      </c>
      <c r="O8" s="4"/>
    </row>
    <row r="9" spans="1:15" ht="62.1" customHeight="1">
      <c r="A9" s="10" t="s">
        <v>35</v>
      </c>
      <c r="B9" s="8" t="s">
        <v>34</v>
      </c>
      <c r="C9" s="7" t="str">
        <f>IF($B9="","",IFERROR(IF(VLOOKUP($B9,'Historias y criterios'!$A$6:$P$83,2,FALSE)="","",VLOOKUP($B9,'Historias y criterios'!$A$6:$P$83,2,FALSE)),"ID no encontrado"))</f>
        <v>HU-002</v>
      </c>
      <c r="D9" s="7" t="str">
        <f>IF($B9="","",IFERROR(IF(VLOOKUP($B9,'Historias y criterios'!$A$6:$P$83,3,FALSE)="","",VLOOKUP($B9,'Historias y criterios'!$A$6:$P$83,3,FALSE)),"ID no encontrado"))</f>
        <v>RF-02</v>
      </c>
      <c r="E9" s="11" t="s">
        <v>955</v>
      </c>
      <c r="F9" s="11" t="s">
        <v>930</v>
      </c>
      <c r="G9" s="11" t="s">
        <v>931</v>
      </c>
      <c r="H9" s="11" t="s">
        <v>932</v>
      </c>
      <c r="I9" s="11" t="s">
        <v>958</v>
      </c>
      <c r="J9" s="8" t="s">
        <v>959</v>
      </c>
      <c r="K9" s="8"/>
      <c r="L9" s="4" t="s">
        <v>964</v>
      </c>
      <c r="M9" s="13" t="s">
        <v>961</v>
      </c>
      <c r="N9" s="4" t="s">
        <v>232</v>
      </c>
      <c r="O9" s="4"/>
    </row>
    <row r="10" spans="1:15" ht="62.1" customHeight="1">
      <c r="A10" s="10" t="s">
        <v>38</v>
      </c>
      <c r="B10" s="8" t="s">
        <v>37</v>
      </c>
      <c r="C10" s="7" t="str">
        <f>IF($B10="","",IFERROR(IF(VLOOKUP($B10,'Historias y criterios'!$A$6:$P$83,2,FALSE)="","",VLOOKUP($B10,'Historias y criterios'!$A$6:$P$83,2,FALSE)),"ID no encontrado"))</f>
        <v>HU-002</v>
      </c>
      <c r="D10" s="7" t="str">
        <f>IF($B10="","",IFERROR(IF(VLOOKUP($B10,'Historias y criterios'!$A$6:$P$83,3,FALSE)="","",VLOOKUP($B10,'Historias y criterios'!$A$6:$P$83,3,FALSE)),"ID no encontrado"))</f>
        <v>RF-04</v>
      </c>
      <c r="E10" s="11" t="s">
        <v>641</v>
      </c>
      <c r="F10" s="11" t="s">
        <v>642</v>
      </c>
      <c r="G10" s="11" t="s">
        <v>643</v>
      </c>
      <c r="H10" s="11" t="s">
        <v>644</v>
      </c>
      <c r="I10" s="11" t="s">
        <v>958</v>
      </c>
      <c r="J10" s="8" t="s">
        <v>959</v>
      </c>
      <c r="K10" s="8"/>
      <c r="L10" s="4" t="s">
        <v>965</v>
      </c>
      <c r="M10" s="13" t="s">
        <v>961</v>
      </c>
      <c r="N10" s="4" t="s">
        <v>232</v>
      </c>
      <c r="O10" s="4"/>
    </row>
    <row r="11" spans="1:15" ht="75.599999999999994" customHeight="1">
      <c r="A11" s="10" t="s">
        <v>40</v>
      </c>
      <c r="B11" s="8" t="s">
        <v>39</v>
      </c>
      <c r="C11" s="7" t="str">
        <f>IF($B11="","",IFERROR(IF(VLOOKUP($B11,'Historias y criterios'!$A$6:$P$83,2,FALSE)="","",VLOOKUP($B11,'Historias y criterios'!$A$6:$P$83,2,FALSE)),"ID no encontrado"))</f>
        <v>HU-002</v>
      </c>
      <c r="D11" s="7" t="str">
        <f>IF($B11="","",IFERROR(IF(VLOOKUP($B11,'Historias y criterios'!$A$6:$P$83,3,FALSE)="","",VLOOKUP($B11,'Historias y criterios'!$A$6:$P$83,3,FALSE)),"ID no encontrado"))</f>
        <v>RF-04</v>
      </c>
      <c r="E11" s="11" t="s">
        <v>645</v>
      </c>
      <c r="F11" s="11" t="s">
        <v>646</v>
      </c>
      <c r="G11" s="11" t="s">
        <v>647</v>
      </c>
      <c r="H11" s="11" t="s">
        <v>648</v>
      </c>
      <c r="I11" s="11" t="s">
        <v>958</v>
      </c>
      <c r="J11" s="8" t="s">
        <v>959</v>
      </c>
      <c r="K11" s="8"/>
      <c r="L11" s="4" t="s">
        <v>966</v>
      </c>
      <c r="M11" s="13" t="s">
        <v>961</v>
      </c>
      <c r="N11" s="4" t="s">
        <v>232</v>
      </c>
      <c r="O11" s="4"/>
    </row>
    <row r="12" spans="1:15" ht="62.1" customHeight="1">
      <c r="A12" s="10" t="s">
        <v>43</v>
      </c>
      <c r="B12" s="8" t="s">
        <v>42</v>
      </c>
      <c r="C12" s="7" t="str">
        <f>IF($B12="","",IFERROR(IF(VLOOKUP($B12,'Historias y criterios'!$A$6:$P$83,2,FALSE)="","",VLOOKUP($B12,'Historias y criterios'!$A$6:$P$83,2,FALSE)),"ID no encontrado"))</f>
        <v>HU-003</v>
      </c>
      <c r="D12" s="7" t="str">
        <f>IF($B12="","",IFERROR(IF(VLOOKUP($B12,'Historias y criterios'!$A$6:$P$83,3,FALSE)="","",VLOOKUP($B12,'Historias y criterios'!$A$6:$P$83,3,FALSE)),"ID no encontrado"))</f>
        <v>RF-03</v>
      </c>
      <c r="E12" s="11" t="s">
        <v>649</v>
      </c>
      <c r="F12" s="11" t="s">
        <v>650</v>
      </c>
      <c r="G12" s="11" t="s">
        <v>651</v>
      </c>
      <c r="H12" s="11" t="s">
        <v>652</v>
      </c>
      <c r="I12" s="11" t="s">
        <v>958</v>
      </c>
      <c r="J12" s="8" t="s">
        <v>959</v>
      </c>
      <c r="K12" s="8"/>
      <c r="L12" s="4" t="s">
        <v>967</v>
      </c>
      <c r="M12" s="13" t="s">
        <v>961</v>
      </c>
      <c r="N12" s="4" t="s">
        <v>232</v>
      </c>
      <c r="O12" s="4"/>
    </row>
    <row r="13" spans="1:15" ht="62.1" customHeight="1">
      <c r="A13" s="10" t="s">
        <v>45</v>
      </c>
      <c r="B13" s="8" t="s">
        <v>44</v>
      </c>
      <c r="C13" s="7" t="str">
        <f>IF($B13="","",IFERROR(IF(VLOOKUP($B13,'Historias y criterios'!$A$6:$P$83,2,FALSE)="","",VLOOKUP($B13,'Historias y criterios'!$A$6:$P$83,2,FALSE)),"ID no encontrado"))</f>
        <v>HU-003</v>
      </c>
      <c r="D13" s="7" t="str">
        <f>IF($B13="","",IFERROR(IF(VLOOKUP($B13,'Historias y criterios'!$A$6:$P$83,3,FALSE)="","",VLOOKUP($B13,'Historias y criterios'!$A$6:$P$83,3,FALSE)),"ID no encontrado"))</f>
        <v>RF-03</v>
      </c>
      <c r="E13" s="11" t="s">
        <v>653</v>
      </c>
      <c r="F13" s="11" t="s">
        <v>654</v>
      </c>
      <c r="G13" s="11" t="s">
        <v>655</v>
      </c>
      <c r="H13" s="11" t="s">
        <v>656</v>
      </c>
      <c r="I13" s="11" t="s">
        <v>958</v>
      </c>
      <c r="J13" s="8" t="s">
        <v>959</v>
      </c>
      <c r="K13" s="8"/>
      <c r="L13" s="4" t="s">
        <v>968</v>
      </c>
      <c r="M13" s="13" t="s">
        <v>961</v>
      </c>
      <c r="N13" s="4" t="s">
        <v>232</v>
      </c>
      <c r="O13" s="4"/>
    </row>
    <row r="14" spans="1:15" ht="75.599999999999994" customHeight="1">
      <c r="A14" s="10" t="s">
        <v>48</v>
      </c>
      <c r="B14" s="8" t="s">
        <v>47</v>
      </c>
      <c r="C14" s="7" t="str">
        <f>IF($B14="","",IFERROR(IF(VLOOKUP($B14,'Historias y criterios'!$A$6:$P$83,2,FALSE)="","",VLOOKUP($B14,'Historias y criterios'!$A$6:$P$83,2,FALSE)),"ID no encontrado"))</f>
        <v>HU-003</v>
      </c>
      <c r="D14" s="7" t="str">
        <f>IF($B14="","",IFERROR(IF(VLOOKUP($B14,'Historias y criterios'!$A$6:$P$83,3,FALSE)="","",VLOOKUP($B14,'Historias y criterios'!$A$6:$P$83,3,FALSE)),"ID no encontrado"))</f>
        <v>RF-29</v>
      </c>
      <c r="E14" s="11" t="s">
        <v>956</v>
      </c>
      <c r="F14" s="11" t="s">
        <v>657</v>
      </c>
      <c r="G14" s="11" t="s">
        <v>933</v>
      </c>
      <c r="H14" s="11" t="s">
        <v>934</v>
      </c>
      <c r="I14" s="11" t="s">
        <v>958</v>
      </c>
      <c r="J14" s="8" t="s">
        <v>959</v>
      </c>
      <c r="K14" s="8"/>
      <c r="L14" s="4" t="s">
        <v>969</v>
      </c>
      <c r="M14" s="13" t="s">
        <v>961</v>
      </c>
      <c r="N14" s="4" t="s">
        <v>232</v>
      </c>
      <c r="O14" s="4"/>
    </row>
    <row r="15" spans="1:15" ht="62.1" customHeight="1">
      <c r="A15" s="10" t="s">
        <v>51</v>
      </c>
      <c r="B15" s="8" t="s">
        <v>50</v>
      </c>
      <c r="C15" s="7" t="str">
        <f>IF($B15="","",IFERROR(IF(VLOOKUP($B15,'Historias y criterios'!$A$6:$P$83,2,FALSE)="","",VLOOKUP($B15,'Historias y criterios'!$A$6:$P$83,2,FALSE)),"ID no encontrado"))</f>
        <v>HU-003</v>
      </c>
      <c r="D15" s="7" t="str">
        <f>IF($B15="","",IFERROR(IF(VLOOKUP($B15,'Historias y criterios'!$A$6:$P$83,3,FALSE)="","",VLOOKUP($B15,'Historias y criterios'!$A$6:$P$83,3,FALSE)),"ID no encontrado"))</f>
        <v>RF-05</v>
      </c>
      <c r="E15" s="11" t="s">
        <v>658</v>
      </c>
      <c r="F15" s="11" t="s">
        <v>659</v>
      </c>
      <c r="G15" s="11" t="s">
        <v>935</v>
      </c>
      <c r="H15" s="11" t="s">
        <v>660</v>
      </c>
      <c r="I15" s="11" t="s">
        <v>958</v>
      </c>
      <c r="J15" s="8" t="s">
        <v>959</v>
      </c>
      <c r="K15" s="8"/>
      <c r="L15" s="4" t="s">
        <v>970</v>
      </c>
      <c r="M15" s="13" t="s">
        <v>961</v>
      </c>
      <c r="N15" s="4" t="s">
        <v>232</v>
      </c>
      <c r="O15" s="4"/>
    </row>
    <row r="16" spans="1:15" ht="62.1" customHeight="1">
      <c r="A16" s="10" t="s">
        <v>54</v>
      </c>
      <c r="B16" s="8" t="s">
        <v>53</v>
      </c>
      <c r="C16" s="7" t="str">
        <f>IF($B16="","",IFERROR(IF(VLOOKUP($B16,'Historias y criterios'!$A$6:$P$83,2,FALSE)="","",VLOOKUP($B16,'Historias y criterios'!$A$6:$P$83,2,FALSE)),"ID no encontrado"))</f>
        <v>HU-004</v>
      </c>
      <c r="D16" s="7" t="str">
        <f>IF($B16="","",IFERROR(IF(VLOOKUP($B16,'Historias y criterios'!$A$6:$P$83,3,FALSE)="","",VLOOKUP($B16,'Historias y criterios'!$A$6:$P$83,3,FALSE)),"ID no encontrado"))</f>
        <v>RF-35</v>
      </c>
      <c r="E16" s="11" t="s">
        <v>661</v>
      </c>
      <c r="F16" s="11" t="s">
        <v>662</v>
      </c>
      <c r="G16" s="11" t="s">
        <v>663</v>
      </c>
      <c r="H16" s="11" t="s">
        <v>664</v>
      </c>
      <c r="I16" s="11" t="s">
        <v>958</v>
      </c>
      <c r="J16" s="8" t="s">
        <v>959</v>
      </c>
      <c r="K16" s="8"/>
      <c r="L16" s="4" t="s">
        <v>971</v>
      </c>
      <c r="M16" s="13" t="s">
        <v>961</v>
      </c>
      <c r="N16" s="4" t="s">
        <v>232</v>
      </c>
      <c r="O16" s="4"/>
    </row>
    <row r="17" spans="1:15" ht="62.1" customHeight="1">
      <c r="A17" s="10" t="s">
        <v>57</v>
      </c>
      <c r="B17" s="8" t="s">
        <v>56</v>
      </c>
      <c r="C17" s="7" t="str">
        <f>IF($B17="","",IFERROR(IF(VLOOKUP($B17,'Historias y criterios'!$A$6:$P$83,2,FALSE)="","",VLOOKUP($B17,'Historias y criterios'!$A$6:$P$83,2,FALSE)),"ID no encontrado"))</f>
        <v>HU-004</v>
      </c>
      <c r="D17" s="7" t="str">
        <f>IF($B17="","",IFERROR(IF(VLOOKUP($B17,'Historias y criterios'!$A$6:$P$83,3,FALSE)="","",VLOOKUP($B17,'Historias y criterios'!$A$6:$P$83,3,FALSE)),"ID no encontrado"))</f>
        <v>RF-36</v>
      </c>
      <c r="E17" s="11" t="s">
        <v>665</v>
      </c>
      <c r="F17" s="11" t="s">
        <v>666</v>
      </c>
      <c r="G17" s="11" t="s">
        <v>667</v>
      </c>
      <c r="H17" s="11" t="s">
        <v>668</v>
      </c>
      <c r="I17" s="11" t="s">
        <v>958</v>
      </c>
      <c r="J17" s="8" t="s">
        <v>959</v>
      </c>
      <c r="K17" s="8"/>
      <c r="L17" s="4" t="s">
        <v>972</v>
      </c>
      <c r="M17" s="13" t="s">
        <v>961</v>
      </c>
      <c r="N17" s="4" t="s">
        <v>232</v>
      </c>
      <c r="O17" s="4"/>
    </row>
    <row r="18" spans="1:15" ht="62.1" customHeight="1">
      <c r="A18" s="10" t="s">
        <v>60</v>
      </c>
      <c r="B18" s="8" t="s">
        <v>59</v>
      </c>
      <c r="C18" s="7" t="str">
        <f>IF($B18="","",IFERROR(IF(VLOOKUP($B18,'Historias y criterios'!$A$6:$P$83,2,FALSE)="","",VLOOKUP($B18,'Historias y criterios'!$A$6:$P$83,2,FALSE)),"ID no encontrado"))</f>
        <v>HU-004</v>
      </c>
      <c r="D18" s="7" t="str">
        <f>IF($B18="","",IFERROR(IF(VLOOKUP($B18,'Historias y criterios'!$A$6:$P$83,3,FALSE)="","",VLOOKUP($B18,'Historias y criterios'!$A$6:$P$83,3,FALSE)),"ID no encontrado"))</f>
        <v>RF-37</v>
      </c>
      <c r="E18" s="11" t="s">
        <v>669</v>
      </c>
      <c r="F18" s="11" t="s">
        <v>670</v>
      </c>
      <c r="G18" s="11" t="s">
        <v>671</v>
      </c>
      <c r="H18" s="11" t="s">
        <v>672</v>
      </c>
      <c r="I18" s="11" t="s">
        <v>958</v>
      </c>
      <c r="J18" s="8" t="s">
        <v>959</v>
      </c>
      <c r="K18" s="8"/>
      <c r="L18" s="4" t="s">
        <v>973</v>
      </c>
      <c r="M18" s="13" t="s">
        <v>961</v>
      </c>
      <c r="N18" s="4" t="s">
        <v>232</v>
      </c>
      <c r="O18" s="4"/>
    </row>
    <row r="19" spans="1:15" ht="62.1" customHeight="1">
      <c r="A19" s="10" t="s">
        <v>62</v>
      </c>
      <c r="B19" s="8" t="s">
        <v>61</v>
      </c>
      <c r="C19" s="7" t="str">
        <f>IF($B19="","",IFERROR(IF(VLOOKUP($B19,'Historias y criterios'!$A$6:$P$83,2,FALSE)="","",VLOOKUP($B19,'Historias y criterios'!$A$6:$P$83,2,FALSE)),"ID no encontrado"))</f>
        <v>HU-004</v>
      </c>
      <c r="D19" s="7" t="str">
        <f>IF($B19="","",IFERROR(IF(VLOOKUP($B19,'Historias y criterios'!$A$6:$P$83,3,FALSE)="","",VLOOKUP($B19,'Historias y criterios'!$A$6:$P$83,3,FALSE)),"ID no encontrado"))</f>
        <v>RF-37</v>
      </c>
      <c r="E19" s="11" t="s">
        <v>673</v>
      </c>
      <c r="F19" s="11" t="s">
        <v>674</v>
      </c>
      <c r="G19" s="11" t="s">
        <v>675</v>
      </c>
      <c r="H19" s="11" t="s">
        <v>676</v>
      </c>
      <c r="I19" s="11" t="s">
        <v>958</v>
      </c>
      <c r="J19" s="8" t="s">
        <v>959</v>
      </c>
      <c r="K19" s="8"/>
      <c r="L19" s="4" t="s">
        <v>974</v>
      </c>
      <c r="M19" s="13" t="s">
        <v>961</v>
      </c>
      <c r="N19" s="4" t="s">
        <v>232</v>
      </c>
      <c r="O19" s="4"/>
    </row>
    <row r="20" spans="1:15" ht="62.1" customHeight="1">
      <c r="A20" s="10" t="s">
        <v>65</v>
      </c>
      <c r="B20" s="8" t="s">
        <v>64</v>
      </c>
      <c r="C20" s="7" t="str">
        <f>IF($B20="","",IFERROR(IF(VLOOKUP($B20,'Historias y criterios'!$A$6:$P$83,2,FALSE)="","",VLOOKUP($B20,'Historias y criterios'!$A$6:$P$83,2,FALSE)),"ID no encontrado"))</f>
        <v>HU-005</v>
      </c>
      <c r="D20" s="7" t="str">
        <f>IF($B20="","",IFERROR(IF(VLOOKUP($B20,'Historias y criterios'!$A$6:$P$83,3,FALSE)="","",VLOOKUP($B20,'Historias y criterios'!$A$6:$P$83,3,FALSE)),"ID no encontrado"))</f>
        <v>RF-06</v>
      </c>
      <c r="E20" s="11" t="s">
        <v>677</v>
      </c>
      <c r="F20" s="11" t="s">
        <v>678</v>
      </c>
      <c r="G20" s="11" t="s">
        <v>679</v>
      </c>
      <c r="H20" s="11" t="s">
        <v>680</v>
      </c>
      <c r="I20" s="11" t="s">
        <v>958</v>
      </c>
      <c r="J20" s="8" t="s">
        <v>959</v>
      </c>
      <c r="K20" s="8"/>
      <c r="L20" s="4" t="s">
        <v>975</v>
      </c>
      <c r="M20" s="13" t="s">
        <v>961</v>
      </c>
      <c r="N20" s="4" t="s">
        <v>239</v>
      </c>
      <c r="O20" s="4"/>
    </row>
    <row r="21" spans="1:15" ht="62.1" customHeight="1">
      <c r="A21" s="10" t="s">
        <v>67</v>
      </c>
      <c r="B21" s="8" t="s">
        <v>66</v>
      </c>
      <c r="C21" s="7" t="str">
        <f>IF($B21="","",IFERROR(IF(VLOOKUP($B21,'Historias y criterios'!$A$6:$P$83,2,FALSE)="","",VLOOKUP($B21,'Historias y criterios'!$A$6:$P$83,2,FALSE)),"ID no encontrado"))</f>
        <v>HU-005</v>
      </c>
      <c r="D21" s="7" t="str">
        <f>IF($B21="","",IFERROR(IF(VLOOKUP($B21,'Historias y criterios'!$A$6:$P$83,3,FALSE)="","",VLOOKUP($B21,'Historias y criterios'!$A$6:$P$83,3,FALSE)),"ID no encontrado"))</f>
        <v>RF-06</v>
      </c>
      <c r="E21" s="11" t="s">
        <v>681</v>
      </c>
      <c r="F21" s="11" t="s">
        <v>682</v>
      </c>
      <c r="G21" s="11" t="s">
        <v>683</v>
      </c>
      <c r="H21" s="11" t="s">
        <v>684</v>
      </c>
      <c r="I21" s="11" t="s">
        <v>958</v>
      </c>
      <c r="J21" s="8" t="s">
        <v>959</v>
      </c>
      <c r="K21" s="8"/>
      <c r="L21" s="4" t="s">
        <v>976</v>
      </c>
      <c r="M21" s="13" t="s">
        <v>961</v>
      </c>
      <c r="N21" s="4" t="s">
        <v>239</v>
      </c>
      <c r="O21" s="4"/>
    </row>
    <row r="22" spans="1:15" ht="89.1" customHeight="1">
      <c r="A22" s="10" t="s">
        <v>70</v>
      </c>
      <c r="B22" s="8" t="s">
        <v>69</v>
      </c>
      <c r="C22" s="7" t="str">
        <f>IF($B22="","",IFERROR(IF(VLOOKUP($B22,'Historias y criterios'!$A$6:$P$83,2,FALSE)="","",VLOOKUP($B22,'Historias y criterios'!$A$6:$P$83,2,FALSE)),"ID no encontrado"))</f>
        <v>HU-005</v>
      </c>
      <c r="D22" s="7" t="str">
        <f>IF($B22="","",IFERROR(IF(VLOOKUP($B22,'Historias y criterios'!$A$6:$P$83,3,FALSE)="","",VLOOKUP($B22,'Historias y criterios'!$A$6:$P$83,3,FALSE)),"ID no encontrado"))</f>
        <v>RF-39</v>
      </c>
      <c r="E22" s="11" t="s">
        <v>685</v>
      </c>
      <c r="F22" s="11" t="s">
        <v>686</v>
      </c>
      <c r="G22" s="11" t="s">
        <v>936</v>
      </c>
      <c r="H22" s="11" t="s">
        <v>937</v>
      </c>
      <c r="I22" s="11" t="s">
        <v>958</v>
      </c>
      <c r="J22" s="8" t="s">
        <v>959</v>
      </c>
      <c r="K22" s="8"/>
      <c r="L22" s="4" t="s">
        <v>977</v>
      </c>
      <c r="M22" s="13" t="s">
        <v>961</v>
      </c>
      <c r="N22" s="4" t="s">
        <v>239</v>
      </c>
      <c r="O22" s="4"/>
    </row>
    <row r="23" spans="1:15" ht="62.1" customHeight="1">
      <c r="A23" s="10" t="s">
        <v>72</v>
      </c>
      <c r="B23" s="8" t="s">
        <v>71</v>
      </c>
      <c r="C23" s="7" t="str">
        <f>IF($B23="","",IFERROR(IF(VLOOKUP($B23,'Historias y criterios'!$A$6:$P$83,2,FALSE)="","",VLOOKUP($B23,'Historias y criterios'!$A$6:$P$83,2,FALSE)),"ID no encontrado"))</f>
        <v>HU-005</v>
      </c>
      <c r="D23" s="7" t="str">
        <f>IF($B23="","",IFERROR(IF(VLOOKUP($B23,'Historias y criterios'!$A$6:$P$83,3,FALSE)="","",VLOOKUP($B23,'Historias y criterios'!$A$6:$P$83,3,FALSE)),"ID no encontrado"))</f>
        <v>RF-06</v>
      </c>
      <c r="E23" s="11" t="s">
        <v>687</v>
      </c>
      <c r="F23" s="11" t="s">
        <v>688</v>
      </c>
      <c r="G23" s="11" t="s">
        <v>689</v>
      </c>
      <c r="H23" s="11" t="s">
        <v>690</v>
      </c>
      <c r="I23" s="11" t="s">
        <v>958</v>
      </c>
      <c r="J23" s="8" t="s">
        <v>959</v>
      </c>
      <c r="K23" s="8"/>
      <c r="L23" s="4" t="s">
        <v>978</v>
      </c>
      <c r="M23" s="13" t="s">
        <v>961</v>
      </c>
      <c r="N23" s="4" t="s">
        <v>239</v>
      </c>
      <c r="O23" s="4"/>
    </row>
    <row r="24" spans="1:15" ht="62.1" customHeight="1">
      <c r="A24" s="10" t="s">
        <v>75</v>
      </c>
      <c r="B24" s="8" t="s">
        <v>74</v>
      </c>
      <c r="C24" s="7" t="str">
        <f>IF($B24="","",IFERROR(IF(VLOOKUP($B24,'Historias y criterios'!$A$6:$P$83,2,FALSE)="","",VLOOKUP($B24,'Historias y criterios'!$A$6:$P$83,2,FALSE)),"ID no encontrado"))</f>
        <v>HU-006</v>
      </c>
      <c r="D24" s="7" t="str">
        <f>IF($B24="","",IFERROR(IF(VLOOKUP($B24,'Historias y criterios'!$A$6:$P$83,3,FALSE)="","",VLOOKUP($B24,'Historias y criterios'!$A$6:$P$83,3,FALSE)),"ID no encontrado"))</f>
        <v>RF-07</v>
      </c>
      <c r="E24" s="11" t="s">
        <v>691</v>
      </c>
      <c r="F24" s="11" t="s">
        <v>692</v>
      </c>
      <c r="G24" s="11" t="s">
        <v>693</v>
      </c>
      <c r="H24" s="11" t="s">
        <v>694</v>
      </c>
      <c r="I24" s="11" t="s">
        <v>958</v>
      </c>
      <c r="J24" s="8" t="s">
        <v>959</v>
      </c>
      <c r="K24" s="8"/>
      <c r="L24" s="4" t="s">
        <v>979</v>
      </c>
      <c r="M24" s="13" t="s">
        <v>961</v>
      </c>
      <c r="N24" s="4" t="s">
        <v>239</v>
      </c>
      <c r="O24" s="4"/>
    </row>
    <row r="25" spans="1:15" ht="62.1" customHeight="1">
      <c r="A25" s="10" t="s">
        <v>77</v>
      </c>
      <c r="B25" s="8" t="s">
        <v>76</v>
      </c>
      <c r="C25" s="7" t="str">
        <f>IF($B25="","",IFERROR(IF(VLOOKUP($B25,'Historias y criterios'!$A$6:$P$83,2,FALSE)="","",VLOOKUP($B25,'Historias y criterios'!$A$6:$P$83,2,FALSE)),"ID no encontrado"))</f>
        <v>HU-006</v>
      </c>
      <c r="D25" s="7" t="str">
        <f>IF($B25="","",IFERROR(IF(VLOOKUP($B25,'Historias y criterios'!$A$6:$P$83,3,FALSE)="","",VLOOKUP($B25,'Historias y criterios'!$A$6:$P$83,3,FALSE)),"ID no encontrado"))</f>
        <v>RF-07</v>
      </c>
      <c r="E25" s="11" t="s">
        <v>938</v>
      </c>
      <c r="F25" s="11" t="s">
        <v>695</v>
      </c>
      <c r="G25" s="11" t="s">
        <v>939</v>
      </c>
      <c r="H25" s="11" t="s">
        <v>940</v>
      </c>
      <c r="I25" s="11" t="s">
        <v>958</v>
      </c>
      <c r="J25" s="8" t="s">
        <v>959</v>
      </c>
      <c r="K25" s="8"/>
      <c r="L25" s="4" t="s">
        <v>980</v>
      </c>
      <c r="M25" s="13" t="s">
        <v>961</v>
      </c>
      <c r="N25" s="4" t="s">
        <v>239</v>
      </c>
      <c r="O25" s="4"/>
    </row>
    <row r="26" spans="1:15" ht="62.1" customHeight="1">
      <c r="A26" s="10" t="s">
        <v>79</v>
      </c>
      <c r="B26" s="8" t="s">
        <v>78</v>
      </c>
      <c r="C26" s="7" t="str">
        <f>IF($B26="","",IFERROR(IF(VLOOKUP($B26,'Historias y criterios'!$A$6:$P$83,2,FALSE)="","",VLOOKUP($B26,'Historias y criterios'!$A$6:$P$83,2,FALSE)),"ID no encontrado"))</f>
        <v>HU-006</v>
      </c>
      <c r="D26" s="7" t="str">
        <f>IF($B26="","",IFERROR(IF(VLOOKUP($B26,'Historias y criterios'!$A$6:$P$83,3,FALSE)="","",VLOOKUP($B26,'Historias y criterios'!$A$6:$P$83,3,FALSE)),"ID no encontrado"))</f>
        <v>RF-07</v>
      </c>
      <c r="E26" s="11" t="s">
        <v>696</v>
      </c>
      <c r="F26" s="11" t="s">
        <v>697</v>
      </c>
      <c r="G26" s="11" t="s">
        <v>698</v>
      </c>
      <c r="H26" s="11" t="s">
        <v>699</v>
      </c>
      <c r="I26" s="11" t="s">
        <v>958</v>
      </c>
      <c r="J26" s="8" t="s">
        <v>959</v>
      </c>
      <c r="K26" s="8"/>
      <c r="L26" s="4" t="s">
        <v>981</v>
      </c>
      <c r="M26" s="13" t="s">
        <v>961</v>
      </c>
      <c r="N26" s="4" t="s">
        <v>239</v>
      </c>
      <c r="O26" s="4"/>
    </row>
    <row r="27" spans="1:15" ht="62.1" customHeight="1">
      <c r="A27" s="10" t="s">
        <v>81</v>
      </c>
      <c r="B27" s="8" t="s">
        <v>80</v>
      </c>
      <c r="C27" s="7" t="str">
        <f>IF($B27="","",IFERROR(IF(VLOOKUP($B27,'Historias y criterios'!$A$6:$P$83,2,FALSE)="","",VLOOKUP($B27,'Historias y criterios'!$A$6:$P$83,2,FALSE)),"ID no encontrado"))</f>
        <v>HU-006</v>
      </c>
      <c r="D27" s="7" t="str">
        <f>IF($B27="","",IFERROR(IF(VLOOKUP($B27,'Historias y criterios'!$A$6:$P$83,3,FALSE)="","",VLOOKUP($B27,'Historias y criterios'!$A$6:$P$83,3,FALSE)),"ID no encontrado"))</f>
        <v>RF-07</v>
      </c>
      <c r="E27" s="11" t="s">
        <v>700</v>
      </c>
      <c r="F27" s="11" t="s">
        <v>697</v>
      </c>
      <c r="G27" s="11" t="s">
        <v>701</v>
      </c>
      <c r="H27" s="11" t="s">
        <v>702</v>
      </c>
      <c r="I27" s="11" t="s">
        <v>958</v>
      </c>
      <c r="J27" s="8" t="s">
        <v>959</v>
      </c>
      <c r="K27" s="8"/>
      <c r="L27" s="4" t="s">
        <v>982</v>
      </c>
      <c r="M27" s="13" t="s">
        <v>961</v>
      </c>
      <c r="N27" s="4" t="s">
        <v>239</v>
      </c>
      <c r="O27" s="4"/>
    </row>
    <row r="28" spans="1:15" ht="62.1" customHeight="1">
      <c r="A28" s="10" t="s">
        <v>84</v>
      </c>
      <c r="B28" s="8" t="s">
        <v>83</v>
      </c>
      <c r="C28" s="7" t="str">
        <f>IF($B28="","",IFERROR(IF(VLOOKUP($B28,'Historias y criterios'!$A$6:$P$83,2,FALSE)="","",VLOOKUP($B28,'Historias y criterios'!$A$6:$P$83,2,FALSE)),"ID no encontrado"))</f>
        <v>HU-007</v>
      </c>
      <c r="D28" s="7" t="str">
        <f>IF($B28="","",IFERROR(IF(VLOOKUP($B28,'Historias y criterios'!$A$6:$P$83,3,FALSE)="","",VLOOKUP($B28,'Historias y criterios'!$A$6:$P$83,3,FALSE)),"ID no encontrado"))</f>
        <v>RF-08</v>
      </c>
      <c r="E28" s="11" t="s">
        <v>703</v>
      </c>
      <c r="F28" s="11" t="s">
        <v>704</v>
      </c>
      <c r="G28" s="11" t="s">
        <v>705</v>
      </c>
      <c r="H28" s="11" t="s">
        <v>706</v>
      </c>
      <c r="I28" s="11" t="s">
        <v>958</v>
      </c>
      <c r="J28" s="8" t="s">
        <v>959</v>
      </c>
      <c r="K28" s="8"/>
      <c r="L28" s="4" t="s">
        <v>983</v>
      </c>
      <c r="M28" s="13" t="s">
        <v>961</v>
      </c>
      <c r="N28" s="4" t="s">
        <v>239</v>
      </c>
      <c r="O28" s="4"/>
    </row>
    <row r="29" spans="1:15" ht="62.1" customHeight="1">
      <c r="A29" s="10" t="s">
        <v>86</v>
      </c>
      <c r="B29" s="8" t="s">
        <v>85</v>
      </c>
      <c r="C29" s="7" t="str">
        <f>IF($B29="","",IFERROR(IF(VLOOKUP($B29,'Historias y criterios'!$A$6:$P$83,2,FALSE)="","",VLOOKUP($B29,'Historias y criterios'!$A$6:$P$83,2,FALSE)),"ID no encontrado"))</f>
        <v>HU-007</v>
      </c>
      <c r="D29" s="7" t="str">
        <f>IF($B29="","",IFERROR(IF(VLOOKUP($B29,'Historias y criterios'!$A$6:$P$83,3,FALSE)="","",VLOOKUP($B29,'Historias y criterios'!$A$6:$P$83,3,FALSE)),"ID no encontrado"))</f>
        <v>RF-08</v>
      </c>
      <c r="E29" s="11" t="s">
        <v>707</v>
      </c>
      <c r="F29" s="11" t="s">
        <v>708</v>
      </c>
      <c r="G29" s="11" t="s">
        <v>709</v>
      </c>
      <c r="H29" s="11" t="s">
        <v>710</v>
      </c>
      <c r="I29" s="11" t="s">
        <v>958</v>
      </c>
      <c r="J29" s="8" t="s">
        <v>959</v>
      </c>
      <c r="K29" s="8"/>
      <c r="L29" s="4" t="s">
        <v>984</v>
      </c>
      <c r="M29" s="13" t="s">
        <v>961</v>
      </c>
      <c r="N29" s="4" t="s">
        <v>239</v>
      </c>
      <c r="O29" s="4"/>
    </row>
    <row r="30" spans="1:15" ht="62.1" customHeight="1">
      <c r="A30" s="10" t="s">
        <v>89</v>
      </c>
      <c r="B30" s="8" t="s">
        <v>88</v>
      </c>
      <c r="C30" s="7" t="str">
        <f>IF($B30="","",IFERROR(IF(VLOOKUP($B30,'Historias y criterios'!$A$6:$P$83,2,FALSE)="","",VLOOKUP($B30,'Historias y criterios'!$A$6:$P$83,2,FALSE)),"ID no encontrado"))</f>
        <v>HU-007</v>
      </c>
      <c r="D30" s="7" t="str">
        <f>IF($B30="","",IFERROR(IF(VLOOKUP($B30,'Historias y criterios'!$A$6:$P$83,3,FALSE)="","",VLOOKUP($B30,'Historias y criterios'!$A$6:$P$83,3,FALSE)),"ID no encontrado"))</f>
        <v>RF-09</v>
      </c>
      <c r="E30" s="11" t="s">
        <v>711</v>
      </c>
      <c r="F30" s="11" t="s">
        <v>712</v>
      </c>
      <c r="G30" s="11" t="s">
        <v>713</v>
      </c>
      <c r="H30" s="11" t="s">
        <v>714</v>
      </c>
      <c r="I30" s="11" t="s">
        <v>958</v>
      </c>
      <c r="J30" s="8" t="s">
        <v>959</v>
      </c>
      <c r="K30" s="8"/>
      <c r="L30" s="4" t="s">
        <v>985</v>
      </c>
      <c r="M30" s="13" t="s">
        <v>961</v>
      </c>
      <c r="N30" s="4" t="s">
        <v>239</v>
      </c>
      <c r="O30" s="4"/>
    </row>
    <row r="31" spans="1:15" ht="62.1" customHeight="1">
      <c r="A31" s="10" t="s">
        <v>92</v>
      </c>
      <c r="B31" s="8" t="s">
        <v>91</v>
      </c>
      <c r="C31" s="7" t="str">
        <f>IF($B31="","",IFERROR(IF(VLOOKUP($B31,'Historias y criterios'!$A$6:$P$83,2,FALSE)="","",VLOOKUP($B31,'Historias y criterios'!$A$6:$P$83,2,FALSE)),"ID no encontrado"))</f>
        <v>HU-007</v>
      </c>
      <c r="D31" s="7" t="str">
        <f>IF($B31="","",IFERROR(IF(VLOOKUP($B31,'Historias y criterios'!$A$6:$P$83,3,FALSE)="","",VLOOKUP($B31,'Historias y criterios'!$A$6:$P$83,3,FALSE)),"ID no encontrado"))</f>
        <v>RF-10</v>
      </c>
      <c r="E31" s="11" t="s">
        <v>715</v>
      </c>
      <c r="F31" s="11" t="s">
        <v>716</v>
      </c>
      <c r="G31" s="11" t="s">
        <v>717</v>
      </c>
      <c r="H31" s="11" t="s">
        <v>718</v>
      </c>
      <c r="I31" s="11" t="s">
        <v>958</v>
      </c>
      <c r="J31" s="8" t="s">
        <v>959</v>
      </c>
      <c r="K31" s="8"/>
      <c r="L31" s="4" t="s">
        <v>986</v>
      </c>
      <c r="M31" s="13" t="s">
        <v>961</v>
      </c>
      <c r="N31" s="4" t="s">
        <v>239</v>
      </c>
      <c r="O31" s="4"/>
    </row>
    <row r="32" spans="1:15" ht="62.1" customHeight="1">
      <c r="A32" s="10" t="s">
        <v>95</v>
      </c>
      <c r="B32" s="8" t="s">
        <v>94</v>
      </c>
      <c r="C32" s="7" t="str">
        <f>IF($B32="","",IFERROR(IF(VLOOKUP($B32,'Historias y criterios'!$A$6:$P$83,2,FALSE)="","",VLOOKUP($B32,'Historias y criterios'!$A$6:$P$83,2,FALSE)),"ID no encontrado"))</f>
        <v>HU-008</v>
      </c>
      <c r="D32" s="7" t="str">
        <f>IF($B32="","",IFERROR(IF(VLOOKUP($B32,'Historias y criterios'!$A$6:$P$83,3,FALSE)="","",VLOOKUP($B32,'Historias y criterios'!$A$6:$P$83,3,FALSE)),"ID no encontrado"))</f>
        <v>RF-11</v>
      </c>
      <c r="E32" s="11" t="s">
        <v>719</v>
      </c>
      <c r="F32" s="11" t="s">
        <v>720</v>
      </c>
      <c r="G32" s="11" t="s">
        <v>721</v>
      </c>
      <c r="H32" s="11" t="s">
        <v>722</v>
      </c>
      <c r="I32" s="11"/>
      <c r="J32" s="8" t="s">
        <v>633</v>
      </c>
      <c r="K32" s="8"/>
      <c r="L32" s="4"/>
      <c r="M32" s="13"/>
      <c r="N32" s="4" t="s">
        <v>245</v>
      </c>
      <c r="O32" s="4"/>
    </row>
    <row r="33" spans="1:15" ht="62.1" customHeight="1">
      <c r="A33" s="10" t="s">
        <v>98</v>
      </c>
      <c r="B33" s="8" t="s">
        <v>97</v>
      </c>
      <c r="C33" s="7" t="str">
        <f>IF($B33="","",IFERROR(IF(VLOOKUP($B33,'Historias y criterios'!$A$6:$P$83,2,FALSE)="","",VLOOKUP($B33,'Historias y criterios'!$A$6:$P$83,2,FALSE)),"ID no encontrado"))</f>
        <v>HU-008</v>
      </c>
      <c r="D33" s="7" t="str">
        <f>IF($B33="","",IFERROR(IF(VLOOKUP($B33,'Historias y criterios'!$A$6:$P$83,3,FALSE)="","",VLOOKUP($B33,'Historias y criterios'!$A$6:$P$83,3,FALSE)),"ID no encontrado"))</f>
        <v>RF-12</v>
      </c>
      <c r="E33" s="11" t="s">
        <v>723</v>
      </c>
      <c r="F33" s="11" t="s">
        <v>724</v>
      </c>
      <c r="G33" s="11" t="s">
        <v>725</v>
      </c>
      <c r="H33" s="11" t="s">
        <v>726</v>
      </c>
      <c r="I33" s="11"/>
      <c r="J33" s="8" t="s">
        <v>633</v>
      </c>
      <c r="K33" s="8"/>
      <c r="L33" s="4"/>
      <c r="M33" s="13"/>
      <c r="N33" s="4" t="s">
        <v>245</v>
      </c>
      <c r="O33" s="4"/>
    </row>
    <row r="34" spans="1:15" ht="62.1" customHeight="1">
      <c r="A34" s="10" t="s">
        <v>100</v>
      </c>
      <c r="B34" s="8" t="s">
        <v>99</v>
      </c>
      <c r="C34" s="7" t="str">
        <f>IF($B34="","",IFERROR(IF(VLOOKUP($B34,'Historias y criterios'!$A$6:$P$83,2,FALSE)="","",VLOOKUP($B34,'Historias y criterios'!$A$6:$P$83,2,FALSE)),"ID no encontrado"))</f>
        <v>HU-008</v>
      </c>
      <c r="D34" s="7" t="str">
        <f>IF($B34="","",IFERROR(IF(VLOOKUP($B34,'Historias y criterios'!$A$6:$P$83,3,FALSE)="","",VLOOKUP($B34,'Historias y criterios'!$A$6:$P$83,3,FALSE)),"ID no encontrado"))</f>
        <v>RF-11</v>
      </c>
      <c r="E34" s="11" t="s">
        <v>727</v>
      </c>
      <c r="F34" s="11" t="s">
        <v>728</v>
      </c>
      <c r="G34" s="11" t="s">
        <v>729</v>
      </c>
      <c r="H34" s="11" t="s">
        <v>730</v>
      </c>
      <c r="I34" s="11"/>
      <c r="J34" s="8" t="s">
        <v>633</v>
      </c>
      <c r="K34" s="8"/>
      <c r="L34" s="4"/>
      <c r="M34" s="13"/>
      <c r="N34" s="4" t="s">
        <v>245</v>
      </c>
      <c r="O34" s="4"/>
    </row>
    <row r="35" spans="1:15" ht="62.1" customHeight="1">
      <c r="A35" s="10" t="s">
        <v>102</v>
      </c>
      <c r="B35" s="8" t="s">
        <v>101</v>
      </c>
      <c r="C35" s="7" t="str">
        <f>IF($B35="","",IFERROR(IF(VLOOKUP($B35,'Historias y criterios'!$A$6:$P$83,2,FALSE)="","",VLOOKUP($B35,'Historias y criterios'!$A$6:$P$83,2,FALSE)),"ID no encontrado"))</f>
        <v>HU-008</v>
      </c>
      <c r="D35" s="7" t="str">
        <f>IF($B35="","",IFERROR(IF(VLOOKUP($B35,'Historias y criterios'!$A$6:$P$83,3,FALSE)="","",VLOOKUP($B35,'Historias y criterios'!$A$6:$P$83,3,FALSE)),"ID no encontrado"))</f>
        <v>RF-12</v>
      </c>
      <c r="E35" s="11" t="s">
        <v>731</v>
      </c>
      <c r="F35" s="11" t="s">
        <v>732</v>
      </c>
      <c r="G35" s="11" t="s">
        <v>733</v>
      </c>
      <c r="H35" s="11" t="s">
        <v>734</v>
      </c>
      <c r="I35" s="11"/>
      <c r="J35" s="8" t="s">
        <v>633</v>
      </c>
      <c r="K35" s="8"/>
      <c r="L35" s="4"/>
      <c r="M35" s="13"/>
      <c r="N35" s="4" t="s">
        <v>245</v>
      </c>
      <c r="O35" s="4"/>
    </row>
    <row r="36" spans="1:15" ht="62.1" customHeight="1">
      <c r="A36" s="10" t="s">
        <v>105</v>
      </c>
      <c r="B36" s="8" t="s">
        <v>104</v>
      </c>
      <c r="C36" s="7" t="str">
        <f>IF($B36="","",IFERROR(IF(VLOOKUP($B36,'Historias y criterios'!$A$6:$P$83,2,FALSE)="","",VLOOKUP($B36,'Historias y criterios'!$A$6:$P$83,2,FALSE)),"ID no encontrado"))</f>
        <v>HU-009</v>
      </c>
      <c r="D36" s="7" t="str">
        <f>IF($B36="","",IFERROR(IF(VLOOKUP($B36,'Historias y criterios'!$A$6:$P$83,3,FALSE)="","",VLOOKUP($B36,'Historias y criterios'!$A$6:$P$83,3,FALSE)),"ID no encontrado"))</f>
        <v>RF-13</v>
      </c>
      <c r="E36" s="11" t="s">
        <v>735</v>
      </c>
      <c r="F36" s="11" t="s">
        <v>736</v>
      </c>
      <c r="G36" s="11" t="s">
        <v>737</v>
      </c>
      <c r="H36" s="11" t="s">
        <v>738</v>
      </c>
      <c r="I36" s="11"/>
      <c r="J36" s="8" t="s">
        <v>633</v>
      </c>
      <c r="K36" s="8"/>
      <c r="L36" s="4"/>
      <c r="M36" s="13"/>
      <c r="N36" s="4" t="s">
        <v>262</v>
      </c>
      <c r="O36" s="4"/>
    </row>
    <row r="37" spans="1:15" ht="62.1" customHeight="1">
      <c r="A37" s="10" t="s">
        <v>108</v>
      </c>
      <c r="B37" s="8" t="s">
        <v>107</v>
      </c>
      <c r="C37" s="7" t="str">
        <f>IF($B37="","",IFERROR(IF(VLOOKUP($B37,'Historias y criterios'!$A$6:$P$83,2,FALSE)="","",VLOOKUP($B37,'Historias y criterios'!$A$6:$P$83,2,FALSE)),"ID no encontrado"))</f>
        <v>HU-009</v>
      </c>
      <c r="D37" s="7" t="str">
        <f>IF($B37="","",IFERROR(IF(VLOOKUP($B37,'Historias y criterios'!$A$6:$P$83,3,FALSE)="","",VLOOKUP($B37,'Historias y criterios'!$A$6:$P$83,3,FALSE)),"ID no encontrado"))</f>
        <v>RF-38</v>
      </c>
      <c r="E37" s="11" t="s">
        <v>739</v>
      </c>
      <c r="F37" s="11" t="s">
        <v>740</v>
      </c>
      <c r="G37" s="11" t="s">
        <v>741</v>
      </c>
      <c r="H37" s="11" t="s">
        <v>742</v>
      </c>
      <c r="I37" s="11"/>
      <c r="J37" s="8" t="s">
        <v>633</v>
      </c>
      <c r="K37" s="8"/>
      <c r="L37" s="4"/>
      <c r="M37" s="13"/>
      <c r="N37" s="4" t="s">
        <v>262</v>
      </c>
      <c r="O37" s="4"/>
    </row>
    <row r="38" spans="1:15" ht="62.1" customHeight="1">
      <c r="A38" s="10" t="s">
        <v>110</v>
      </c>
      <c r="B38" s="8" t="s">
        <v>109</v>
      </c>
      <c r="C38" s="7" t="str">
        <f>IF($B38="","",IFERROR(IF(VLOOKUP($B38,'Historias y criterios'!$A$6:$P$83,2,FALSE)="","",VLOOKUP($B38,'Historias y criterios'!$A$6:$P$83,2,FALSE)),"ID no encontrado"))</f>
        <v>HU-009</v>
      </c>
      <c r="D38" s="7" t="str">
        <f>IF($B38="","",IFERROR(IF(VLOOKUP($B38,'Historias y criterios'!$A$6:$P$83,3,FALSE)="","",VLOOKUP($B38,'Historias y criterios'!$A$6:$P$83,3,FALSE)),"ID no encontrado"))</f>
        <v>RF-38</v>
      </c>
      <c r="E38" s="11" t="s">
        <v>743</v>
      </c>
      <c r="F38" s="11" t="s">
        <v>744</v>
      </c>
      <c r="G38" s="11" t="s">
        <v>745</v>
      </c>
      <c r="H38" s="11" t="s">
        <v>746</v>
      </c>
      <c r="I38" s="11"/>
      <c r="J38" s="8" t="s">
        <v>633</v>
      </c>
      <c r="K38" s="8"/>
      <c r="L38" s="4"/>
      <c r="M38" s="13"/>
      <c r="N38" s="4" t="s">
        <v>262</v>
      </c>
      <c r="O38" s="4"/>
    </row>
    <row r="39" spans="1:15" ht="62.1" customHeight="1">
      <c r="A39" s="10" t="s">
        <v>112</v>
      </c>
      <c r="B39" s="8" t="s">
        <v>111</v>
      </c>
      <c r="C39" s="7" t="str">
        <f>IF($B39="","",IFERROR(IF(VLOOKUP($B39,'Historias y criterios'!$A$6:$P$83,2,FALSE)="","",VLOOKUP($B39,'Historias y criterios'!$A$6:$P$83,2,FALSE)),"ID no encontrado"))</f>
        <v>HU-009</v>
      </c>
      <c r="D39" s="7" t="str">
        <f>IF($B39="","",IFERROR(IF(VLOOKUP($B39,'Historias y criterios'!$A$6:$P$83,3,FALSE)="","",VLOOKUP($B39,'Historias y criterios'!$A$6:$P$83,3,FALSE)),"ID no encontrado"))</f>
        <v>RF-38</v>
      </c>
      <c r="E39" s="11" t="s">
        <v>747</v>
      </c>
      <c r="F39" s="11" t="s">
        <v>748</v>
      </c>
      <c r="G39" s="11" t="s">
        <v>749</v>
      </c>
      <c r="H39" s="11" t="s">
        <v>750</v>
      </c>
      <c r="I39" s="11"/>
      <c r="J39" s="8" t="s">
        <v>633</v>
      </c>
      <c r="K39" s="8"/>
      <c r="L39" s="4"/>
      <c r="M39" s="13"/>
      <c r="N39" s="4" t="s">
        <v>262</v>
      </c>
      <c r="O39" s="4"/>
    </row>
    <row r="40" spans="1:15" ht="62.1" customHeight="1">
      <c r="A40" s="10" t="s">
        <v>115</v>
      </c>
      <c r="B40" s="8" t="s">
        <v>114</v>
      </c>
      <c r="C40" s="7" t="str">
        <f>IF($B40="","",IFERROR(IF(VLOOKUP($B40,'Historias y criterios'!$A$6:$P$83,2,FALSE)="","",VLOOKUP($B40,'Historias y criterios'!$A$6:$P$83,2,FALSE)),"ID no encontrado"))</f>
        <v>HU-010</v>
      </c>
      <c r="D40" s="7" t="str">
        <f>IF($B40="","",IFERROR(IF(VLOOKUP($B40,'Historias y criterios'!$A$6:$P$83,3,FALSE)="","",VLOOKUP($B40,'Historias y criterios'!$A$6:$P$83,3,FALSE)),"ID no encontrado"))</f>
        <v>RF-16</v>
      </c>
      <c r="E40" s="11" t="s">
        <v>751</v>
      </c>
      <c r="F40" s="11" t="s">
        <v>752</v>
      </c>
      <c r="G40" s="11" t="s">
        <v>753</v>
      </c>
      <c r="H40" s="11" t="s">
        <v>754</v>
      </c>
      <c r="I40" s="11"/>
      <c r="J40" s="8" t="s">
        <v>633</v>
      </c>
      <c r="K40" s="8"/>
      <c r="L40" s="4"/>
      <c r="M40" s="13"/>
      <c r="N40" s="4" t="s">
        <v>262</v>
      </c>
      <c r="O40" s="4"/>
    </row>
    <row r="41" spans="1:15" ht="62.1" customHeight="1">
      <c r="A41" s="10" t="s">
        <v>118</v>
      </c>
      <c r="B41" s="8" t="s">
        <v>117</v>
      </c>
      <c r="C41" s="7" t="str">
        <f>IF($B41="","",IFERROR(IF(VLOOKUP($B41,'Historias y criterios'!$A$6:$P$83,2,FALSE)="","",VLOOKUP($B41,'Historias y criterios'!$A$6:$P$83,2,FALSE)),"ID no encontrado"))</f>
        <v>HU-010</v>
      </c>
      <c r="D41" s="7" t="str">
        <f>IF($B41="","",IFERROR(IF(VLOOKUP($B41,'Historias y criterios'!$A$6:$P$83,3,FALSE)="","",VLOOKUP($B41,'Historias y criterios'!$A$6:$P$83,3,FALSE)),"ID no encontrado"))</f>
        <v>RF-14</v>
      </c>
      <c r="E41" s="11" t="s">
        <v>755</v>
      </c>
      <c r="F41" s="11" t="s">
        <v>941</v>
      </c>
      <c r="G41" s="11" t="s">
        <v>756</v>
      </c>
      <c r="H41" s="11" t="s">
        <v>757</v>
      </c>
      <c r="I41" s="11"/>
      <c r="J41" s="8" t="s">
        <v>633</v>
      </c>
      <c r="K41" s="8"/>
      <c r="L41" s="4"/>
      <c r="M41" s="13"/>
      <c r="N41" s="4" t="s">
        <v>262</v>
      </c>
      <c r="O41" s="4"/>
    </row>
    <row r="42" spans="1:15" ht="62.1" customHeight="1">
      <c r="A42" s="10" t="s">
        <v>120</v>
      </c>
      <c r="B42" s="8" t="s">
        <v>119</v>
      </c>
      <c r="C42" s="7" t="str">
        <f>IF($B42="","",IFERROR(IF(VLOOKUP($B42,'Historias y criterios'!$A$6:$P$83,2,FALSE)="","",VLOOKUP($B42,'Historias y criterios'!$A$6:$P$83,2,FALSE)),"ID no encontrado"))</f>
        <v>HU-010</v>
      </c>
      <c r="D42" s="7" t="str">
        <f>IF($B42="","",IFERROR(IF(VLOOKUP($B42,'Historias y criterios'!$A$6:$P$83,3,FALSE)="","",VLOOKUP($B42,'Historias y criterios'!$A$6:$P$83,3,FALSE)),"ID no encontrado"))</f>
        <v>RF-14</v>
      </c>
      <c r="E42" s="11" t="s">
        <v>758</v>
      </c>
      <c r="F42" s="11" t="s">
        <v>759</v>
      </c>
      <c r="G42" s="11" t="s">
        <v>760</v>
      </c>
      <c r="H42" s="11" t="s">
        <v>761</v>
      </c>
      <c r="I42" s="11"/>
      <c r="J42" s="8" t="s">
        <v>633</v>
      </c>
      <c r="K42" s="8"/>
      <c r="L42" s="4"/>
      <c r="M42" s="13"/>
      <c r="N42" s="4" t="s">
        <v>262</v>
      </c>
      <c r="O42" s="4"/>
    </row>
    <row r="43" spans="1:15" ht="62.1" customHeight="1">
      <c r="A43" s="10" t="s">
        <v>122</v>
      </c>
      <c r="B43" s="8" t="s">
        <v>121</v>
      </c>
      <c r="C43" s="7" t="str">
        <f>IF($B43="","",IFERROR(IF(VLOOKUP($B43,'Historias y criterios'!$A$6:$P$83,2,FALSE)="","",VLOOKUP($B43,'Historias y criterios'!$A$6:$P$83,2,FALSE)),"ID no encontrado"))</f>
        <v>HU-010</v>
      </c>
      <c r="D43" s="7" t="str">
        <f>IF($B43="","",IFERROR(IF(VLOOKUP($B43,'Historias y criterios'!$A$6:$P$83,3,FALSE)="","",VLOOKUP($B43,'Historias y criterios'!$A$6:$P$83,3,FALSE)),"ID no encontrado"))</f>
        <v>RF-14</v>
      </c>
      <c r="E43" s="11" t="s">
        <v>762</v>
      </c>
      <c r="F43" s="11" t="s">
        <v>763</v>
      </c>
      <c r="G43" s="11" t="s">
        <v>764</v>
      </c>
      <c r="H43" s="11" t="s">
        <v>765</v>
      </c>
      <c r="I43" s="11"/>
      <c r="J43" s="8" t="s">
        <v>633</v>
      </c>
      <c r="K43" s="8"/>
      <c r="L43" s="4"/>
      <c r="M43" s="13"/>
      <c r="N43" s="4" t="s">
        <v>262</v>
      </c>
      <c r="O43" s="4"/>
    </row>
    <row r="44" spans="1:15" ht="62.1" customHeight="1">
      <c r="A44" s="10" t="s">
        <v>125</v>
      </c>
      <c r="B44" s="8" t="s">
        <v>124</v>
      </c>
      <c r="C44" s="7" t="str">
        <f>IF($B44="","",IFERROR(IF(VLOOKUP($B44,'Historias y criterios'!$A$6:$P$83,2,FALSE)="","",VLOOKUP($B44,'Historias y criterios'!$A$6:$P$83,2,FALSE)),"ID no encontrado"))</f>
        <v>HU-011</v>
      </c>
      <c r="D44" s="7" t="str">
        <f>IF($B44="","",IFERROR(IF(VLOOKUP($B44,'Historias y criterios'!$A$6:$P$83,3,FALSE)="","",VLOOKUP($B44,'Historias y criterios'!$A$6:$P$83,3,FALSE)),"ID no encontrado"))</f>
        <v>RF-15</v>
      </c>
      <c r="E44" s="11" t="s">
        <v>957</v>
      </c>
      <c r="F44" s="11" t="s">
        <v>942</v>
      </c>
      <c r="G44" s="11" t="s">
        <v>766</v>
      </c>
      <c r="H44" s="11" t="s">
        <v>767</v>
      </c>
      <c r="I44" s="11"/>
      <c r="J44" s="8" t="s">
        <v>633</v>
      </c>
      <c r="K44" s="8"/>
      <c r="L44" s="4"/>
      <c r="M44" s="13"/>
      <c r="N44" s="4" t="s">
        <v>256</v>
      </c>
      <c r="O44" s="4"/>
    </row>
    <row r="45" spans="1:15" ht="62.1" customHeight="1">
      <c r="A45" s="10" t="s">
        <v>127</v>
      </c>
      <c r="B45" s="8" t="s">
        <v>126</v>
      </c>
      <c r="C45" s="7" t="str">
        <f>IF($B45="","",IFERROR(IF(VLOOKUP($B45,'Historias y criterios'!$A$6:$P$83,2,FALSE)="","",VLOOKUP($B45,'Historias y criterios'!$A$6:$P$83,2,FALSE)),"ID no encontrado"))</f>
        <v>HU-011</v>
      </c>
      <c r="D45" s="7" t="str">
        <f>IF($B45="","",IFERROR(IF(VLOOKUP($B45,'Historias y criterios'!$A$6:$P$83,3,FALSE)="","",VLOOKUP($B45,'Historias y criterios'!$A$6:$P$83,3,FALSE)),"ID no encontrado"))</f>
        <v>RF-15</v>
      </c>
      <c r="E45" s="11" t="s">
        <v>768</v>
      </c>
      <c r="F45" s="11" t="s">
        <v>769</v>
      </c>
      <c r="G45" s="11" t="s">
        <v>770</v>
      </c>
      <c r="H45" s="11" t="s">
        <v>771</v>
      </c>
      <c r="I45" s="11"/>
      <c r="J45" s="8" t="s">
        <v>633</v>
      </c>
      <c r="K45" s="8"/>
      <c r="L45" s="4"/>
      <c r="M45" s="13"/>
      <c r="N45" s="4" t="s">
        <v>256</v>
      </c>
      <c r="O45" s="4"/>
    </row>
    <row r="46" spans="1:15" ht="62.1" customHeight="1">
      <c r="A46" s="10" t="s">
        <v>129</v>
      </c>
      <c r="B46" s="8" t="s">
        <v>128</v>
      </c>
      <c r="C46" s="7" t="str">
        <f>IF($B46="","",IFERROR(IF(VLOOKUP($B46,'Historias y criterios'!$A$6:$P$83,2,FALSE)="","",VLOOKUP($B46,'Historias y criterios'!$A$6:$P$83,2,FALSE)),"ID no encontrado"))</f>
        <v>HU-011</v>
      </c>
      <c r="D46" s="7" t="str">
        <f>IF($B46="","",IFERROR(IF(VLOOKUP($B46,'Historias y criterios'!$A$6:$P$83,3,FALSE)="","",VLOOKUP($B46,'Historias y criterios'!$A$6:$P$83,3,FALSE)),"ID no encontrado"))</f>
        <v>RF-15</v>
      </c>
      <c r="E46" s="11" t="s">
        <v>772</v>
      </c>
      <c r="F46" s="11" t="s">
        <v>773</v>
      </c>
      <c r="G46" s="11" t="s">
        <v>774</v>
      </c>
      <c r="H46" s="11" t="s">
        <v>775</v>
      </c>
      <c r="I46" s="11"/>
      <c r="J46" s="8" t="s">
        <v>633</v>
      </c>
      <c r="K46" s="8"/>
      <c r="L46" s="4"/>
      <c r="M46" s="13"/>
      <c r="N46" s="4" t="s">
        <v>256</v>
      </c>
      <c r="O46" s="4"/>
    </row>
    <row r="47" spans="1:15" ht="62.1" customHeight="1">
      <c r="A47" s="10" t="s">
        <v>132</v>
      </c>
      <c r="B47" s="8" t="s">
        <v>131</v>
      </c>
      <c r="C47" s="7" t="str">
        <f>IF($B47="","",IFERROR(IF(VLOOKUP($B47,'Historias y criterios'!$A$6:$P$83,2,FALSE)="","",VLOOKUP($B47,'Historias y criterios'!$A$6:$P$83,2,FALSE)),"ID no encontrado"))</f>
        <v>HU-011</v>
      </c>
      <c r="D47" s="7" t="str">
        <f>IF($B47="","",IFERROR(IF(VLOOKUP($B47,'Historias y criterios'!$A$6:$P$83,3,FALSE)="","",VLOOKUP($B47,'Historias y criterios'!$A$6:$P$83,3,FALSE)),"ID no encontrado"))</f>
        <v>RF-31</v>
      </c>
      <c r="E47" s="11" t="s">
        <v>776</v>
      </c>
      <c r="F47" s="11" t="s">
        <v>777</v>
      </c>
      <c r="G47" s="11" t="s">
        <v>778</v>
      </c>
      <c r="H47" s="11" t="s">
        <v>779</v>
      </c>
      <c r="I47" s="11"/>
      <c r="J47" s="8" t="s">
        <v>633</v>
      </c>
      <c r="K47" s="8"/>
      <c r="L47" s="4"/>
      <c r="M47" s="13"/>
      <c r="N47" s="4" t="s">
        <v>256</v>
      </c>
      <c r="O47" s="4"/>
    </row>
    <row r="48" spans="1:15" ht="62.1" customHeight="1">
      <c r="A48" s="10" t="s">
        <v>135</v>
      </c>
      <c r="B48" s="8" t="s">
        <v>134</v>
      </c>
      <c r="C48" s="7" t="str">
        <f>IF($B48="","",IFERROR(IF(VLOOKUP($B48,'Historias y criterios'!$A$6:$P$83,2,FALSE)="","",VLOOKUP($B48,'Historias y criterios'!$A$6:$P$83,2,FALSE)),"ID no encontrado"))</f>
        <v>HU-012</v>
      </c>
      <c r="D48" s="7" t="str">
        <f>IF($B48="","",IFERROR(IF(VLOOKUP($B48,'Historias y criterios'!$A$6:$P$83,3,FALSE)="","",VLOOKUP($B48,'Historias y criterios'!$A$6:$P$83,3,FALSE)),"ID no encontrado"))</f>
        <v>RF-17</v>
      </c>
      <c r="E48" s="11" t="s">
        <v>780</v>
      </c>
      <c r="F48" s="11" t="s">
        <v>781</v>
      </c>
      <c r="G48" s="11" t="s">
        <v>782</v>
      </c>
      <c r="H48" s="11" t="s">
        <v>783</v>
      </c>
      <c r="I48" s="11" t="s">
        <v>958</v>
      </c>
      <c r="J48" s="8" t="s">
        <v>959</v>
      </c>
      <c r="K48" s="8"/>
      <c r="L48" s="4" t="s">
        <v>987</v>
      </c>
      <c r="M48" s="13" t="s">
        <v>961</v>
      </c>
      <c r="N48" s="4" t="s">
        <v>239</v>
      </c>
      <c r="O48" s="4"/>
    </row>
    <row r="49" spans="1:15" ht="62.1" customHeight="1">
      <c r="A49" s="10" t="s">
        <v>137</v>
      </c>
      <c r="B49" s="8" t="s">
        <v>136</v>
      </c>
      <c r="C49" s="7" t="str">
        <f>IF($B49="","",IFERROR(IF(VLOOKUP($B49,'Historias y criterios'!$A$6:$P$83,2,FALSE)="","",VLOOKUP($B49,'Historias y criterios'!$A$6:$P$83,2,FALSE)),"ID no encontrado"))</f>
        <v>HU-012</v>
      </c>
      <c r="D49" s="7" t="str">
        <f>IF($B49="","",IFERROR(IF(VLOOKUP($B49,'Historias y criterios'!$A$6:$P$83,3,FALSE)="","",VLOOKUP($B49,'Historias y criterios'!$A$6:$P$83,3,FALSE)),"ID no encontrado"))</f>
        <v>RF-17</v>
      </c>
      <c r="E49" s="11" t="s">
        <v>784</v>
      </c>
      <c r="F49" s="11" t="s">
        <v>785</v>
      </c>
      <c r="G49" s="11" t="s">
        <v>786</v>
      </c>
      <c r="H49" s="11" t="s">
        <v>787</v>
      </c>
      <c r="I49" s="11" t="s">
        <v>958</v>
      </c>
      <c r="J49" s="8" t="s">
        <v>959</v>
      </c>
      <c r="K49" s="8"/>
      <c r="L49" s="4" t="s">
        <v>988</v>
      </c>
      <c r="M49" s="13" t="s">
        <v>961</v>
      </c>
      <c r="N49" s="4" t="s">
        <v>239</v>
      </c>
      <c r="O49" s="4"/>
    </row>
    <row r="50" spans="1:15" ht="75.599999999999994" customHeight="1">
      <c r="A50" s="10" t="s">
        <v>139</v>
      </c>
      <c r="B50" s="8" t="s">
        <v>138</v>
      </c>
      <c r="C50" s="7" t="str">
        <f>IF($B50="","",IFERROR(IF(VLOOKUP($B50,'Historias y criterios'!$A$6:$P$83,2,FALSE)="","",VLOOKUP($B50,'Historias y criterios'!$A$6:$P$83,2,FALSE)),"ID no encontrado"))</f>
        <v>HU-012</v>
      </c>
      <c r="D50" s="7" t="str">
        <f>IF($B50="","",IFERROR(IF(VLOOKUP($B50,'Historias y criterios'!$A$6:$P$83,3,FALSE)="","",VLOOKUP($B50,'Historias y criterios'!$A$6:$P$83,3,FALSE)),"ID no encontrado"))</f>
        <v>RF-17</v>
      </c>
      <c r="E50" s="11" t="s">
        <v>788</v>
      </c>
      <c r="F50" s="11" t="s">
        <v>789</v>
      </c>
      <c r="G50" s="11" t="s">
        <v>790</v>
      </c>
      <c r="H50" s="11" t="s">
        <v>791</v>
      </c>
      <c r="I50" s="11" t="s">
        <v>958</v>
      </c>
      <c r="J50" s="8" t="s">
        <v>959</v>
      </c>
      <c r="K50" s="8"/>
      <c r="L50" s="4" t="s">
        <v>989</v>
      </c>
      <c r="M50" s="13" t="s">
        <v>961</v>
      </c>
      <c r="N50" s="4" t="s">
        <v>239</v>
      </c>
      <c r="O50" s="4"/>
    </row>
    <row r="51" spans="1:15" ht="62.1" customHeight="1">
      <c r="A51" s="10" t="s">
        <v>141</v>
      </c>
      <c r="B51" s="8" t="s">
        <v>140</v>
      </c>
      <c r="C51" s="7" t="str">
        <f>IF($B51="","",IFERROR(IF(VLOOKUP($B51,'Historias y criterios'!$A$6:$P$83,2,FALSE)="","",VLOOKUP($B51,'Historias y criterios'!$A$6:$P$83,2,FALSE)),"ID no encontrado"))</f>
        <v>HU-012</v>
      </c>
      <c r="D51" s="7" t="str">
        <f>IF($B51="","",IFERROR(IF(VLOOKUP($B51,'Historias y criterios'!$A$6:$P$83,3,FALSE)="","",VLOOKUP($B51,'Historias y criterios'!$A$6:$P$83,3,FALSE)),"ID no encontrado"))</f>
        <v>RF-17</v>
      </c>
      <c r="E51" s="11" t="s">
        <v>792</v>
      </c>
      <c r="F51" s="11" t="s">
        <v>793</v>
      </c>
      <c r="G51" s="11" t="s">
        <v>794</v>
      </c>
      <c r="H51" s="11" t="s">
        <v>795</v>
      </c>
      <c r="I51" s="11" t="s">
        <v>958</v>
      </c>
      <c r="J51" s="8" t="s">
        <v>959</v>
      </c>
      <c r="K51" s="8"/>
      <c r="L51" s="4" t="s">
        <v>990</v>
      </c>
      <c r="M51" s="13" t="s">
        <v>961</v>
      </c>
      <c r="N51" s="4" t="s">
        <v>239</v>
      </c>
      <c r="O51" s="4"/>
    </row>
    <row r="52" spans="1:15" ht="62.1" customHeight="1">
      <c r="A52" s="10" t="s">
        <v>144</v>
      </c>
      <c r="B52" s="8" t="s">
        <v>143</v>
      </c>
      <c r="C52" s="7" t="str">
        <f>IF($B52="","",IFERROR(IF(VLOOKUP($B52,'Historias y criterios'!$A$6:$P$83,2,FALSE)="","",VLOOKUP($B52,'Historias y criterios'!$A$6:$P$83,2,FALSE)),"ID no encontrado"))</f>
        <v>HU-013</v>
      </c>
      <c r="D52" s="7" t="str">
        <f>IF($B52="","",IFERROR(IF(VLOOKUP($B52,'Historias y criterios'!$A$6:$P$83,3,FALSE)="","",VLOOKUP($B52,'Historias y criterios'!$A$6:$P$83,3,FALSE)),"ID no encontrado"))</f>
        <v>RF-18</v>
      </c>
      <c r="E52" s="11" t="s">
        <v>796</v>
      </c>
      <c r="F52" s="11" t="s">
        <v>797</v>
      </c>
      <c r="G52" s="11" t="s">
        <v>798</v>
      </c>
      <c r="H52" s="11" t="s">
        <v>799</v>
      </c>
      <c r="I52" s="11"/>
      <c r="J52" s="8" t="s">
        <v>633</v>
      </c>
      <c r="K52" s="8"/>
      <c r="L52" s="4"/>
      <c r="M52" s="13"/>
      <c r="N52" s="4" t="s">
        <v>239</v>
      </c>
      <c r="O52" s="4"/>
    </row>
    <row r="53" spans="1:15" ht="62.1" customHeight="1">
      <c r="A53" s="10" t="s">
        <v>146</v>
      </c>
      <c r="B53" s="8" t="s">
        <v>145</v>
      </c>
      <c r="C53" s="7" t="str">
        <f>IF($B53="","",IFERROR(IF(VLOOKUP($B53,'Historias y criterios'!$A$6:$P$83,2,FALSE)="","",VLOOKUP($B53,'Historias y criterios'!$A$6:$P$83,2,FALSE)),"ID no encontrado"))</f>
        <v>HU-013</v>
      </c>
      <c r="D53" s="7" t="str">
        <f>IF($B53="","",IFERROR(IF(VLOOKUP($B53,'Historias y criterios'!$A$6:$P$83,3,FALSE)="","",VLOOKUP($B53,'Historias y criterios'!$A$6:$P$83,3,FALSE)),"ID no encontrado"))</f>
        <v>RF-18</v>
      </c>
      <c r="E53" s="11" t="s">
        <v>800</v>
      </c>
      <c r="F53" s="11" t="s">
        <v>801</v>
      </c>
      <c r="G53" s="11" t="s">
        <v>802</v>
      </c>
      <c r="H53" s="11" t="s">
        <v>803</v>
      </c>
      <c r="I53" s="11"/>
      <c r="J53" s="8" t="s">
        <v>633</v>
      </c>
      <c r="K53" s="8"/>
      <c r="L53" s="4"/>
      <c r="M53" s="13"/>
      <c r="N53" s="4" t="s">
        <v>239</v>
      </c>
      <c r="O53" s="4"/>
    </row>
    <row r="54" spans="1:15" ht="62.1" customHeight="1">
      <c r="A54" s="10" t="s">
        <v>148</v>
      </c>
      <c r="B54" s="8" t="s">
        <v>147</v>
      </c>
      <c r="C54" s="7" t="str">
        <f>IF($B54="","",IFERROR(IF(VLOOKUP($B54,'Historias y criterios'!$A$6:$P$83,2,FALSE)="","",VLOOKUP($B54,'Historias y criterios'!$A$6:$P$83,2,FALSE)),"ID no encontrado"))</f>
        <v>HU-013</v>
      </c>
      <c r="D54" s="7" t="str">
        <f>IF($B54="","",IFERROR(IF(VLOOKUP($B54,'Historias y criterios'!$A$6:$P$83,3,FALSE)="","",VLOOKUP($B54,'Historias y criterios'!$A$6:$P$83,3,FALSE)),"ID no encontrado"))</f>
        <v>RF-18</v>
      </c>
      <c r="E54" s="11" t="s">
        <v>804</v>
      </c>
      <c r="F54" s="11" t="s">
        <v>805</v>
      </c>
      <c r="G54" s="11" t="s">
        <v>806</v>
      </c>
      <c r="H54" s="11" t="s">
        <v>807</v>
      </c>
      <c r="I54" s="11"/>
      <c r="J54" s="8" t="s">
        <v>633</v>
      </c>
      <c r="K54" s="8"/>
      <c r="L54" s="4"/>
      <c r="M54" s="13"/>
      <c r="N54" s="4" t="s">
        <v>239</v>
      </c>
      <c r="O54" s="4"/>
    </row>
    <row r="55" spans="1:15" ht="62.1" customHeight="1">
      <c r="A55" s="10" t="s">
        <v>150</v>
      </c>
      <c r="B55" s="8" t="s">
        <v>149</v>
      </c>
      <c r="C55" s="7" t="str">
        <f>IF($B55="","",IFERROR(IF(VLOOKUP($B55,'Historias y criterios'!$A$6:$P$83,2,FALSE)="","",VLOOKUP($B55,'Historias y criterios'!$A$6:$P$83,2,FALSE)),"ID no encontrado"))</f>
        <v>HU-013</v>
      </c>
      <c r="D55" s="7" t="str">
        <f>IF($B55="","",IFERROR(IF(VLOOKUP($B55,'Historias y criterios'!$A$6:$P$83,3,FALSE)="","",VLOOKUP($B55,'Historias y criterios'!$A$6:$P$83,3,FALSE)),"ID no encontrado"))</f>
        <v>RF-18</v>
      </c>
      <c r="E55" s="11" t="s">
        <v>808</v>
      </c>
      <c r="F55" s="11" t="s">
        <v>809</v>
      </c>
      <c r="G55" s="11" t="s">
        <v>810</v>
      </c>
      <c r="H55" s="11" t="s">
        <v>811</v>
      </c>
      <c r="I55" s="11"/>
      <c r="J55" s="8" t="s">
        <v>633</v>
      </c>
      <c r="K55" s="8"/>
      <c r="L55" s="4"/>
      <c r="M55" s="13"/>
      <c r="N55" s="4" t="s">
        <v>239</v>
      </c>
      <c r="O55" s="4"/>
    </row>
    <row r="56" spans="1:15" ht="62.1" customHeight="1">
      <c r="A56" s="10" t="s">
        <v>153</v>
      </c>
      <c r="B56" s="8" t="s">
        <v>152</v>
      </c>
      <c r="C56" s="7" t="str">
        <f>IF($B56="","",IFERROR(IF(VLOOKUP($B56,'Historias y criterios'!$A$6:$P$83,2,FALSE)="","",VLOOKUP($B56,'Historias y criterios'!$A$6:$P$83,2,FALSE)),"ID no encontrado"))</f>
        <v>HU-014</v>
      </c>
      <c r="D56" s="7" t="str">
        <f>IF($B56="","",IFERROR(IF(VLOOKUP($B56,'Historias y criterios'!$A$6:$P$83,3,FALSE)="","",VLOOKUP($B56,'Historias y criterios'!$A$6:$P$83,3,FALSE)),"ID no encontrado"))</f>
        <v>RF-19</v>
      </c>
      <c r="E56" s="11" t="s">
        <v>812</v>
      </c>
      <c r="F56" s="11" t="s">
        <v>813</v>
      </c>
      <c r="G56" s="11" t="s">
        <v>814</v>
      </c>
      <c r="H56" s="11" t="s">
        <v>556</v>
      </c>
      <c r="I56" s="11"/>
      <c r="J56" s="8" t="s">
        <v>633</v>
      </c>
      <c r="K56" s="8"/>
      <c r="L56" s="4"/>
      <c r="M56" s="13"/>
      <c r="N56" s="4" t="s">
        <v>239</v>
      </c>
      <c r="O56" s="4"/>
    </row>
    <row r="57" spans="1:15" ht="62.1" customHeight="1">
      <c r="A57" s="10" t="s">
        <v>156</v>
      </c>
      <c r="B57" s="8" t="s">
        <v>155</v>
      </c>
      <c r="C57" s="7" t="str">
        <f>IF($B57="","",IFERROR(IF(VLOOKUP($B57,'Historias y criterios'!$A$6:$P$83,2,FALSE)="","",VLOOKUP($B57,'Historias y criterios'!$A$6:$P$83,2,FALSE)),"ID no encontrado"))</f>
        <v>HU-014</v>
      </c>
      <c r="D57" s="7" t="str">
        <f>IF($B57="","",IFERROR(IF(VLOOKUP($B57,'Historias y criterios'!$A$6:$P$83,3,FALSE)="","",VLOOKUP($B57,'Historias y criterios'!$A$6:$P$83,3,FALSE)),"ID no encontrado"))</f>
        <v>RF-20</v>
      </c>
      <c r="E57" s="11" t="s">
        <v>815</v>
      </c>
      <c r="F57" s="11" t="s">
        <v>816</v>
      </c>
      <c r="G57" s="11" t="s">
        <v>817</v>
      </c>
      <c r="H57" s="11" t="s">
        <v>818</v>
      </c>
      <c r="I57" s="11"/>
      <c r="J57" s="8" t="s">
        <v>633</v>
      </c>
      <c r="K57" s="8"/>
      <c r="L57" s="4"/>
      <c r="M57" s="13"/>
      <c r="N57" s="4" t="s">
        <v>239</v>
      </c>
      <c r="O57" s="4"/>
    </row>
    <row r="58" spans="1:15" ht="62.1" customHeight="1">
      <c r="A58" s="10" t="s">
        <v>158</v>
      </c>
      <c r="B58" s="8" t="s">
        <v>157</v>
      </c>
      <c r="C58" s="7" t="str">
        <f>IF($B58="","",IFERROR(IF(VLOOKUP($B58,'Historias y criterios'!$A$6:$P$83,2,FALSE)="","",VLOOKUP($B58,'Historias y criterios'!$A$6:$P$83,2,FALSE)),"ID no encontrado"))</f>
        <v>HU-014</v>
      </c>
      <c r="D58" s="7" t="str">
        <f>IF($B58="","",IFERROR(IF(VLOOKUP($B58,'Historias y criterios'!$A$6:$P$83,3,FALSE)="","",VLOOKUP($B58,'Historias y criterios'!$A$6:$P$83,3,FALSE)),"ID no encontrado"))</f>
        <v>RF-19</v>
      </c>
      <c r="E58" s="11" t="s">
        <v>819</v>
      </c>
      <c r="F58" s="11" t="s">
        <v>820</v>
      </c>
      <c r="G58" s="11" t="s">
        <v>821</v>
      </c>
      <c r="H58" s="11" t="s">
        <v>822</v>
      </c>
      <c r="I58" s="11"/>
      <c r="J58" s="8" t="s">
        <v>633</v>
      </c>
      <c r="K58" s="8"/>
      <c r="L58" s="4"/>
      <c r="M58" s="13"/>
      <c r="N58" s="4" t="s">
        <v>239</v>
      </c>
      <c r="O58" s="4"/>
    </row>
    <row r="59" spans="1:15" ht="62.1" customHeight="1">
      <c r="A59" s="10" t="s">
        <v>160</v>
      </c>
      <c r="B59" s="8" t="s">
        <v>159</v>
      </c>
      <c r="C59" s="7" t="str">
        <f>IF($B59="","",IFERROR(IF(VLOOKUP($B59,'Historias y criterios'!$A$6:$P$83,2,FALSE)="","",VLOOKUP($B59,'Historias y criterios'!$A$6:$P$83,2,FALSE)),"ID no encontrado"))</f>
        <v>HU-014</v>
      </c>
      <c r="D59" s="7" t="str">
        <f>IF($B59="","",IFERROR(IF(VLOOKUP($B59,'Historias y criterios'!$A$6:$P$83,3,FALSE)="","",VLOOKUP($B59,'Historias y criterios'!$A$6:$P$83,3,FALSE)),"ID no encontrado"))</f>
        <v>RF-20</v>
      </c>
      <c r="E59" s="11" t="s">
        <v>823</v>
      </c>
      <c r="F59" s="11" t="s">
        <v>824</v>
      </c>
      <c r="G59" s="11" t="s">
        <v>825</v>
      </c>
      <c r="H59" s="11" t="s">
        <v>826</v>
      </c>
      <c r="I59" s="11"/>
      <c r="J59" s="8" t="s">
        <v>633</v>
      </c>
      <c r="K59" s="8"/>
      <c r="L59" s="4"/>
      <c r="M59" s="13"/>
      <c r="N59" s="4" t="s">
        <v>239</v>
      </c>
      <c r="O59" s="4"/>
    </row>
    <row r="60" spans="1:15" ht="62.1" customHeight="1">
      <c r="A60" s="10" t="s">
        <v>163</v>
      </c>
      <c r="B60" s="8" t="s">
        <v>162</v>
      </c>
      <c r="C60" s="7" t="str">
        <f>IF($B60="","",IFERROR(IF(VLOOKUP($B60,'Historias y criterios'!$A$6:$P$83,2,FALSE)="","",VLOOKUP($B60,'Historias y criterios'!$A$6:$P$83,2,FALSE)),"ID no encontrado"))</f>
        <v>HU-015</v>
      </c>
      <c r="D60" s="7" t="str">
        <f>IF($B60="","",IFERROR(IF(VLOOKUP($B60,'Historias y criterios'!$A$6:$P$83,3,FALSE)="","",VLOOKUP($B60,'Historias y criterios'!$A$6:$P$83,3,FALSE)),"ID no encontrado"))</f>
        <v>RF-26</v>
      </c>
      <c r="E60" s="11" t="s">
        <v>827</v>
      </c>
      <c r="F60" s="11" t="s">
        <v>943</v>
      </c>
      <c r="G60" s="11" t="s">
        <v>944</v>
      </c>
      <c r="H60" s="11" t="s">
        <v>945</v>
      </c>
      <c r="I60" s="11"/>
      <c r="J60" s="8" t="s">
        <v>633</v>
      </c>
      <c r="K60" s="8"/>
      <c r="L60" s="4"/>
      <c r="M60" s="13"/>
      <c r="N60" s="4" t="s">
        <v>256</v>
      </c>
      <c r="O60" s="4"/>
    </row>
    <row r="61" spans="1:15" ht="62.1" customHeight="1">
      <c r="A61" s="10" t="s">
        <v>165</v>
      </c>
      <c r="B61" s="8" t="s">
        <v>164</v>
      </c>
      <c r="C61" s="7" t="str">
        <f>IF($B61="","",IFERROR(IF(VLOOKUP($B61,'Historias y criterios'!$A$6:$P$83,2,FALSE)="","",VLOOKUP($B61,'Historias y criterios'!$A$6:$P$83,2,FALSE)),"ID no encontrado"))</f>
        <v>HU-015</v>
      </c>
      <c r="D61" s="7" t="str">
        <f>IF($B61="","",IFERROR(IF(VLOOKUP($B61,'Historias y criterios'!$A$6:$P$83,3,FALSE)="","",VLOOKUP($B61,'Historias y criterios'!$A$6:$P$83,3,FALSE)),"ID no encontrado"))</f>
        <v>RF-26</v>
      </c>
      <c r="E61" s="11" t="s">
        <v>828</v>
      </c>
      <c r="F61" s="11" t="s">
        <v>829</v>
      </c>
      <c r="G61" s="11" t="s">
        <v>830</v>
      </c>
      <c r="H61" s="11" t="s">
        <v>831</v>
      </c>
      <c r="I61" s="11"/>
      <c r="J61" s="8" t="s">
        <v>633</v>
      </c>
      <c r="K61" s="8"/>
      <c r="L61" s="4"/>
      <c r="M61" s="13"/>
      <c r="N61" s="4" t="s">
        <v>256</v>
      </c>
      <c r="O61" s="4"/>
    </row>
    <row r="62" spans="1:15" ht="62.1" customHeight="1">
      <c r="A62" s="10" t="s">
        <v>167</v>
      </c>
      <c r="B62" s="8" t="s">
        <v>166</v>
      </c>
      <c r="C62" s="7" t="str">
        <f>IF($B62="","",IFERROR(IF(VLOOKUP($B62,'Historias y criterios'!$A$6:$P$83,2,FALSE)="","",VLOOKUP($B62,'Historias y criterios'!$A$6:$P$83,2,FALSE)),"ID no encontrado"))</f>
        <v>HU-015</v>
      </c>
      <c r="D62" s="7" t="str">
        <f>IF($B62="","",IFERROR(IF(VLOOKUP($B62,'Historias y criterios'!$A$6:$P$83,3,FALSE)="","",VLOOKUP($B62,'Historias y criterios'!$A$6:$P$83,3,FALSE)),"ID no encontrado"))</f>
        <v>RF-26</v>
      </c>
      <c r="E62" s="11" t="s">
        <v>832</v>
      </c>
      <c r="F62" s="11" t="s">
        <v>833</v>
      </c>
      <c r="G62" s="11" t="s">
        <v>834</v>
      </c>
      <c r="H62" s="11" t="s">
        <v>835</v>
      </c>
      <c r="I62" s="11"/>
      <c r="J62" s="8" t="s">
        <v>633</v>
      </c>
      <c r="K62" s="8"/>
      <c r="L62" s="4"/>
      <c r="M62" s="13"/>
      <c r="N62" s="4" t="s">
        <v>256</v>
      </c>
      <c r="O62" s="4"/>
    </row>
    <row r="63" spans="1:15" ht="62.1" customHeight="1">
      <c r="A63" s="10" t="s">
        <v>169</v>
      </c>
      <c r="B63" s="8" t="s">
        <v>168</v>
      </c>
      <c r="C63" s="7" t="str">
        <f>IF($B63="","",IFERROR(IF(VLOOKUP($B63,'Historias y criterios'!$A$6:$P$83,2,FALSE)="","",VLOOKUP($B63,'Historias y criterios'!$A$6:$P$83,2,FALSE)),"ID no encontrado"))</f>
        <v>HU-015</v>
      </c>
      <c r="D63" s="7" t="str">
        <f>IF($B63="","",IFERROR(IF(VLOOKUP($B63,'Historias y criterios'!$A$6:$P$83,3,FALSE)="","",VLOOKUP($B63,'Historias y criterios'!$A$6:$P$83,3,FALSE)),"ID no encontrado"))</f>
        <v>RF-26</v>
      </c>
      <c r="E63" s="11" t="s">
        <v>836</v>
      </c>
      <c r="F63" s="11" t="s">
        <v>837</v>
      </c>
      <c r="G63" s="11" t="s">
        <v>838</v>
      </c>
      <c r="H63" s="11" t="s">
        <v>839</v>
      </c>
      <c r="I63" s="11"/>
      <c r="J63" s="8" t="s">
        <v>633</v>
      </c>
      <c r="K63" s="8"/>
      <c r="L63" s="4"/>
      <c r="M63" s="13"/>
      <c r="N63" s="4" t="s">
        <v>256</v>
      </c>
      <c r="O63" s="4"/>
    </row>
    <row r="64" spans="1:15" ht="62.1" customHeight="1">
      <c r="A64" s="10" t="s">
        <v>172</v>
      </c>
      <c r="B64" s="8" t="s">
        <v>171</v>
      </c>
      <c r="C64" s="7" t="str">
        <f>IF($B64="","",IFERROR(IF(VLOOKUP($B64,'Historias y criterios'!$A$6:$P$83,2,FALSE)="","",VLOOKUP($B64,'Historias y criterios'!$A$6:$P$83,2,FALSE)),"ID no encontrado"))</f>
        <v>HU-016</v>
      </c>
      <c r="D64" s="7" t="str">
        <f>IF($B64="","",IFERROR(IF(VLOOKUP($B64,'Historias y criterios'!$A$6:$P$83,3,FALSE)="","",VLOOKUP($B64,'Historias y criterios'!$A$6:$P$83,3,FALSE)),"ID no encontrado"))</f>
        <v>RF-27</v>
      </c>
      <c r="E64" s="11" t="s">
        <v>840</v>
      </c>
      <c r="F64" s="11" t="s">
        <v>841</v>
      </c>
      <c r="G64" s="11" t="s">
        <v>842</v>
      </c>
      <c r="H64" s="11" t="s">
        <v>843</v>
      </c>
      <c r="I64" s="11"/>
      <c r="J64" s="8" t="s">
        <v>633</v>
      </c>
      <c r="K64" s="8"/>
      <c r="L64" s="4"/>
      <c r="M64" s="13"/>
      <c r="N64" s="4" t="s">
        <v>256</v>
      </c>
      <c r="O64" s="4"/>
    </row>
    <row r="65" spans="1:15" ht="62.1" customHeight="1">
      <c r="A65" s="10" t="s">
        <v>174</v>
      </c>
      <c r="B65" s="8" t="s">
        <v>173</v>
      </c>
      <c r="C65" s="7" t="str">
        <f>IF($B65="","",IFERROR(IF(VLOOKUP($B65,'Historias y criterios'!$A$6:$P$83,2,FALSE)="","",VLOOKUP($B65,'Historias y criterios'!$A$6:$P$83,2,FALSE)),"ID no encontrado"))</f>
        <v>HU-016</v>
      </c>
      <c r="D65" s="7" t="str">
        <f>IF($B65="","",IFERROR(IF(VLOOKUP($B65,'Historias y criterios'!$A$6:$P$83,3,FALSE)="","",VLOOKUP($B65,'Historias y criterios'!$A$6:$P$83,3,FALSE)),"ID no encontrado"))</f>
        <v>RF-27</v>
      </c>
      <c r="E65" s="11" t="s">
        <v>844</v>
      </c>
      <c r="F65" s="11" t="s">
        <v>845</v>
      </c>
      <c r="G65" s="11" t="s">
        <v>846</v>
      </c>
      <c r="H65" s="11" t="s">
        <v>847</v>
      </c>
      <c r="I65" s="11"/>
      <c r="J65" s="8" t="s">
        <v>633</v>
      </c>
      <c r="K65" s="8"/>
      <c r="L65" s="4"/>
      <c r="M65" s="13"/>
      <c r="N65" s="4" t="s">
        <v>256</v>
      </c>
      <c r="O65" s="4"/>
    </row>
    <row r="66" spans="1:15" ht="62.1" customHeight="1">
      <c r="A66" s="10" t="s">
        <v>176</v>
      </c>
      <c r="B66" s="8" t="s">
        <v>175</v>
      </c>
      <c r="C66" s="7" t="str">
        <f>IF($B66="","",IFERROR(IF(VLOOKUP($B66,'Historias y criterios'!$A$6:$P$83,2,FALSE)="","",VLOOKUP($B66,'Historias y criterios'!$A$6:$P$83,2,FALSE)),"ID no encontrado"))</f>
        <v>HU-016</v>
      </c>
      <c r="D66" s="7" t="str">
        <f>IF($B66="","",IFERROR(IF(VLOOKUP($B66,'Historias y criterios'!$A$6:$P$83,3,FALSE)="","",VLOOKUP($B66,'Historias y criterios'!$A$6:$P$83,3,FALSE)),"ID no encontrado"))</f>
        <v>RF-27</v>
      </c>
      <c r="E66" s="11" t="s">
        <v>848</v>
      </c>
      <c r="F66" s="11" t="s">
        <v>849</v>
      </c>
      <c r="G66" s="11" t="s">
        <v>850</v>
      </c>
      <c r="H66" s="11" t="s">
        <v>851</v>
      </c>
      <c r="I66" s="11"/>
      <c r="J66" s="8" t="s">
        <v>633</v>
      </c>
      <c r="K66" s="8"/>
      <c r="L66" s="4"/>
      <c r="M66" s="13"/>
      <c r="N66" s="4" t="s">
        <v>256</v>
      </c>
      <c r="O66" s="4"/>
    </row>
    <row r="67" spans="1:15" ht="62.1" customHeight="1">
      <c r="A67" s="10" t="s">
        <v>178</v>
      </c>
      <c r="B67" s="8" t="s">
        <v>177</v>
      </c>
      <c r="C67" s="7" t="str">
        <f>IF($B67="","",IFERROR(IF(VLOOKUP($B67,'Historias y criterios'!$A$6:$P$83,2,FALSE)="","",VLOOKUP($B67,'Historias y criterios'!$A$6:$P$83,2,FALSE)),"ID no encontrado"))</f>
        <v>HU-016</v>
      </c>
      <c r="D67" s="7" t="str">
        <f>IF($B67="","",IFERROR(IF(VLOOKUP($B67,'Historias y criterios'!$A$6:$P$83,3,FALSE)="","",VLOOKUP($B67,'Historias y criterios'!$A$6:$P$83,3,FALSE)),"ID no encontrado"))</f>
        <v>RF-27</v>
      </c>
      <c r="E67" s="11" t="s">
        <v>852</v>
      </c>
      <c r="F67" s="11" t="s">
        <v>853</v>
      </c>
      <c r="G67" s="11" t="s">
        <v>854</v>
      </c>
      <c r="H67" s="11" t="s">
        <v>855</v>
      </c>
      <c r="I67" s="11"/>
      <c r="J67" s="8" t="s">
        <v>633</v>
      </c>
      <c r="K67" s="8"/>
      <c r="L67" s="4"/>
      <c r="M67" s="13"/>
      <c r="N67" s="4" t="s">
        <v>256</v>
      </c>
      <c r="O67" s="4"/>
    </row>
    <row r="68" spans="1:15" ht="62.1" customHeight="1">
      <c r="A68" s="10" t="s">
        <v>181</v>
      </c>
      <c r="B68" s="8" t="s">
        <v>180</v>
      </c>
      <c r="C68" s="7" t="str">
        <f>IF($B68="","",IFERROR(IF(VLOOKUP($B68,'Historias y criterios'!$A$6:$P$83,2,FALSE)="","",VLOOKUP($B68,'Historias y criterios'!$A$6:$P$83,2,FALSE)),"ID no encontrado"))</f>
        <v>HU-017</v>
      </c>
      <c r="D68" s="7" t="str">
        <f>IF($B68="","",IFERROR(IF(VLOOKUP($B68,'Historias y criterios'!$A$6:$P$83,3,FALSE)="","",VLOOKUP($B68,'Historias y criterios'!$A$6:$P$83,3,FALSE)),"ID no encontrado"))</f>
        <v>RF-28</v>
      </c>
      <c r="E68" s="11" t="s">
        <v>856</v>
      </c>
      <c r="F68" s="11" t="s">
        <v>857</v>
      </c>
      <c r="G68" s="11" t="s">
        <v>858</v>
      </c>
      <c r="H68" s="11" t="s">
        <v>859</v>
      </c>
      <c r="I68" s="11"/>
      <c r="J68" s="8" t="s">
        <v>633</v>
      </c>
      <c r="K68" s="8"/>
      <c r="L68" s="4"/>
      <c r="M68" s="13"/>
      <c r="N68" s="4" t="s">
        <v>256</v>
      </c>
      <c r="O68" s="4"/>
    </row>
    <row r="69" spans="1:15" ht="62.1" customHeight="1">
      <c r="A69" s="10" t="s">
        <v>183</v>
      </c>
      <c r="B69" s="8" t="s">
        <v>182</v>
      </c>
      <c r="C69" s="7" t="str">
        <f>IF($B69="","",IFERROR(IF(VLOOKUP($B69,'Historias y criterios'!$A$6:$P$83,2,FALSE)="","",VLOOKUP($B69,'Historias y criterios'!$A$6:$P$83,2,FALSE)),"ID no encontrado"))</f>
        <v>HU-017</v>
      </c>
      <c r="D69" s="7" t="str">
        <f>IF($B69="","",IFERROR(IF(VLOOKUP($B69,'Historias y criterios'!$A$6:$P$83,3,FALSE)="","",VLOOKUP($B69,'Historias y criterios'!$A$6:$P$83,3,FALSE)),"ID no encontrado"))</f>
        <v>RF-28</v>
      </c>
      <c r="E69" s="11" t="s">
        <v>860</v>
      </c>
      <c r="F69" s="11" t="s">
        <v>861</v>
      </c>
      <c r="G69" s="11" t="s">
        <v>862</v>
      </c>
      <c r="H69" s="11" t="s">
        <v>863</v>
      </c>
      <c r="I69" s="11"/>
      <c r="J69" s="8" t="s">
        <v>633</v>
      </c>
      <c r="K69" s="8"/>
      <c r="L69" s="4"/>
      <c r="M69" s="13"/>
      <c r="N69" s="4" t="s">
        <v>256</v>
      </c>
      <c r="O69" s="4"/>
    </row>
    <row r="70" spans="1:15" ht="62.1" customHeight="1">
      <c r="A70" s="10" t="s">
        <v>186</v>
      </c>
      <c r="B70" s="8" t="s">
        <v>185</v>
      </c>
      <c r="C70" s="7" t="str">
        <f>IF($B70="","",IFERROR(IF(VLOOKUP($B70,'Historias y criterios'!$A$6:$P$83,2,FALSE)="","",VLOOKUP($B70,'Historias y criterios'!$A$6:$P$83,2,FALSE)),"ID no encontrado"))</f>
        <v>HU-017</v>
      </c>
      <c r="D70" s="7" t="str">
        <f>IF($B70="","",IFERROR(IF(VLOOKUP($B70,'Historias y criterios'!$A$6:$P$83,3,FALSE)="","",VLOOKUP($B70,'Historias y criterios'!$A$6:$P$83,3,FALSE)),"ID no encontrado"))</f>
        <v>RF-32</v>
      </c>
      <c r="E70" s="11" t="s">
        <v>864</v>
      </c>
      <c r="F70" s="11" t="s">
        <v>865</v>
      </c>
      <c r="G70" s="11" t="s">
        <v>866</v>
      </c>
      <c r="H70" s="11" t="s">
        <v>867</v>
      </c>
      <c r="I70" s="11"/>
      <c r="J70" s="8" t="s">
        <v>633</v>
      </c>
      <c r="K70" s="8"/>
      <c r="L70" s="4"/>
      <c r="M70" s="13"/>
      <c r="N70" s="4" t="s">
        <v>256</v>
      </c>
      <c r="O70" s="4"/>
    </row>
    <row r="71" spans="1:15" ht="62.1" customHeight="1">
      <c r="A71" s="10" t="s">
        <v>188</v>
      </c>
      <c r="B71" s="8" t="s">
        <v>187</v>
      </c>
      <c r="C71" s="7" t="str">
        <f>IF($B71="","",IFERROR(IF(VLOOKUP($B71,'Historias y criterios'!$A$6:$P$83,2,FALSE)="","",VLOOKUP($B71,'Historias y criterios'!$A$6:$P$83,2,FALSE)),"ID no encontrado"))</f>
        <v>HU-017</v>
      </c>
      <c r="D71" s="7" t="str">
        <f>IF($B71="","",IFERROR(IF(VLOOKUP($B71,'Historias y criterios'!$A$6:$P$83,3,FALSE)="","",VLOOKUP($B71,'Historias y criterios'!$A$6:$P$83,3,FALSE)),"ID no encontrado"))</f>
        <v>RF-32</v>
      </c>
      <c r="E71" s="11" t="s">
        <v>868</v>
      </c>
      <c r="F71" s="11" t="s">
        <v>869</v>
      </c>
      <c r="G71" s="11" t="s">
        <v>870</v>
      </c>
      <c r="H71" s="11" t="s">
        <v>871</v>
      </c>
      <c r="I71" s="11"/>
      <c r="J71" s="8" t="s">
        <v>633</v>
      </c>
      <c r="K71" s="8"/>
      <c r="L71" s="4"/>
      <c r="M71" s="13"/>
      <c r="N71" s="4" t="s">
        <v>256</v>
      </c>
      <c r="O71" s="4"/>
    </row>
    <row r="72" spans="1:15" ht="62.1" customHeight="1">
      <c r="A72" s="10" t="s">
        <v>191</v>
      </c>
      <c r="B72" s="8" t="s">
        <v>190</v>
      </c>
      <c r="C72" s="7" t="str">
        <f>IF($B72="","",IFERROR(IF(VLOOKUP($B72,'Historias y criterios'!$A$6:$P$83,2,FALSE)="","",VLOOKUP($B72,'Historias y criterios'!$A$6:$P$83,2,FALSE)),"ID no encontrado"))</f>
        <v>HU-018</v>
      </c>
      <c r="D72" s="7" t="str">
        <f>IF($B72="","",IFERROR(IF(VLOOKUP($B72,'Historias y criterios'!$A$6:$P$83,3,FALSE)="","",VLOOKUP($B72,'Historias y criterios'!$A$6:$P$83,3,FALSE)),"ID no encontrado"))</f>
        <v>RF-22</v>
      </c>
      <c r="E72" s="11" t="s">
        <v>872</v>
      </c>
      <c r="F72" s="11" t="s">
        <v>736</v>
      </c>
      <c r="G72" s="11" t="s">
        <v>873</v>
      </c>
      <c r="H72" s="11" t="s">
        <v>874</v>
      </c>
      <c r="I72" s="11"/>
      <c r="J72" s="8" t="s">
        <v>633</v>
      </c>
      <c r="K72" s="8"/>
      <c r="L72" s="4"/>
      <c r="M72" s="13"/>
      <c r="N72" s="4" t="s">
        <v>262</v>
      </c>
      <c r="O72" s="4"/>
    </row>
    <row r="73" spans="1:15" ht="75.599999999999994" customHeight="1">
      <c r="A73" s="10" t="s">
        <v>193</v>
      </c>
      <c r="B73" s="8" t="s">
        <v>192</v>
      </c>
      <c r="C73" s="7" t="str">
        <f>IF($B73="","",IFERROR(IF(VLOOKUP($B73,'Historias y criterios'!$A$6:$P$83,2,FALSE)="","",VLOOKUP($B73,'Historias y criterios'!$A$6:$P$83,2,FALSE)),"ID no encontrado"))</f>
        <v>HU-018</v>
      </c>
      <c r="D73" s="7" t="str">
        <f>IF($B73="","",IFERROR(IF(VLOOKUP($B73,'Historias y criterios'!$A$6:$P$83,3,FALSE)="","",VLOOKUP($B73,'Historias y criterios'!$A$6:$P$83,3,FALSE)),"ID no encontrado"))</f>
        <v>RF-22</v>
      </c>
      <c r="E73" s="11" t="s">
        <v>875</v>
      </c>
      <c r="F73" s="11" t="s">
        <v>876</v>
      </c>
      <c r="G73" s="11" t="s">
        <v>946</v>
      </c>
      <c r="H73" s="11" t="s">
        <v>877</v>
      </c>
      <c r="I73" s="11"/>
      <c r="J73" s="8" t="s">
        <v>633</v>
      </c>
      <c r="K73" s="8"/>
      <c r="L73" s="4"/>
      <c r="M73" s="13"/>
      <c r="N73" s="4" t="s">
        <v>262</v>
      </c>
      <c r="O73" s="4"/>
    </row>
    <row r="74" spans="1:15" ht="62.1" customHeight="1">
      <c r="A74" s="10" t="s">
        <v>196</v>
      </c>
      <c r="B74" s="8" t="s">
        <v>195</v>
      </c>
      <c r="C74" s="7" t="str">
        <f>IF($B74="","",IFERROR(IF(VLOOKUP($B74,'Historias y criterios'!$A$6:$P$83,2,FALSE)="","",VLOOKUP($B74,'Historias y criterios'!$A$6:$P$83,2,FALSE)),"ID no encontrado"))</f>
        <v>HU-018</v>
      </c>
      <c r="D74" s="7" t="str">
        <f>IF($B74="","",IFERROR(IF(VLOOKUP($B74,'Historias y criterios'!$A$6:$P$83,3,FALSE)="","",VLOOKUP($B74,'Historias y criterios'!$A$6:$P$83,3,FALSE)),"ID no encontrado"))</f>
        <v>RF-23</v>
      </c>
      <c r="E74" s="11" t="s">
        <v>878</v>
      </c>
      <c r="F74" s="11" t="s">
        <v>879</v>
      </c>
      <c r="G74" s="11" t="s">
        <v>947</v>
      </c>
      <c r="H74" s="11" t="s">
        <v>948</v>
      </c>
      <c r="I74" s="11"/>
      <c r="J74" s="8" t="s">
        <v>633</v>
      </c>
      <c r="K74" s="8"/>
      <c r="L74" s="4"/>
      <c r="M74" s="13"/>
      <c r="N74" s="4" t="s">
        <v>262</v>
      </c>
      <c r="O74" s="4"/>
    </row>
    <row r="75" spans="1:15" ht="62.1" customHeight="1">
      <c r="A75" s="10" t="s">
        <v>198</v>
      </c>
      <c r="B75" s="8" t="s">
        <v>197</v>
      </c>
      <c r="C75" s="7" t="str">
        <f>IF($B75="","",IFERROR(IF(VLOOKUP($B75,'Historias y criterios'!$A$6:$P$83,2,FALSE)="","",VLOOKUP($B75,'Historias y criterios'!$A$6:$P$83,2,FALSE)),"ID no encontrado"))</f>
        <v>HU-018</v>
      </c>
      <c r="D75" s="7" t="str">
        <f>IF($B75="","",IFERROR(IF(VLOOKUP($B75,'Historias y criterios'!$A$6:$P$83,3,FALSE)="","",VLOOKUP($B75,'Historias y criterios'!$A$6:$P$83,3,FALSE)),"ID no encontrado"))</f>
        <v>RF-23</v>
      </c>
      <c r="E75" s="11" t="s">
        <v>880</v>
      </c>
      <c r="F75" s="11" t="s">
        <v>881</v>
      </c>
      <c r="G75" s="11" t="s">
        <v>882</v>
      </c>
      <c r="H75" s="11" t="s">
        <v>883</v>
      </c>
      <c r="I75" s="11"/>
      <c r="J75" s="8" t="s">
        <v>633</v>
      </c>
      <c r="K75" s="8"/>
      <c r="L75" s="4"/>
      <c r="M75" s="13"/>
      <c r="N75" s="4" t="s">
        <v>262</v>
      </c>
      <c r="O75" s="4"/>
    </row>
    <row r="76" spans="1:15" ht="62.1" customHeight="1">
      <c r="A76" s="10" t="s">
        <v>201</v>
      </c>
      <c r="B76" s="8" t="s">
        <v>200</v>
      </c>
      <c r="C76" s="7" t="str">
        <f>IF($B76="","",IFERROR(IF(VLOOKUP($B76,'Historias y criterios'!$A$6:$P$83,2,FALSE)="","",VLOOKUP($B76,'Historias y criterios'!$A$6:$P$83,2,FALSE)),"ID no encontrado"))</f>
        <v>HU-019</v>
      </c>
      <c r="D76" s="7" t="str">
        <f>IF($B76="","",IFERROR(IF(VLOOKUP($B76,'Historias y criterios'!$A$6:$P$83,3,FALSE)="","",VLOOKUP($B76,'Historias y criterios'!$A$6:$P$83,3,FALSE)),"ID no encontrado"))</f>
        <v>RF-24</v>
      </c>
      <c r="E76" s="11" t="s">
        <v>369</v>
      </c>
      <c r="F76" s="11" t="s">
        <v>884</v>
      </c>
      <c r="G76" s="11" t="s">
        <v>885</v>
      </c>
      <c r="H76" s="11" t="s">
        <v>886</v>
      </c>
      <c r="I76" s="11"/>
      <c r="J76" s="8" t="s">
        <v>633</v>
      </c>
      <c r="K76" s="8"/>
      <c r="L76" s="4"/>
      <c r="M76" s="13"/>
      <c r="N76" s="4" t="s">
        <v>239</v>
      </c>
      <c r="O76" s="4"/>
    </row>
    <row r="77" spans="1:15" ht="62.1" customHeight="1">
      <c r="A77" s="10" t="s">
        <v>204</v>
      </c>
      <c r="B77" s="8" t="s">
        <v>203</v>
      </c>
      <c r="C77" s="7" t="str">
        <f>IF($B77="","",IFERROR(IF(VLOOKUP($B77,'Historias y criterios'!$A$6:$P$83,2,FALSE)="","",VLOOKUP($B77,'Historias y criterios'!$A$6:$P$83,2,FALSE)),"ID no encontrado"))</f>
        <v>HU-019</v>
      </c>
      <c r="D77" s="7" t="str">
        <f>IF($B77="","",IFERROR(IF(VLOOKUP($B77,'Historias y criterios'!$A$6:$P$83,3,FALSE)="","",VLOOKUP($B77,'Historias y criterios'!$A$6:$P$83,3,FALSE)),"ID no encontrado"))</f>
        <v>RF-33</v>
      </c>
      <c r="E77" s="11" t="s">
        <v>887</v>
      </c>
      <c r="F77" s="11" t="s">
        <v>888</v>
      </c>
      <c r="G77" s="11" t="s">
        <v>889</v>
      </c>
      <c r="H77" s="11" t="s">
        <v>890</v>
      </c>
      <c r="I77" s="11"/>
      <c r="J77" s="8" t="s">
        <v>633</v>
      </c>
      <c r="K77" s="8"/>
      <c r="L77" s="4"/>
      <c r="M77" s="13"/>
      <c r="N77" s="4" t="s">
        <v>239</v>
      </c>
      <c r="O77" s="4"/>
    </row>
    <row r="78" spans="1:15" ht="62.1" customHeight="1">
      <c r="A78" s="10" t="s">
        <v>207</v>
      </c>
      <c r="B78" s="8" t="s">
        <v>206</v>
      </c>
      <c r="C78" s="7" t="str">
        <f>IF($B78="","",IFERROR(IF(VLOOKUP($B78,'Historias y criterios'!$A$6:$P$83,2,FALSE)="","",VLOOKUP($B78,'Historias y criterios'!$A$6:$P$83,2,FALSE)),"ID no encontrado"))</f>
        <v>HU-019</v>
      </c>
      <c r="D78" s="7" t="str">
        <f>IF($B78="","",IFERROR(IF(VLOOKUP($B78,'Historias y criterios'!$A$6:$P$83,3,FALSE)="","",VLOOKUP($B78,'Historias y criterios'!$A$6:$P$83,3,FALSE)),"ID no encontrado"))</f>
        <v>RF-25</v>
      </c>
      <c r="E78" s="11" t="s">
        <v>891</v>
      </c>
      <c r="F78" s="11" t="s">
        <v>892</v>
      </c>
      <c r="G78" s="11" t="s">
        <v>893</v>
      </c>
      <c r="H78" s="11" t="s">
        <v>894</v>
      </c>
      <c r="I78" s="11"/>
      <c r="J78" s="8" t="s">
        <v>633</v>
      </c>
      <c r="K78" s="8"/>
      <c r="L78" s="4"/>
      <c r="M78" s="13"/>
      <c r="N78" s="4" t="s">
        <v>239</v>
      </c>
      <c r="O78" s="4"/>
    </row>
    <row r="79" spans="1:15" ht="75.599999999999994" customHeight="1">
      <c r="A79" s="10" t="s">
        <v>209</v>
      </c>
      <c r="B79" s="8" t="s">
        <v>208</v>
      </c>
      <c r="C79" s="7" t="str">
        <f>IF($B79="","",IFERROR(IF(VLOOKUP($B79,'Historias y criterios'!$A$6:$P$83,2,FALSE)="","",VLOOKUP($B79,'Historias y criterios'!$A$6:$P$83,2,FALSE)),"ID no encontrado"))</f>
        <v>HU-019</v>
      </c>
      <c r="D79" s="7" t="str">
        <f>IF($B79="","",IFERROR(IF(VLOOKUP($B79,'Historias y criterios'!$A$6:$P$83,3,FALSE)="","",VLOOKUP($B79,'Historias y criterios'!$A$6:$P$83,3,FALSE)),"ID no encontrado"))</f>
        <v>RF-25</v>
      </c>
      <c r="E79" s="11" t="s">
        <v>895</v>
      </c>
      <c r="F79" s="11" t="s">
        <v>896</v>
      </c>
      <c r="G79" s="11" t="s">
        <v>897</v>
      </c>
      <c r="H79" s="11" t="s">
        <v>898</v>
      </c>
      <c r="I79" s="11"/>
      <c r="J79" s="8" t="s">
        <v>633</v>
      </c>
      <c r="K79" s="8"/>
      <c r="L79" s="4"/>
      <c r="M79" s="13"/>
      <c r="N79" s="4" t="s">
        <v>239</v>
      </c>
      <c r="O79" s="4"/>
    </row>
    <row r="80" spans="1:15" ht="62.1" customHeight="1">
      <c r="A80" s="10" t="s">
        <v>212</v>
      </c>
      <c r="B80" s="8" t="s">
        <v>211</v>
      </c>
      <c r="C80" s="7" t="str">
        <f>IF($B80="","",IFERROR(IF(VLOOKUP($B80,'Historias y criterios'!$A$6:$P$83,2,FALSE)="","",VLOOKUP($B80,'Historias y criterios'!$A$6:$P$83,2,FALSE)),"ID no encontrado"))</f>
        <v>HU-020</v>
      </c>
      <c r="D80" s="7" t="str">
        <f>IF($B80="","",IFERROR(IF(VLOOKUP($B80,'Historias y criterios'!$A$6:$P$83,3,FALSE)="","",VLOOKUP($B80,'Historias y criterios'!$A$6:$P$83,3,FALSE)),"ID no encontrado"))</f>
        <v>RF-30</v>
      </c>
      <c r="E80" s="11" t="s">
        <v>899</v>
      </c>
      <c r="F80" s="11" t="s">
        <v>900</v>
      </c>
      <c r="G80" s="11" t="s">
        <v>901</v>
      </c>
      <c r="H80" s="11" t="s">
        <v>902</v>
      </c>
      <c r="I80" s="11"/>
      <c r="J80" s="8" t="s">
        <v>633</v>
      </c>
      <c r="K80" s="8"/>
      <c r="L80" s="4"/>
      <c r="M80" s="13"/>
      <c r="N80" s="4" t="s">
        <v>262</v>
      </c>
      <c r="O80" s="4"/>
    </row>
    <row r="81" spans="1:15" ht="62.1" customHeight="1">
      <c r="A81" s="10" t="s">
        <v>214</v>
      </c>
      <c r="B81" s="8" t="s">
        <v>213</v>
      </c>
      <c r="C81" s="7" t="str">
        <f>IF($B81="","",IFERROR(IF(VLOOKUP($B81,'Historias y criterios'!$A$6:$P$83,2,FALSE)="","",VLOOKUP($B81,'Historias y criterios'!$A$6:$P$83,2,FALSE)),"ID no encontrado"))</f>
        <v>HU-020</v>
      </c>
      <c r="D81" s="7" t="str">
        <f>IF($B81="","",IFERROR(IF(VLOOKUP($B81,'Historias y criterios'!$A$6:$P$83,3,FALSE)="","",VLOOKUP($B81,'Historias y criterios'!$A$6:$P$83,3,FALSE)),"ID no encontrado"))</f>
        <v>RF-30</v>
      </c>
      <c r="E81" s="11" t="s">
        <v>903</v>
      </c>
      <c r="F81" s="11" t="s">
        <v>904</v>
      </c>
      <c r="G81" s="11" t="s">
        <v>905</v>
      </c>
      <c r="H81" s="11" t="s">
        <v>906</v>
      </c>
      <c r="I81" s="11"/>
      <c r="J81" s="8" t="s">
        <v>633</v>
      </c>
      <c r="K81" s="8"/>
      <c r="L81" s="4"/>
      <c r="M81" s="13"/>
      <c r="N81" s="4" t="s">
        <v>262</v>
      </c>
      <c r="O81" s="4"/>
    </row>
    <row r="82" spans="1:15" ht="62.1" customHeight="1">
      <c r="A82" s="10" t="s">
        <v>216</v>
      </c>
      <c r="B82" s="8" t="s">
        <v>215</v>
      </c>
      <c r="C82" s="7" t="str">
        <f>IF($B82="","",IFERROR(IF(VLOOKUP($B82,'Historias y criterios'!$A$6:$P$83,2,FALSE)="","",VLOOKUP($B82,'Historias y criterios'!$A$6:$P$83,2,FALSE)),"ID no encontrado"))</f>
        <v>HU-020</v>
      </c>
      <c r="D82" s="7" t="str">
        <f>IF($B82="","",IFERROR(IF(VLOOKUP($B82,'Historias y criterios'!$A$6:$P$83,3,FALSE)="","",VLOOKUP($B82,'Historias y criterios'!$A$6:$P$83,3,FALSE)),"ID no encontrado"))</f>
        <v>RF-30</v>
      </c>
      <c r="E82" s="11" t="s">
        <v>907</v>
      </c>
      <c r="F82" s="11" t="s">
        <v>908</v>
      </c>
      <c r="G82" s="11" t="s">
        <v>909</v>
      </c>
      <c r="H82" s="11" t="s">
        <v>910</v>
      </c>
      <c r="I82" s="11"/>
      <c r="J82" s="8" t="s">
        <v>633</v>
      </c>
      <c r="K82" s="8"/>
      <c r="L82" s="4"/>
      <c r="M82" s="13"/>
      <c r="N82" s="4" t="s">
        <v>262</v>
      </c>
      <c r="O82" s="4"/>
    </row>
    <row r="83" spans="1:15" ht="62.1" customHeight="1">
      <c r="A83" s="10" t="s">
        <v>219</v>
      </c>
      <c r="B83" s="8" t="s">
        <v>218</v>
      </c>
      <c r="C83" s="7" t="str">
        <f>IF($B83="","",IFERROR(IF(VLOOKUP($B83,'Historias y criterios'!$A$6:$P$83,2,FALSE)="","",VLOOKUP($B83,'Historias y criterios'!$A$6:$P$83,2,FALSE)),"ID no encontrado"))</f>
        <v>HU-020</v>
      </c>
      <c r="D83" s="7" t="str">
        <f>IF($B83="","",IFERROR(IF(VLOOKUP($B83,'Historias y criterios'!$A$6:$P$83,3,FALSE)="","",VLOOKUP($B83,'Historias y criterios'!$A$6:$P$83,3,FALSE)),"ID no encontrado"))</f>
        <v>RF-34</v>
      </c>
      <c r="E83" s="11" t="s">
        <v>911</v>
      </c>
      <c r="F83" s="11" t="s">
        <v>912</v>
      </c>
      <c r="G83" s="11" t="s">
        <v>913</v>
      </c>
      <c r="H83" s="11" t="s">
        <v>914</v>
      </c>
      <c r="I83" s="11"/>
      <c r="J83" s="8" t="s">
        <v>633</v>
      </c>
      <c r="K83" s="8"/>
      <c r="L83" s="4"/>
      <c r="M83" s="13"/>
      <c r="N83" s="4" t="s">
        <v>262</v>
      </c>
      <c r="O83" s="4"/>
    </row>
  </sheetData>
  <mergeCells count="2">
    <mergeCell ref="A4:O4"/>
    <mergeCell ref="A2:O2"/>
  </mergeCells>
  <conditionalFormatting sqref="J6:J83">
    <cfRule type="containsText" dxfId="1" priority="1" operator="containsText" text="Aprobado">
      <formula>NOT(ISERROR(SEARCH("Aprobado",J6)))</formula>
    </cfRule>
    <cfRule type="containsText" dxfId="0" priority="2" operator="containsText" text="Fallido">
      <formula>NOT(ISERROR(SEARCH("Fallido",J6)))</formula>
    </cfRule>
  </conditionalFormatting>
  <dataValidations count="1">
    <dataValidation type="list" sqref="J6:J83" xr:uid="{00000000-0002-0000-0400-000001000000}">
      <formula1>"No ejecutado,Aprobado,Fallido,Bloqueado,No aplica"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400-000000000000}">
          <x14:formula1>
            <xm:f>'Historias y criterios'!$A$6:$A$83</xm:f>
          </x14:formula1>
          <xm:sqref>B6:B83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 de trazabilidad</vt:lpstr>
      <vt:lpstr>Objetivos y procesos</vt:lpstr>
      <vt:lpstr>Requerimientos</vt:lpstr>
      <vt:lpstr>Historias y criterios</vt:lpstr>
      <vt:lpstr>Casos y evidencias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Matías Orellana</dc:creator>
  <cp:lastModifiedBy>Matías Orellana</cp:lastModifiedBy>
  <dcterms:created xsi:type="dcterms:W3CDTF">2026-09-27T21:12:26Z</dcterms:created>
  <dcterms:modified xsi:type="dcterms:W3CDTF">2026-09-29T13:32:27Z</dcterms:modified>
</cp:coreProperties>
</file>