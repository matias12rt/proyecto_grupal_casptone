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rta Gantt" sheetId="2" state="visible" r:id="rId2"/>
    <sheet name="Tareas" sheetId="3" state="visible" r:id="rId3"/>
    <sheet name="Historias" sheetId="4" state="visible" r:id="rId4"/>
    <sheet name="Eventos" sheetId="5" state="visible" r:id="rId5"/>
    <sheet name="Capacidad" sheetId="6" state="visible" r:id="rId6"/>
    <sheet name="Config" sheetId="7" state="visible" r:id="rId7"/>
  </sheets>
  <definedNames>
    <definedName name="Feriados">Config!$A$5:$A$10</definedName>
    <definedName name="EstadosTarea">Config!$D$5:$D$9</definedName>
    <definedName name="EstadosAvance">Config!$D$5:$E$9</definedName>
    <definedName name="SprintNombres">Resumen!$B$8:$B$13</definedName>
    <definedName name="SprintInicio">Resumen!$C$8:$C$13</definedName>
    <definedName name="SprintFin">Resumen!$D$8:$D$13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0.0"/>
    <numFmt numFmtId="167" formatCode="dd"/>
    <numFmt numFmtId="168" formatCode="dd/mm"/>
  </numFmts>
  <fonts count="15">
    <font>
      <name val="Calibri"/>
      <family val="2"/>
      <color theme="1"/>
      <sz val="11"/>
      <scheme val="minor"/>
    </font>
    <font>
      <name val="Aptos"/>
      <b val="1"/>
      <color rgb="001F4E78"/>
      <sz val="16"/>
    </font>
    <font>
      <name val="Aptos"/>
      <i val="1"/>
      <color rgb="00595959"/>
      <sz val="10"/>
    </font>
    <font>
      <name val="Aptos"/>
      <b val="1"/>
      <color rgb="00FFFFFF"/>
      <sz val="10"/>
    </font>
    <font>
      <name val="Aptos"/>
      <color rgb="000000FF"/>
      <sz val="10"/>
    </font>
    <font>
      <name val="Aptos"/>
      <sz val="10"/>
    </font>
    <font>
      <name val="Aptos"/>
      <b val="1"/>
      <sz val="10"/>
    </font>
    <font>
      <name val="Aptos"/>
      <color rgb="00595959"/>
      <sz val="9"/>
    </font>
    <font>
      <name val="Aptos"/>
      <b val="1"/>
      <color rgb="001F4E78"/>
      <sz val="14"/>
    </font>
    <font>
      <name val="Aptos"/>
      <b val="1"/>
      <color rgb="00FFFFFF"/>
      <sz val="8"/>
    </font>
    <font>
      <name val="Aptos"/>
      <color rgb="00595959"/>
      <sz val="8"/>
    </font>
    <font>
      <name val="Aptos"/>
      <b val="1"/>
      <color rgb="00FFFFFF"/>
      <sz val="9"/>
    </font>
    <font>
      <name val="Aptos"/>
      <i val="1"/>
      <color rgb="00595959"/>
      <sz val="9"/>
    </font>
    <font>
      <name val="Aptos"/>
      <b val="1"/>
      <color rgb="00833C0B"/>
      <sz val="8"/>
    </font>
    <font>
      <name val="Aptos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EF5FA"/>
      </patternFill>
    </fill>
    <fill>
      <patternFill patternType="solid">
        <fgColor rgb="002E75B6"/>
      </patternFill>
    </fill>
    <fill>
      <patternFill patternType="solid">
        <fgColor rgb="007F7F7F"/>
      </patternFill>
    </fill>
    <fill>
      <patternFill patternType="solid">
        <fgColor rgb="005B9BD5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F8CBAD"/>
      </patternFill>
    </fill>
    <fill>
      <patternFill patternType="solid">
        <fgColor rgb="00ED7D31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hair">
        <color rgb="00E7E6E6"/>
      </left>
      <right style="hair">
        <color rgb="00E7E6E6"/>
      </right>
      <top style="hair">
        <color rgb="00E7E6E6"/>
      </top>
      <bottom style="hair">
        <color rgb="00E7E6E6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9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9" fontId="6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14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167" fontId="9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168" fontId="6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indent="1"/>
    </xf>
    <xf numFmtId="168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indent="1"/>
    </xf>
    <xf numFmtId="168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indent="3"/>
    </xf>
    <xf numFmtId="168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3">
    <dxf>
      <fill>
        <patternFill patternType="solid">
          <fgColor rgb="00D9D9D9"/>
          <bgColor rgb="00D9D9D9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1F4E78"/>
          <bgColor rgb="001F4E78"/>
        </patternFill>
      </fill>
    </dxf>
    <dxf>
      <fill>
        <patternFill patternType="solid">
          <fgColor rgb="005B9BD5"/>
          <bgColor rgb="005B9BD5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7F7F7F"/>
          <bgColor rgb="007F7F7F"/>
        </patternFill>
      </fill>
    </dxf>
    <dxf>
      <fill>
        <patternFill patternType="solid">
          <fgColor rgb="00BFBFBF"/>
          <bgColor rgb="00BFBFBF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F8CBAD"/>
          <bgColor rgb="00F8CBAD"/>
        </patternFill>
      </fill>
    </dxf>
    <dxf>
      <border>
        <left style="medium">
          <color rgb="00C00000"/>
        </left>
        <right style="medium">
          <color rgb="00C00000"/>
        </right>
      </border>
    </dxf>
    <dxf>
      <font>
        <name val="Aptos"/>
        <color rgb="00006100"/>
      </font>
      <fill>
        <patternFill patternType="solid">
          <fgColor rgb="00C6EFCE"/>
          <bgColor rgb="00C6EFCE"/>
        </patternFill>
      </fill>
    </dxf>
    <dxf>
      <font>
        <name val="Aptos"/>
        <color rgb="009C5700"/>
      </font>
      <fill>
        <patternFill patternType="solid">
          <fgColor rgb="00FFEB9C"/>
          <bgColor rgb="00FFEB9C"/>
        </patternFill>
      </fill>
    </dxf>
    <dxf>
      <font>
        <name val="Aptos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Story Points por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'Resumen'!I7</f>
            </strRef>
          </tx>
          <spPr>
            <a:ln>
              <a:prstDash val="solid"/>
            </a:ln>
          </spPr>
          <cat>
            <numRef>
              <f>'Resumen'!$B$8:$B$13</f>
            </numRef>
          </cat>
          <val>
            <numRef>
              <f>'Resumen'!$I$8:$I$13</f>
            </numRef>
          </val>
        </ser>
        <ser>
          <idx val="1"/>
          <order val="1"/>
          <tx>
            <strRef>
              <f>'Resumen'!J7</f>
            </strRef>
          </tx>
          <spPr>
            <a:ln>
              <a:prstDash val="solid"/>
            </a:ln>
          </spPr>
          <cat>
            <numRef>
              <f>'Resumen'!$B$8:$B$13</f>
            </numRef>
          </cat>
          <val>
            <numRef>
              <f>'Resumen'!$J$8:$J$13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Tareas" displayName="TablaTareas" ref="A4:M124" headerRowCount="1">
  <autoFilter ref="A4:M124"/>
  <tableColumns count="13">
    <tableColumn id="1" name="ID"/>
    <tableColumn id="2" name="Sprint"/>
    <tableColumn id="3" name="Historia"/>
    <tableColumn id="4" name="Tarea"/>
    <tableColumn id="5" name="Responsable"/>
    <tableColumn id="6" name="Horas"/>
    <tableColumn id="7" name="Semana"/>
    <tableColumn id="8" name="Inicio"/>
    <tableColumn id="9" name="Término"/>
    <tableColumn id="10" name="Estado"/>
    <tableColumn id="11" name="% avance"/>
    <tableColumn id="12" name="Horas avanzadas"/>
    <tableColumn id="13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TablaHistorias" displayName="TablaHistorias" ref="A4:P24" headerRowCount="1">
  <autoFilter ref="A4:P24"/>
  <tableColumns count="16">
    <tableColumn id="1" name="ID"/>
    <tableColumn id="2" name="Título"/>
    <tableColumn id="3" name="Épica"/>
    <tableColumn id="4" name="Sprint"/>
    <tableColumn id="5" name="SP"/>
    <tableColumn id="6" name="Prioridad"/>
    <tableColumn id="7" name="Dependencias"/>
    <tableColumn id="8" name="Responsables"/>
    <tableColumn id="9" name="Casos de prueba"/>
    <tableColumn id="10" name="Inicio"/>
    <tableColumn id="11" name="Término"/>
    <tableColumn id="12" name="Horas"/>
    <tableColumn id="13" name="Horas avanzadas"/>
    <tableColumn id="14" name="% avance"/>
    <tableColumn id="15" name="Aceptada por PO"/>
    <tableColumn id="16" name="Estad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9" customWidth="1" min="5" max="5"/>
    <col width="24" customWidth="1" min="6" max="6"/>
    <col width="52" customWidth="1" min="7" max="7"/>
    <col width="22" customWidth="1" min="8" max="8"/>
    <col width="11" customWidth="1" min="9" max="9"/>
    <col width="11" customWidth="1" min="10" max="10"/>
    <col width="11" customWidth="1" min="11" max="11"/>
    <col width="10" customWidth="1" min="12" max="12"/>
    <col width="17" customWidth="1" min="13" max="13"/>
    <col width="17" customWidth="1" min="14" max="14"/>
    <col width="17" customWidth="1" min="15" max="15"/>
    <col width="9" customWidth="1" min="16" max="16"/>
    <col width="20" customWidth="1" min="17" max="17"/>
  </cols>
  <sheetData>
    <row r="1">
      <c r="A1" s="1" t="inlineStr">
        <is>
          <t>Planificación de sprints · Plataforma Integrada GGH</t>
        </is>
      </c>
    </row>
    <row r="2">
      <c r="A2" s="2" t="inlineStr">
        <is>
          <t>Resumen del avance. Actualice el estado de cada tarea en la hoja Tareas y la aceptación de cada historia en la hoja Historias; el resto se recalcula.</t>
        </is>
      </c>
    </row>
    <row r="4">
      <c r="B4" s="3" t="inlineStr">
        <is>
          <t>Avance global</t>
        </is>
      </c>
      <c r="C4" s="4" t="n"/>
      <c r="E4" s="3" t="inlineStr">
        <is>
          <t>Story Points terminados</t>
        </is>
      </c>
      <c r="F4" s="4" t="n"/>
      <c r="G4" s="3" t="inlineStr">
        <is>
          <t>Historias terminadas</t>
        </is>
      </c>
      <c r="H4" s="4" t="n"/>
      <c r="I4" s="3" t="inlineStr">
        <is>
          <t>Sprint actual</t>
        </is>
      </c>
      <c r="J4" s="4" t="n"/>
      <c r="L4" s="3" t="inlineStr">
        <is>
          <t>Fecha de hoy</t>
        </is>
      </c>
      <c r="M4" s="4" t="n"/>
    </row>
    <row r="5" ht="26" customHeight="1">
      <c r="B5" s="5">
        <f>L14</f>
        <v/>
      </c>
      <c r="C5" s="4" t="n"/>
      <c r="E5" s="6">
        <f>J14&amp;" de "&amp;I14</f>
        <v/>
      </c>
      <c r="F5" s="4" t="n"/>
      <c r="G5" s="6">
        <f>COUNTIF(Historias!$P:$P,"Terminada")&amp;" de "&amp;COUNTA(Historias!$A$5:$A$200)</f>
        <v/>
      </c>
      <c r="H5" s="4" t="n"/>
      <c r="I5" s="6">
        <f>IFERROR(LOOKUP(2,1/((TODAY()&gt;=C8:C13)*(TODAY()&lt;=D8:D13)),B8:B13),"Entre sprints")</f>
        <v/>
      </c>
      <c r="J5" s="4" t="n"/>
      <c r="L5" s="7">
        <f>TODAY()</f>
        <v/>
      </c>
      <c r="M5" s="4" t="n"/>
    </row>
    <row r="7">
      <c r="B7" s="8" t="inlineStr">
        <is>
          <t>Sprint</t>
        </is>
      </c>
      <c r="C7" s="8" t="inlineStr">
        <is>
          <t>Inicio</t>
        </is>
      </c>
      <c r="D7" s="8" t="inlineStr">
        <is>
          <t>Término</t>
        </is>
      </c>
      <c r="E7" s="8" t="inlineStr">
        <is>
          <t>Días hábiles</t>
        </is>
      </c>
      <c r="F7" s="8" t="inlineStr">
        <is>
          <t>Tema</t>
        </is>
      </c>
      <c r="G7" s="8" t="inlineStr">
        <is>
          <t>Sprint Goal</t>
        </is>
      </c>
      <c r="H7" s="8" t="inlineStr">
        <is>
          <t>Historias</t>
        </is>
      </c>
      <c r="I7" s="8" t="inlineStr">
        <is>
          <t>SP planificados</t>
        </is>
      </c>
      <c r="J7" s="8" t="inlineStr">
        <is>
          <t>SP terminados</t>
        </is>
      </c>
      <c r="K7" s="8" t="inlineStr">
        <is>
          <t>Horas planificadas</t>
        </is>
      </c>
      <c r="L7" s="8" t="inlineStr">
        <is>
          <t>% avance</t>
        </is>
      </c>
      <c r="M7" s="8" t="inlineStr">
        <is>
          <t>Product Owner</t>
        </is>
      </c>
      <c r="N7" s="8" t="inlineStr">
        <is>
          <t>Scrum Master</t>
        </is>
      </c>
      <c r="O7" s="8" t="inlineStr">
        <is>
          <t>Integración</t>
        </is>
      </c>
      <c r="P7" s="8" t="inlineStr">
        <is>
          <t>Versión</t>
        </is>
      </c>
      <c r="Q7" s="8" t="inlineStr">
        <is>
          <t>Estado</t>
        </is>
      </c>
    </row>
    <row r="8" ht="66" customHeight="1">
      <c r="B8" s="9" t="inlineStr">
        <is>
          <t>Sprint 1</t>
        </is>
      </c>
      <c r="C8" s="10" t="n">
        <v>46265</v>
      </c>
      <c r="D8" s="10" t="n">
        <v>46276</v>
      </c>
      <c r="E8" s="11">
        <f>NETWORKDAYS(C8,D8,Feriados)</f>
        <v/>
      </c>
      <c r="F8" s="12" t="inlineStr">
        <is>
          <t>Usuarios, roles y permisos</t>
        </is>
      </c>
      <c r="G8" s="12" t="inlineStr">
        <is>
          <t>Habilitar el acceso seguro a la plataforma con usuarios, roles, permisos y contexto de empresa y vendedor, como base para operar los demás módulos.</t>
        </is>
      </c>
      <c r="H8" s="11" t="inlineStr">
        <is>
          <t>HU-001, HU-002, HU-003, HU-004</t>
        </is>
      </c>
      <c r="I8" s="11">
        <f>SUMIFS(Historias!$E:$E,Historias!$D:$D,B8)</f>
        <v/>
      </c>
      <c r="J8" s="11">
        <f>SUMIFS(Historias!$E:$E,Historias!$D:$D,B8,Historias!$P:$P,"Terminada")</f>
        <v/>
      </c>
      <c r="K8" s="11">
        <f>SUMIFS(Tareas!$F:$F,Tareas!$B:$B,B8)</f>
        <v/>
      </c>
      <c r="L8" s="13">
        <f>IFERROR(SUMIFS(Tareas!$L:$L,Tareas!$B:$B,B8)/K8,0)</f>
        <v/>
      </c>
      <c r="M8" s="11" t="inlineStr">
        <is>
          <t>Matías Orellana</t>
        </is>
      </c>
      <c r="N8" s="11" t="inlineStr">
        <is>
          <t>Millaray Espósito</t>
        </is>
      </c>
      <c r="O8" s="11" t="inlineStr">
        <is>
          <t>Alexssander López</t>
        </is>
      </c>
      <c r="P8" s="11" t="inlineStr">
        <is>
          <t>v0.1.0</t>
        </is>
      </c>
      <c r="Q8" s="11">
        <f>IF(TODAY()&lt;C8,"Planificado",IF(TODAY()&lt;=D8,"En curso",IF(L8&gt;=1,"Cerrado","Cerrado con pendientes")))</f>
        <v/>
      </c>
    </row>
    <row r="9" ht="66" customHeight="1">
      <c r="B9" s="9" t="inlineStr">
        <is>
          <t>Sprint 2</t>
        </is>
      </c>
      <c r="C9" s="10" t="n">
        <v>46279</v>
      </c>
      <c r="D9" s="10" t="n">
        <v>46290</v>
      </c>
      <c r="E9" s="11">
        <f>NETWORKDAYS(C9,D9,Feriados)</f>
        <v/>
      </c>
      <c r="F9" s="12" t="inlineStr">
        <is>
          <t>Solicitudes y autorizaciones</t>
        </is>
      </c>
      <c r="G9" s="12" t="inlineStr">
        <is>
          <t>Permitir que un vendedor cree y envíe una solicitud de código con sus respaldos, y que el grupo autorizador la reciba, resuelva y notifique, con seguimiento completo de su estado.</t>
        </is>
      </c>
      <c r="H9" s="11" t="inlineStr">
        <is>
          <t>HU-005, HU-006, HU-007, HU-012</t>
        </is>
      </c>
      <c r="I9" s="11">
        <f>SUMIFS(Historias!$E:$E,Historias!$D:$D,B9)</f>
        <v/>
      </c>
      <c r="J9" s="11">
        <f>SUMIFS(Historias!$E:$E,Historias!$D:$D,B9,Historias!$P:$P,"Terminada")</f>
        <v/>
      </c>
      <c r="K9" s="11">
        <f>SUMIFS(Tareas!$F:$F,Tareas!$B:$B,B9)</f>
        <v/>
      </c>
      <c r="L9" s="13">
        <f>IFERROR(SUMIFS(Tareas!$L:$L,Tareas!$B:$B,B9)/K9,0)</f>
        <v/>
      </c>
      <c r="M9" s="11" t="inlineStr">
        <is>
          <t>Millaray Espósito</t>
        </is>
      </c>
      <c r="N9" s="11" t="inlineStr">
        <is>
          <t>Alexssander López</t>
        </is>
      </c>
      <c r="O9" s="11" t="inlineStr">
        <is>
          <t>Matías Orellana</t>
        </is>
      </c>
      <c r="P9" s="11" t="inlineStr">
        <is>
          <t>v0.2.0</t>
        </is>
      </c>
      <c r="Q9" s="11">
        <f>IF(TODAY()&lt;C9,"Planificado",IF(TODAY()&lt;=D9,"En curso",IF(L9&gt;=1,"Cerrado","Cerrado con pendientes")))</f>
        <v/>
      </c>
    </row>
    <row r="10" ht="66" customHeight="1">
      <c r="B10" s="9" t="inlineStr">
        <is>
          <t>Sprint 3</t>
        </is>
      </c>
      <c r="C10" s="10" t="n">
        <v>46293</v>
      </c>
      <c r="D10" s="10" t="n">
        <v>46304</v>
      </c>
      <c r="E10" s="11">
        <f>NETWORKDAYS(C10,D10,Feriados)</f>
        <v/>
      </c>
      <c r="F10" s="12" t="inlineStr">
        <is>
          <t>Lectura SAP, consultas y cotizaciones</t>
        </is>
      </c>
      <c r="G10" s="12" t="inlineStr">
        <is>
          <t>Conectar la plataforma con SAP Business One en modo lectura para consultar productos, stock y clientes, y crear cotizaciones con el vendedor y la comisión correctos, informando al participante cada cambio de estado.</t>
        </is>
      </c>
      <c r="H10" s="11" t="inlineStr">
        <is>
          <t>HU-015, HU-008, HU-009, HU-013</t>
        </is>
      </c>
      <c r="I10" s="11">
        <f>SUMIFS(Historias!$E:$E,Historias!$D:$D,B10)</f>
        <v/>
      </c>
      <c r="J10" s="11">
        <f>SUMIFS(Historias!$E:$E,Historias!$D:$D,B10,Historias!$P:$P,"Terminada")</f>
        <v/>
      </c>
      <c r="K10" s="11">
        <f>SUMIFS(Tareas!$F:$F,Tareas!$B:$B,B10)</f>
        <v/>
      </c>
      <c r="L10" s="13">
        <f>IFERROR(SUMIFS(Tareas!$L:$L,Tareas!$B:$B,B10)/K10,0)</f>
        <v/>
      </c>
      <c r="M10" s="11" t="inlineStr">
        <is>
          <t>Alexssander López</t>
        </is>
      </c>
      <c r="N10" s="11" t="inlineStr">
        <is>
          <t>Matías Orellana</t>
        </is>
      </c>
      <c r="O10" s="11" t="inlineStr">
        <is>
          <t>Millaray Espósito</t>
        </is>
      </c>
      <c r="P10" s="11" t="inlineStr">
        <is>
          <t>v0.3.0</t>
        </is>
      </c>
      <c r="Q10" s="11">
        <f>IF(TODAY()&lt;C10,"Planificado",IF(TODAY()&lt;=D10,"En curso",IF(L10&gt;=1,"Cerrado","Cerrado con pendientes")))</f>
        <v/>
      </c>
    </row>
    <row r="11" ht="66" customHeight="1">
      <c r="B11" s="9" t="inlineStr">
        <is>
          <t>Sprint 4</t>
        </is>
      </c>
      <c r="C11" s="10" t="n">
        <v>46308</v>
      </c>
      <c r="D11" s="10" t="n">
        <v>46318</v>
      </c>
      <c r="E11" s="11">
        <f>NETWORKDAYS(C11,D11,Feriados)</f>
        <v/>
      </c>
      <c r="F11" s="12" t="inlineStr">
        <is>
          <t>Órdenes de venta e integración SAP</t>
        </is>
      </c>
      <c r="G11" s="12" t="inlineStr">
        <is>
          <t>Completar el flujo comercial desde la cotización aceptada hasta la orden de venta autorizada y enviada al ERP por Service Layer, con registro de resultados y reintentos sin duplicidad.</t>
        </is>
      </c>
      <c r="H11" s="11" t="inlineStr">
        <is>
          <t>HU-010, HU-016, HU-017, HU-011</t>
        </is>
      </c>
      <c r="I11" s="11">
        <f>SUMIFS(Historias!$E:$E,Historias!$D:$D,B11)</f>
        <v/>
      </c>
      <c r="J11" s="11">
        <f>SUMIFS(Historias!$E:$E,Historias!$D:$D,B11,Historias!$P:$P,"Terminada")</f>
        <v/>
      </c>
      <c r="K11" s="11">
        <f>SUMIFS(Tareas!$F:$F,Tareas!$B:$B,B11)</f>
        <v/>
      </c>
      <c r="L11" s="13">
        <f>IFERROR(SUMIFS(Tareas!$L:$L,Tareas!$B:$B,B11)/K11,0)</f>
        <v/>
      </c>
      <c r="M11" s="11" t="inlineStr">
        <is>
          <t>Matías Orellana</t>
        </is>
      </c>
      <c r="N11" s="11" t="inlineStr">
        <is>
          <t>Millaray Espósito</t>
        </is>
      </c>
      <c r="O11" s="11" t="inlineStr">
        <is>
          <t>Alexssander López</t>
        </is>
      </c>
      <c r="P11" s="11" t="inlineStr">
        <is>
          <t>v0.4.0</t>
        </is>
      </c>
      <c r="Q11" s="11">
        <f>IF(TODAY()&lt;C11,"Planificado",IF(TODAY()&lt;=D11,"En curso",IF(L11&gt;=1,"Cerrado","Cerrado con pendientes")))</f>
        <v/>
      </c>
    </row>
    <row r="12" ht="66" customHeight="1">
      <c r="B12" s="9" t="inlineStr">
        <is>
          <t>Sprint 5</t>
        </is>
      </c>
      <c r="C12" s="10" t="n">
        <v>46321</v>
      </c>
      <c r="D12" s="10" t="n">
        <v>46332</v>
      </c>
      <c r="E12" s="11">
        <f>NETWORKDAYS(C12,D12,Feriados)</f>
        <v/>
      </c>
      <c r="F12" s="12" t="inlineStr">
        <is>
          <t>Posventa y trazabilidad</t>
        </is>
      </c>
      <c r="G12" s="12" t="inlineStr">
        <is>
          <t>Registrar, evaluar y autorizar casos de posventa con evidencias y comprobante QR, y ofrecer una consulta de trazabilidad común para todos los procesos.</t>
        </is>
      </c>
      <c r="H12" s="11" t="inlineStr">
        <is>
          <t>HU-018, HU-019, HU-014</t>
        </is>
      </c>
      <c r="I12" s="11">
        <f>SUMIFS(Historias!$E:$E,Historias!$D:$D,B12)</f>
        <v/>
      </c>
      <c r="J12" s="11">
        <f>SUMIFS(Historias!$E:$E,Historias!$D:$D,B12,Historias!$P:$P,"Terminada")</f>
        <v/>
      </c>
      <c r="K12" s="11">
        <f>SUMIFS(Tareas!$F:$F,Tareas!$B:$B,B12)</f>
        <v/>
      </c>
      <c r="L12" s="13">
        <f>IFERROR(SUMIFS(Tareas!$L:$L,Tareas!$B:$B,B12)/K12,0)</f>
        <v/>
      </c>
      <c r="M12" s="11" t="inlineStr">
        <is>
          <t>Millaray Espósito</t>
        </is>
      </c>
      <c r="N12" s="11" t="inlineStr">
        <is>
          <t>Alexssander López</t>
        </is>
      </c>
      <c r="O12" s="11" t="inlineStr">
        <is>
          <t>Matías Orellana</t>
        </is>
      </c>
      <c r="P12" s="11" t="inlineStr">
        <is>
          <t>v0.5.0</t>
        </is>
      </c>
      <c r="Q12" s="11">
        <f>IF(TODAY()&lt;C12,"Planificado",IF(TODAY()&lt;=D12,"En curso",IF(L12&gt;=1,"Cerrado","Cerrado con pendientes")))</f>
        <v/>
      </c>
    </row>
    <row r="13" ht="66" customHeight="1">
      <c r="B13" s="9" t="inlineStr">
        <is>
          <t>Sprint 6</t>
        </is>
      </c>
      <c r="C13" s="10" t="n">
        <v>46335</v>
      </c>
      <c r="D13" s="10" t="n">
        <v>46339</v>
      </c>
      <c r="E13" s="11">
        <f>NETWORKDAYS(C13,D13,Feriados)</f>
        <v/>
      </c>
      <c r="F13" s="12" t="inlineStr">
        <is>
          <t>Cierre de posventa e integración final</t>
        </is>
      </c>
      <c r="G13" s="12" t="inlineStr">
        <is>
          <t>Cerrar el ciclo de posventa con el seguimiento de estados hasta su resolución final y dejar el producto integrado y estabilizado para la validación final.</t>
        </is>
      </c>
      <c r="H13" s="11" t="inlineStr">
        <is>
          <t>HU-020</t>
        </is>
      </c>
      <c r="I13" s="11">
        <f>SUMIFS(Historias!$E:$E,Historias!$D:$D,B13)</f>
        <v/>
      </c>
      <c r="J13" s="11">
        <f>SUMIFS(Historias!$E:$E,Historias!$D:$D,B13,Historias!$P:$P,"Terminada")</f>
        <v/>
      </c>
      <c r="K13" s="11">
        <f>SUMIFS(Tareas!$F:$F,Tareas!$B:$B,B13)</f>
        <v/>
      </c>
      <c r="L13" s="13">
        <f>IFERROR(SUMIFS(Tareas!$L:$L,Tareas!$B:$B,B13)/K13,0)</f>
        <v/>
      </c>
      <c r="M13" s="11" t="inlineStr">
        <is>
          <t>Alexssander López</t>
        </is>
      </c>
      <c r="N13" s="11" t="inlineStr">
        <is>
          <t>Matías Orellana</t>
        </is>
      </c>
      <c r="O13" s="11" t="inlineStr">
        <is>
          <t>Millaray Espósito</t>
        </is>
      </c>
      <c r="P13" s="11" t="inlineStr">
        <is>
          <t>v0.6.0</t>
        </is>
      </c>
      <c r="Q13" s="11">
        <f>IF(TODAY()&lt;C13,"Planificado",IF(TODAY()&lt;=D13,"En curso",IF(L13&gt;=1,"Cerrado","Cerrado con pendientes")))</f>
        <v/>
      </c>
    </row>
    <row r="14">
      <c r="B14" s="14" t="inlineStr">
        <is>
          <t>Total</t>
        </is>
      </c>
      <c r="C14" s="15" t="inlineStr"/>
      <c r="D14" s="15" t="inlineStr"/>
      <c r="E14" s="15" t="inlineStr"/>
      <c r="F14" s="15" t="inlineStr"/>
      <c r="G14" s="15" t="inlineStr"/>
      <c r="H14" s="15" t="inlineStr"/>
      <c r="I14" s="9">
        <f>SUM(I8:I13)</f>
        <v/>
      </c>
      <c r="J14" s="9">
        <f>SUM(J8:J13)</f>
        <v/>
      </c>
      <c r="K14" s="9">
        <f>SUM(K8:K13)</f>
        <v/>
      </c>
      <c r="L14" s="16">
        <f>IFERROR(SUMPRODUCT(K8:K13,L8:L13)/K14,0)</f>
        <v/>
      </c>
      <c r="M14" s="15" t="inlineStr"/>
      <c r="N14" s="15" t="inlineStr"/>
      <c r="O14" s="15" t="inlineStr"/>
      <c r="P14" s="15" t="inlineStr"/>
      <c r="Q14" s="15" t="inlineStr"/>
    </row>
    <row r="16">
      <c r="B16" s="17" t="inlineStr">
        <is>
          <t>Cómo usar este archivo</t>
        </is>
      </c>
    </row>
    <row r="17">
      <c r="B17" s="18" t="inlineStr">
        <is>
          <t>1. En la hoja Tareas, cambie el Estado de cada tarea (Por hacer, En curso, En revisión, En pruebas, Terminado). El avance de historias, sprints y la Carta Gantt se actualiza solo.</t>
        </is>
      </c>
    </row>
    <row r="18">
      <c r="B18" s="18" t="inlineStr">
        <is>
          <t>2. En la hoja Historias, marque «Aceptada por PO» = Sí cuando el Product Owner acepte la historia en la Sprint Review. Solo entonces cuenta como Terminada.</t>
        </is>
      </c>
    </row>
    <row r="19">
      <c r="B19" s="18" t="inlineStr">
        <is>
          <t>3. Si cambian las fechas de un sprint, edite Inicio y Término en esta hoja (celdas azules): las tareas, eventos y barras se mueven automáticamente.</t>
        </is>
      </c>
    </row>
    <row r="20">
      <c r="B20" s="18" t="inlineStr">
        <is>
          <t>4. En la Carta Gantt use los botones 1, 2 y 3 del margen izquierdo para ver solo sprints, sprints e historias, o todas las tareas.</t>
        </is>
      </c>
    </row>
  </sheetData>
  <mergeCells count="10">
    <mergeCell ref="G4:H4"/>
    <mergeCell ref="E4:F4"/>
    <mergeCell ref="I4:J4"/>
    <mergeCell ref="L4:M4"/>
    <mergeCell ref="B5:C5"/>
    <mergeCell ref="G5:H5"/>
    <mergeCell ref="E5:F5"/>
    <mergeCell ref="I5:J5"/>
    <mergeCell ref="L5:M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 fitToPage="1"/>
  </sheetPr>
  <dimension ref="A1:CF169"/>
  <sheetViews>
    <sheetView showGridLines="0" zoomScale="90" workbookViewId="0">
      <pane xSplit="9" ySplit="7" topLeftCell="J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9" customWidth="1" min="3" max="3"/>
    <col width="22" customWidth="1" min="4" max="4"/>
    <col width="7" customWidth="1" min="5" max="5"/>
    <col width="7" customWidth="1" min="6" max="6"/>
    <col width="5" customWidth="1" min="7" max="7"/>
    <col width="8" customWidth="1" min="8" max="8"/>
    <col width="16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</cols>
  <sheetData>
    <row r="1">
      <c r="A1" s="1" t="inlineStr">
        <is>
          <t>Carta Gantt de sprints</t>
        </is>
      </c>
    </row>
    <row r="2">
      <c r="A2" s="2" t="inlineStr">
        <is>
          <t>Barras calculadas desde las fechas de cada tarea. Leyenda de eventos: P = Sprint Planning · F = Refinamiento · C = Congelamiento · R = Review y Retrospective. Gris = feriado; borde rojo = hoy.</t>
        </is>
      </c>
    </row>
    <row r="3">
      <c r="J3" s="19" t="n"/>
      <c r="K3" s="20" t="inlineStr">
        <is>
          <t>Sprint</t>
        </is>
      </c>
      <c r="N3" s="21" t="n"/>
      <c r="O3" s="20" t="inlineStr">
        <is>
          <t>Historia</t>
        </is>
      </c>
      <c r="R3" s="22" t="n"/>
      <c r="S3" s="20" t="inlineStr">
        <is>
          <t>Tarea</t>
        </is>
      </c>
      <c r="V3" s="23" t="n"/>
      <c r="W3" s="20" t="inlineStr">
        <is>
          <t>Avance</t>
        </is>
      </c>
      <c r="Z3" s="24" t="n"/>
      <c r="AA3" s="20" t="inlineStr">
        <is>
          <t>Evento</t>
        </is>
      </c>
      <c r="AD3" s="25" t="n"/>
      <c r="AE3" s="20" t="inlineStr">
        <is>
          <t>Hito</t>
        </is>
      </c>
      <c r="AH3" s="26" t="n"/>
      <c r="AI3" s="20" t="inlineStr">
        <is>
          <t>Feriado</t>
        </is>
      </c>
    </row>
    <row r="4">
      <c r="J4" s="27" t="inlineStr"/>
      <c r="K4" s="27" t="inlineStr">
        <is>
          <t>Septiembre 2026</t>
        </is>
      </c>
      <c r="AG4" s="27" t="inlineStr">
        <is>
          <t>Octubre 2026</t>
        </is>
      </c>
      <c r="BC4" s="27" t="inlineStr">
        <is>
          <t>Noviembre 2026</t>
        </is>
      </c>
      <c r="BX4" s="27" t="inlineStr">
        <is>
          <t>Diciembre 2026</t>
        </is>
      </c>
    </row>
    <row r="5">
      <c r="J5" s="28" t="inlineStr">
        <is>
          <t>Sprint 1</t>
        </is>
      </c>
      <c r="T5" s="29" t="inlineStr">
        <is>
          <t>Sprint 2</t>
        </is>
      </c>
      <c r="AD5" s="28" t="inlineStr">
        <is>
          <t>Sprint 3</t>
        </is>
      </c>
      <c r="AO5" s="29" t="inlineStr">
        <is>
          <t>Sprint 4</t>
        </is>
      </c>
      <c r="AX5" s="28" t="inlineStr">
        <is>
          <t>Sprint 5</t>
        </is>
      </c>
      <c r="BH5" s="29" t="inlineStr">
        <is>
          <t>Sprint 6</t>
        </is>
      </c>
      <c r="BM5" s="30" t="inlineStr">
        <is>
          <t>Cierre del proyecto</t>
        </is>
      </c>
    </row>
    <row r="6">
      <c r="A6" s="8" t="inlineStr">
        <is>
          <t>ID</t>
        </is>
      </c>
      <c r="B6" s="8" t="inlineStr">
        <is>
          <t>Actividad</t>
        </is>
      </c>
      <c r="C6" s="8" t="inlineStr">
        <is>
          <t>Tipo</t>
        </is>
      </c>
      <c r="D6" s="8" t="inlineStr">
        <is>
          <t>Responsable</t>
        </is>
      </c>
      <c r="E6" s="8" t="inlineStr">
        <is>
          <t>Inicio</t>
        </is>
      </c>
      <c r="F6" s="8" t="inlineStr">
        <is>
          <t>Fin</t>
        </is>
      </c>
      <c r="G6" s="8" t="inlineStr">
        <is>
          <t>Días</t>
        </is>
      </c>
      <c r="H6" s="8" t="inlineStr">
        <is>
          <t>% avance</t>
        </is>
      </c>
      <c r="I6" s="8" t="inlineStr">
        <is>
          <t>Estado</t>
        </is>
      </c>
      <c r="J6" s="31" t="n">
        <v>46265</v>
      </c>
      <c r="K6" s="31" t="n">
        <v>46266</v>
      </c>
      <c r="L6" s="31" t="n">
        <v>46267</v>
      </c>
      <c r="M6" s="31" t="n">
        <v>46268</v>
      </c>
      <c r="N6" s="31" t="n">
        <v>46269</v>
      </c>
      <c r="O6" s="31" t="n">
        <v>46272</v>
      </c>
      <c r="P6" s="31" t="n">
        <v>46273</v>
      </c>
      <c r="Q6" s="31" t="n">
        <v>46274</v>
      </c>
      <c r="R6" s="31" t="n">
        <v>46275</v>
      </c>
      <c r="S6" s="31" t="n">
        <v>46276</v>
      </c>
      <c r="T6" s="31" t="n">
        <v>46279</v>
      </c>
      <c r="U6" s="31" t="n">
        <v>46280</v>
      </c>
      <c r="V6" s="31" t="n">
        <v>46281</v>
      </c>
      <c r="W6" s="31" t="n">
        <v>46282</v>
      </c>
      <c r="X6" s="31" t="n">
        <v>46283</v>
      </c>
      <c r="Y6" s="31" t="n">
        <v>46286</v>
      </c>
      <c r="Z6" s="31" t="n">
        <v>46287</v>
      </c>
      <c r="AA6" s="31" t="n">
        <v>46288</v>
      </c>
      <c r="AB6" s="31" t="n">
        <v>46289</v>
      </c>
      <c r="AC6" s="31" t="n">
        <v>46290</v>
      </c>
      <c r="AD6" s="31" t="n">
        <v>46293</v>
      </c>
      <c r="AE6" s="31" t="n">
        <v>46294</v>
      </c>
      <c r="AF6" s="31" t="n">
        <v>46295</v>
      </c>
      <c r="AG6" s="31" t="n">
        <v>46296</v>
      </c>
      <c r="AH6" s="31" t="n">
        <v>46297</v>
      </c>
      <c r="AI6" s="31" t="n">
        <v>46300</v>
      </c>
      <c r="AJ6" s="31" t="n">
        <v>46301</v>
      </c>
      <c r="AK6" s="31" t="n">
        <v>46302</v>
      </c>
      <c r="AL6" s="31" t="n">
        <v>46303</v>
      </c>
      <c r="AM6" s="31" t="n">
        <v>46304</v>
      </c>
      <c r="AN6" s="31" t="n">
        <v>46307</v>
      </c>
      <c r="AO6" s="31" t="n">
        <v>46308</v>
      </c>
      <c r="AP6" s="31" t="n">
        <v>46309</v>
      </c>
      <c r="AQ6" s="31" t="n">
        <v>46310</v>
      </c>
      <c r="AR6" s="31" t="n">
        <v>46311</v>
      </c>
      <c r="AS6" s="31" t="n">
        <v>46314</v>
      </c>
      <c r="AT6" s="31" t="n">
        <v>46315</v>
      </c>
      <c r="AU6" s="31" t="n">
        <v>46316</v>
      </c>
      <c r="AV6" s="31" t="n">
        <v>46317</v>
      </c>
      <c r="AW6" s="31" t="n">
        <v>46318</v>
      </c>
      <c r="AX6" s="31" t="n">
        <v>46321</v>
      </c>
      <c r="AY6" s="31" t="n">
        <v>46322</v>
      </c>
      <c r="AZ6" s="31" t="n">
        <v>46323</v>
      </c>
      <c r="BA6" s="31" t="n">
        <v>46324</v>
      </c>
      <c r="BB6" s="31" t="n">
        <v>46325</v>
      </c>
      <c r="BC6" s="31" t="n">
        <v>46328</v>
      </c>
      <c r="BD6" s="31" t="n">
        <v>46329</v>
      </c>
      <c r="BE6" s="31" t="n">
        <v>46330</v>
      </c>
      <c r="BF6" s="31" t="n">
        <v>46331</v>
      </c>
      <c r="BG6" s="31" t="n">
        <v>46332</v>
      </c>
      <c r="BH6" s="31" t="n">
        <v>46335</v>
      </c>
      <c r="BI6" s="31" t="n">
        <v>46336</v>
      </c>
      <c r="BJ6" s="31" t="n">
        <v>46337</v>
      </c>
      <c r="BK6" s="31" t="n">
        <v>46338</v>
      </c>
      <c r="BL6" s="31" t="n">
        <v>46339</v>
      </c>
      <c r="BM6" s="31" t="n">
        <v>46342</v>
      </c>
      <c r="BN6" s="31" t="n">
        <v>46343</v>
      </c>
      <c r="BO6" s="31" t="n">
        <v>46344</v>
      </c>
      <c r="BP6" s="31" t="n">
        <v>46345</v>
      </c>
      <c r="BQ6" s="31" t="n">
        <v>46346</v>
      </c>
      <c r="BR6" s="31" t="n">
        <v>46349</v>
      </c>
      <c r="BS6" s="31" t="n">
        <v>46350</v>
      </c>
      <c r="BT6" s="31" t="n">
        <v>46351</v>
      </c>
      <c r="BU6" s="31" t="n">
        <v>46352</v>
      </c>
      <c r="BV6" s="31" t="n">
        <v>46353</v>
      </c>
      <c r="BW6" s="31" t="n">
        <v>46356</v>
      </c>
      <c r="BX6" s="31" t="n">
        <v>46357</v>
      </c>
      <c r="BY6" s="31" t="n">
        <v>46358</v>
      </c>
      <c r="BZ6" s="31" t="n">
        <v>46359</v>
      </c>
      <c r="CA6" s="31" t="n">
        <v>46360</v>
      </c>
      <c r="CB6" s="31" t="n">
        <v>46363</v>
      </c>
      <c r="CC6" s="31" t="n">
        <v>46364</v>
      </c>
      <c r="CD6" s="31" t="n">
        <v>46365</v>
      </c>
      <c r="CE6" s="31" t="n">
        <v>46366</v>
      </c>
      <c r="CF6" s="31" t="n">
        <v>46367</v>
      </c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3">
        <f>MID("LMMJV",WEEKDAY(J6,2),1)</f>
        <v/>
      </c>
      <c r="K7" s="33">
        <f>MID("LMMJV",WEEKDAY(K6,2),1)</f>
        <v/>
      </c>
      <c r="L7" s="33">
        <f>MID("LMMJV",WEEKDAY(L6,2),1)</f>
        <v/>
      </c>
      <c r="M7" s="33">
        <f>MID("LMMJV",WEEKDAY(M6,2),1)</f>
        <v/>
      </c>
      <c r="N7" s="33">
        <f>MID("LMMJV",WEEKDAY(N6,2),1)</f>
        <v/>
      </c>
      <c r="O7" s="33">
        <f>MID("LMMJV",WEEKDAY(O6,2),1)</f>
        <v/>
      </c>
      <c r="P7" s="33">
        <f>MID("LMMJV",WEEKDAY(P6,2),1)</f>
        <v/>
      </c>
      <c r="Q7" s="33">
        <f>MID("LMMJV",WEEKDAY(Q6,2),1)</f>
        <v/>
      </c>
      <c r="R7" s="33">
        <f>MID("LMMJV",WEEKDAY(R6,2),1)</f>
        <v/>
      </c>
      <c r="S7" s="33">
        <f>MID("LMMJV",WEEKDAY(S6,2),1)</f>
        <v/>
      </c>
      <c r="T7" s="33">
        <f>MID("LMMJV",WEEKDAY(T6,2),1)</f>
        <v/>
      </c>
      <c r="U7" s="33">
        <f>MID("LMMJV",WEEKDAY(U6,2),1)</f>
        <v/>
      </c>
      <c r="V7" s="33">
        <f>MID("LMMJV",WEEKDAY(V6,2),1)</f>
        <v/>
      </c>
      <c r="W7" s="33">
        <f>MID("LMMJV",WEEKDAY(W6,2),1)</f>
        <v/>
      </c>
      <c r="X7" s="33">
        <f>MID("LMMJV",WEEKDAY(X6,2),1)</f>
        <v/>
      </c>
      <c r="Y7" s="33">
        <f>MID("LMMJV",WEEKDAY(Y6,2),1)</f>
        <v/>
      </c>
      <c r="Z7" s="33">
        <f>MID("LMMJV",WEEKDAY(Z6,2),1)</f>
        <v/>
      </c>
      <c r="AA7" s="33">
        <f>MID("LMMJV",WEEKDAY(AA6,2),1)</f>
        <v/>
      </c>
      <c r="AB7" s="33">
        <f>MID("LMMJV",WEEKDAY(AB6,2),1)</f>
        <v/>
      </c>
      <c r="AC7" s="33">
        <f>MID("LMMJV",WEEKDAY(AC6,2),1)</f>
        <v/>
      </c>
      <c r="AD7" s="33">
        <f>MID("LMMJV",WEEKDAY(AD6,2),1)</f>
        <v/>
      </c>
      <c r="AE7" s="33">
        <f>MID("LMMJV",WEEKDAY(AE6,2),1)</f>
        <v/>
      </c>
      <c r="AF7" s="33">
        <f>MID("LMMJV",WEEKDAY(AF6,2),1)</f>
        <v/>
      </c>
      <c r="AG7" s="33">
        <f>MID("LMMJV",WEEKDAY(AG6,2),1)</f>
        <v/>
      </c>
      <c r="AH7" s="33">
        <f>MID("LMMJV",WEEKDAY(AH6,2),1)</f>
        <v/>
      </c>
      <c r="AI7" s="33">
        <f>MID("LMMJV",WEEKDAY(AI6,2),1)</f>
        <v/>
      </c>
      <c r="AJ7" s="33">
        <f>MID("LMMJV",WEEKDAY(AJ6,2),1)</f>
        <v/>
      </c>
      <c r="AK7" s="33">
        <f>MID("LMMJV",WEEKDAY(AK6,2),1)</f>
        <v/>
      </c>
      <c r="AL7" s="33">
        <f>MID("LMMJV",WEEKDAY(AL6,2),1)</f>
        <v/>
      </c>
      <c r="AM7" s="33">
        <f>MID("LMMJV",WEEKDAY(AM6,2),1)</f>
        <v/>
      </c>
      <c r="AN7" s="33">
        <f>MID("LMMJV",WEEKDAY(AN6,2),1)</f>
        <v/>
      </c>
      <c r="AO7" s="33">
        <f>MID("LMMJV",WEEKDAY(AO6,2),1)</f>
        <v/>
      </c>
      <c r="AP7" s="33">
        <f>MID("LMMJV",WEEKDAY(AP6,2),1)</f>
        <v/>
      </c>
      <c r="AQ7" s="33">
        <f>MID("LMMJV",WEEKDAY(AQ6,2),1)</f>
        <v/>
      </c>
      <c r="AR7" s="33">
        <f>MID("LMMJV",WEEKDAY(AR6,2),1)</f>
        <v/>
      </c>
      <c r="AS7" s="33">
        <f>MID("LMMJV",WEEKDAY(AS6,2),1)</f>
        <v/>
      </c>
      <c r="AT7" s="33">
        <f>MID("LMMJV",WEEKDAY(AT6,2),1)</f>
        <v/>
      </c>
      <c r="AU7" s="33">
        <f>MID("LMMJV",WEEKDAY(AU6,2),1)</f>
        <v/>
      </c>
      <c r="AV7" s="33">
        <f>MID("LMMJV",WEEKDAY(AV6,2),1)</f>
        <v/>
      </c>
      <c r="AW7" s="33">
        <f>MID("LMMJV",WEEKDAY(AW6,2),1)</f>
        <v/>
      </c>
      <c r="AX7" s="33">
        <f>MID("LMMJV",WEEKDAY(AX6,2),1)</f>
        <v/>
      </c>
      <c r="AY7" s="33">
        <f>MID("LMMJV",WEEKDAY(AY6,2),1)</f>
        <v/>
      </c>
      <c r="AZ7" s="33">
        <f>MID("LMMJV",WEEKDAY(AZ6,2),1)</f>
        <v/>
      </c>
      <c r="BA7" s="33">
        <f>MID("LMMJV",WEEKDAY(BA6,2),1)</f>
        <v/>
      </c>
      <c r="BB7" s="33">
        <f>MID("LMMJV",WEEKDAY(BB6,2),1)</f>
        <v/>
      </c>
      <c r="BC7" s="33">
        <f>MID("LMMJV",WEEKDAY(BC6,2),1)</f>
        <v/>
      </c>
      <c r="BD7" s="33">
        <f>MID("LMMJV",WEEKDAY(BD6,2),1)</f>
        <v/>
      </c>
      <c r="BE7" s="33">
        <f>MID("LMMJV",WEEKDAY(BE6,2),1)</f>
        <v/>
      </c>
      <c r="BF7" s="33">
        <f>MID("LMMJV",WEEKDAY(BF6,2),1)</f>
        <v/>
      </c>
      <c r="BG7" s="33">
        <f>MID("LMMJV",WEEKDAY(BG6,2),1)</f>
        <v/>
      </c>
      <c r="BH7" s="33">
        <f>MID("LMMJV",WEEKDAY(BH6,2),1)</f>
        <v/>
      </c>
      <c r="BI7" s="33">
        <f>MID("LMMJV",WEEKDAY(BI6,2),1)</f>
        <v/>
      </c>
      <c r="BJ7" s="33">
        <f>MID("LMMJV",WEEKDAY(BJ6,2),1)</f>
        <v/>
      </c>
      <c r="BK7" s="33">
        <f>MID("LMMJV",WEEKDAY(BK6,2),1)</f>
        <v/>
      </c>
      <c r="BL7" s="33">
        <f>MID("LMMJV",WEEKDAY(BL6,2),1)</f>
        <v/>
      </c>
      <c r="BM7" s="33">
        <f>MID("LMMJV",WEEKDAY(BM6,2),1)</f>
        <v/>
      </c>
      <c r="BN7" s="33">
        <f>MID("LMMJV",WEEKDAY(BN6,2),1)</f>
        <v/>
      </c>
      <c r="BO7" s="33">
        <f>MID("LMMJV",WEEKDAY(BO6,2),1)</f>
        <v/>
      </c>
      <c r="BP7" s="33">
        <f>MID("LMMJV",WEEKDAY(BP6,2),1)</f>
        <v/>
      </c>
      <c r="BQ7" s="33">
        <f>MID("LMMJV",WEEKDAY(BQ6,2),1)</f>
        <v/>
      </c>
      <c r="BR7" s="33">
        <f>MID("LMMJV",WEEKDAY(BR6,2),1)</f>
        <v/>
      </c>
      <c r="BS7" s="33">
        <f>MID("LMMJV",WEEKDAY(BS6,2),1)</f>
        <v/>
      </c>
      <c r="BT7" s="33">
        <f>MID("LMMJV",WEEKDAY(BT6,2),1)</f>
        <v/>
      </c>
      <c r="BU7" s="33">
        <f>MID("LMMJV",WEEKDAY(BU6,2),1)</f>
        <v/>
      </c>
      <c r="BV7" s="33">
        <f>MID("LMMJV",WEEKDAY(BV6,2),1)</f>
        <v/>
      </c>
      <c r="BW7" s="33">
        <f>MID("LMMJV",WEEKDAY(BW6,2),1)</f>
        <v/>
      </c>
      <c r="BX7" s="33">
        <f>MID("LMMJV",WEEKDAY(BX6,2),1)</f>
        <v/>
      </c>
      <c r="BY7" s="33">
        <f>MID("LMMJV",WEEKDAY(BY6,2),1)</f>
        <v/>
      </c>
      <c r="BZ7" s="33">
        <f>MID("LMMJV",WEEKDAY(BZ6,2),1)</f>
        <v/>
      </c>
      <c r="CA7" s="33">
        <f>MID("LMMJV",WEEKDAY(CA6,2),1)</f>
        <v/>
      </c>
      <c r="CB7" s="33">
        <f>MID("LMMJV",WEEKDAY(CB6,2),1)</f>
        <v/>
      </c>
      <c r="CC7" s="33">
        <f>MID("LMMJV",WEEKDAY(CC6,2),1)</f>
        <v/>
      </c>
      <c r="CD7" s="33">
        <f>MID("LMMJV",WEEKDAY(CD6,2),1)</f>
        <v/>
      </c>
      <c r="CE7" s="33">
        <f>MID("LMMJV",WEEKDAY(CE6,2),1)</f>
        <v/>
      </c>
      <c r="CF7" s="33">
        <f>MID("LMMJV",WEEKDAY(CF6,2),1)</f>
        <v/>
      </c>
    </row>
    <row r="8">
      <c r="A8" s="9" t="inlineStr">
        <is>
          <t>S1</t>
        </is>
      </c>
      <c r="B8" s="34" t="inlineStr">
        <is>
          <t>Sprint 1 · Usuarios, roles y permisos</t>
        </is>
      </c>
      <c r="C8" s="9" t="inlineStr">
        <is>
          <t>Sprint</t>
        </is>
      </c>
      <c r="D8" s="9" t="inlineStr">
        <is>
          <t>PO: Matías · SM: Millaray</t>
        </is>
      </c>
      <c r="E8" s="35">
        <f>Resumen!C8</f>
        <v/>
      </c>
      <c r="F8" s="35">
        <f>Resumen!D8</f>
        <v/>
      </c>
      <c r="G8" s="9">
        <f>NETWORKDAYS(E8,F8,Feriados)</f>
        <v/>
      </c>
      <c r="H8" s="16">
        <f>Resumen!L8</f>
        <v/>
      </c>
      <c r="I8" s="9">
        <f>Resumen!Q8</f>
        <v/>
      </c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6" t="n"/>
      <c r="BH8" s="36" t="n"/>
      <c r="BI8" s="36" t="n"/>
      <c r="BJ8" s="36" t="n"/>
      <c r="BK8" s="36" t="n"/>
      <c r="BL8" s="36" t="n"/>
      <c r="BM8" s="36" t="n"/>
      <c r="BN8" s="36" t="n"/>
      <c r="BO8" s="36" t="n"/>
      <c r="BP8" s="36" t="n"/>
      <c r="BQ8" s="36" t="n"/>
      <c r="BR8" s="36" t="n"/>
      <c r="BS8" s="36" t="n"/>
      <c r="BT8" s="36" t="n"/>
      <c r="BU8" s="36" t="n"/>
      <c r="BV8" s="36" t="n"/>
      <c r="BW8" s="36" t="n"/>
      <c r="BX8" s="36" t="n"/>
      <c r="BY8" s="36" t="n"/>
      <c r="BZ8" s="36" t="n"/>
      <c r="CA8" s="36" t="n"/>
      <c r="CB8" s="36" t="n"/>
      <c r="CC8" s="36" t="n"/>
      <c r="CD8" s="36" t="n"/>
      <c r="CE8" s="36" t="n"/>
      <c r="CF8" s="36" t="n"/>
    </row>
    <row r="9" outlineLevel="1">
      <c r="A9" s="37" t="inlineStr"/>
      <c r="B9" s="38" t="inlineStr">
        <is>
          <t>Eventos Scrum</t>
        </is>
      </c>
      <c r="C9" s="37" t="inlineStr">
        <is>
          <t>Eventos</t>
        </is>
      </c>
      <c r="D9" s="37" t="inlineStr">
        <is>
          <t>Scrum Team</t>
        </is>
      </c>
      <c r="E9" s="39" t="inlineStr"/>
      <c r="F9" s="39" t="inlineStr"/>
      <c r="G9" s="37" t="inlineStr"/>
      <c r="H9" s="40" t="inlineStr"/>
      <c r="I9" s="37" t="inlineStr"/>
      <c r="J9" s="41">
        <f>IF(J$6=Eventos!$C$6,"F",IF(J$6=Eventos!$C$5,"P",IF(J$6=Eventos!$C$7,"C",IF(J$6=Eventos!$C$8,"R",""))))</f>
        <v/>
      </c>
      <c r="K9" s="41">
        <f>IF(K$6=Eventos!$C$6,"F",IF(K$6=Eventos!$C$5,"P",IF(K$6=Eventos!$C$7,"C",IF(K$6=Eventos!$C$8,"R",""))))</f>
        <v/>
      </c>
      <c r="L9" s="41">
        <f>IF(L$6=Eventos!$C$6,"F",IF(L$6=Eventos!$C$5,"P",IF(L$6=Eventos!$C$7,"C",IF(L$6=Eventos!$C$8,"R",""))))</f>
        <v/>
      </c>
      <c r="M9" s="41">
        <f>IF(M$6=Eventos!$C$6,"F",IF(M$6=Eventos!$C$5,"P",IF(M$6=Eventos!$C$7,"C",IF(M$6=Eventos!$C$8,"R",""))))</f>
        <v/>
      </c>
      <c r="N9" s="41">
        <f>IF(N$6=Eventos!$C$6,"F",IF(N$6=Eventos!$C$5,"P",IF(N$6=Eventos!$C$7,"C",IF(N$6=Eventos!$C$8,"R",""))))</f>
        <v/>
      </c>
      <c r="O9" s="41">
        <f>IF(O$6=Eventos!$C$6,"F",IF(O$6=Eventos!$C$5,"P",IF(O$6=Eventos!$C$7,"C",IF(O$6=Eventos!$C$8,"R",""))))</f>
        <v/>
      </c>
      <c r="P9" s="41">
        <f>IF(P$6=Eventos!$C$6,"F",IF(P$6=Eventos!$C$5,"P",IF(P$6=Eventos!$C$7,"C",IF(P$6=Eventos!$C$8,"R",""))))</f>
        <v/>
      </c>
      <c r="Q9" s="41">
        <f>IF(Q$6=Eventos!$C$6,"F",IF(Q$6=Eventos!$C$5,"P",IF(Q$6=Eventos!$C$7,"C",IF(Q$6=Eventos!$C$8,"R",""))))</f>
        <v/>
      </c>
      <c r="R9" s="41">
        <f>IF(R$6=Eventos!$C$6,"F",IF(R$6=Eventos!$C$5,"P",IF(R$6=Eventos!$C$7,"C",IF(R$6=Eventos!$C$8,"R",""))))</f>
        <v/>
      </c>
      <c r="S9" s="41">
        <f>IF(S$6=Eventos!$C$6,"F",IF(S$6=Eventos!$C$5,"P",IF(S$6=Eventos!$C$7,"C",IF(S$6=Eventos!$C$8,"R",""))))</f>
        <v/>
      </c>
      <c r="T9" s="41">
        <f>IF(T$6=Eventos!$C$6,"F",IF(T$6=Eventos!$C$5,"P",IF(T$6=Eventos!$C$7,"C",IF(T$6=Eventos!$C$8,"R",""))))</f>
        <v/>
      </c>
      <c r="U9" s="41">
        <f>IF(U$6=Eventos!$C$6,"F",IF(U$6=Eventos!$C$5,"P",IF(U$6=Eventos!$C$7,"C",IF(U$6=Eventos!$C$8,"R",""))))</f>
        <v/>
      </c>
      <c r="V9" s="41">
        <f>IF(V$6=Eventos!$C$6,"F",IF(V$6=Eventos!$C$5,"P",IF(V$6=Eventos!$C$7,"C",IF(V$6=Eventos!$C$8,"R",""))))</f>
        <v/>
      </c>
      <c r="W9" s="41">
        <f>IF(W$6=Eventos!$C$6,"F",IF(W$6=Eventos!$C$5,"P",IF(W$6=Eventos!$C$7,"C",IF(W$6=Eventos!$C$8,"R",""))))</f>
        <v/>
      </c>
      <c r="X9" s="41">
        <f>IF(X$6=Eventos!$C$6,"F",IF(X$6=Eventos!$C$5,"P",IF(X$6=Eventos!$C$7,"C",IF(X$6=Eventos!$C$8,"R",""))))</f>
        <v/>
      </c>
      <c r="Y9" s="41">
        <f>IF(Y$6=Eventos!$C$6,"F",IF(Y$6=Eventos!$C$5,"P",IF(Y$6=Eventos!$C$7,"C",IF(Y$6=Eventos!$C$8,"R",""))))</f>
        <v/>
      </c>
      <c r="Z9" s="41">
        <f>IF(Z$6=Eventos!$C$6,"F",IF(Z$6=Eventos!$C$5,"P",IF(Z$6=Eventos!$C$7,"C",IF(Z$6=Eventos!$C$8,"R",""))))</f>
        <v/>
      </c>
      <c r="AA9" s="41">
        <f>IF(AA$6=Eventos!$C$6,"F",IF(AA$6=Eventos!$C$5,"P",IF(AA$6=Eventos!$C$7,"C",IF(AA$6=Eventos!$C$8,"R",""))))</f>
        <v/>
      </c>
      <c r="AB9" s="41">
        <f>IF(AB$6=Eventos!$C$6,"F",IF(AB$6=Eventos!$C$5,"P",IF(AB$6=Eventos!$C$7,"C",IF(AB$6=Eventos!$C$8,"R",""))))</f>
        <v/>
      </c>
      <c r="AC9" s="41">
        <f>IF(AC$6=Eventos!$C$6,"F",IF(AC$6=Eventos!$C$5,"P",IF(AC$6=Eventos!$C$7,"C",IF(AC$6=Eventos!$C$8,"R",""))))</f>
        <v/>
      </c>
      <c r="AD9" s="41">
        <f>IF(AD$6=Eventos!$C$6,"F",IF(AD$6=Eventos!$C$5,"P",IF(AD$6=Eventos!$C$7,"C",IF(AD$6=Eventos!$C$8,"R",""))))</f>
        <v/>
      </c>
      <c r="AE9" s="41">
        <f>IF(AE$6=Eventos!$C$6,"F",IF(AE$6=Eventos!$C$5,"P",IF(AE$6=Eventos!$C$7,"C",IF(AE$6=Eventos!$C$8,"R",""))))</f>
        <v/>
      </c>
      <c r="AF9" s="41">
        <f>IF(AF$6=Eventos!$C$6,"F",IF(AF$6=Eventos!$C$5,"P",IF(AF$6=Eventos!$C$7,"C",IF(AF$6=Eventos!$C$8,"R",""))))</f>
        <v/>
      </c>
      <c r="AG9" s="41">
        <f>IF(AG$6=Eventos!$C$6,"F",IF(AG$6=Eventos!$C$5,"P",IF(AG$6=Eventos!$C$7,"C",IF(AG$6=Eventos!$C$8,"R",""))))</f>
        <v/>
      </c>
      <c r="AH9" s="41">
        <f>IF(AH$6=Eventos!$C$6,"F",IF(AH$6=Eventos!$C$5,"P",IF(AH$6=Eventos!$C$7,"C",IF(AH$6=Eventos!$C$8,"R",""))))</f>
        <v/>
      </c>
      <c r="AI9" s="41">
        <f>IF(AI$6=Eventos!$C$6,"F",IF(AI$6=Eventos!$C$5,"P",IF(AI$6=Eventos!$C$7,"C",IF(AI$6=Eventos!$C$8,"R",""))))</f>
        <v/>
      </c>
      <c r="AJ9" s="41">
        <f>IF(AJ$6=Eventos!$C$6,"F",IF(AJ$6=Eventos!$C$5,"P",IF(AJ$6=Eventos!$C$7,"C",IF(AJ$6=Eventos!$C$8,"R",""))))</f>
        <v/>
      </c>
      <c r="AK9" s="41">
        <f>IF(AK$6=Eventos!$C$6,"F",IF(AK$6=Eventos!$C$5,"P",IF(AK$6=Eventos!$C$7,"C",IF(AK$6=Eventos!$C$8,"R",""))))</f>
        <v/>
      </c>
      <c r="AL9" s="41">
        <f>IF(AL$6=Eventos!$C$6,"F",IF(AL$6=Eventos!$C$5,"P",IF(AL$6=Eventos!$C$7,"C",IF(AL$6=Eventos!$C$8,"R",""))))</f>
        <v/>
      </c>
      <c r="AM9" s="41">
        <f>IF(AM$6=Eventos!$C$6,"F",IF(AM$6=Eventos!$C$5,"P",IF(AM$6=Eventos!$C$7,"C",IF(AM$6=Eventos!$C$8,"R",""))))</f>
        <v/>
      </c>
      <c r="AN9" s="41">
        <f>IF(AN$6=Eventos!$C$6,"F",IF(AN$6=Eventos!$C$5,"P",IF(AN$6=Eventos!$C$7,"C",IF(AN$6=Eventos!$C$8,"R",""))))</f>
        <v/>
      </c>
      <c r="AO9" s="41">
        <f>IF(AO$6=Eventos!$C$6,"F",IF(AO$6=Eventos!$C$5,"P",IF(AO$6=Eventos!$C$7,"C",IF(AO$6=Eventos!$C$8,"R",""))))</f>
        <v/>
      </c>
      <c r="AP9" s="41">
        <f>IF(AP$6=Eventos!$C$6,"F",IF(AP$6=Eventos!$C$5,"P",IF(AP$6=Eventos!$C$7,"C",IF(AP$6=Eventos!$C$8,"R",""))))</f>
        <v/>
      </c>
      <c r="AQ9" s="41">
        <f>IF(AQ$6=Eventos!$C$6,"F",IF(AQ$6=Eventos!$C$5,"P",IF(AQ$6=Eventos!$C$7,"C",IF(AQ$6=Eventos!$C$8,"R",""))))</f>
        <v/>
      </c>
      <c r="AR9" s="41">
        <f>IF(AR$6=Eventos!$C$6,"F",IF(AR$6=Eventos!$C$5,"P",IF(AR$6=Eventos!$C$7,"C",IF(AR$6=Eventos!$C$8,"R",""))))</f>
        <v/>
      </c>
      <c r="AS9" s="41">
        <f>IF(AS$6=Eventos!$C$6,"F",IF(AS$6=Eventos!$C$5,"P",IF(AS$6=Eventos!$C$7,"C",IF(AS$6=Eventos!$C$8,"R",""))))</f>
        <v/>
      </c>
      <c r="AT9" s="41">
        <f>IF(AT$6=Eventos!$C$6,"F",IF(AT$6=Eventos!$C$5,"P",IF(AT$6=Eventos!$C$7,"C",IF(AT$6=Eventos!$C$8,"R",""))))</f>
        <v/>
      </c>
      <c r="AU9" s="41">
        <f>IF(AU$6=Eventos!$C$6,"F",IF(AU$6=Eventos!$C$5,"P",IF(AU$6=Eventos!$C$7,"C",IF(AU$6=Eventos!$C$8,"R",""))))</f>
        <v/>
      </c>
      <c r="AV9" s="41">
        <f>IF(AV$6=Eventos!$C$6,"F",IF(AV$6=Eventos!$C$5,"P",IF(AV$6=Eventos!$C$7,"C",IF(AV$6=Eventos!$C$8,"R",""))))</f>
        <v/>
      </c>
      <c r="AW9" s="41">
        <f>IF(AW$6=Eventos!$C$6,"F",IF(AW$6=Eventos!$C$5,"P",IF(AW$6=Eventos!$C$7,"C",IF(AW$6=Eventos!$C$8,"R",""))))</f>
        <v/>
      </c>
      <c r="AX9" s="41">
        <f>IF(AX$6=Eventos!$C$6,"F",IF(AX$6=Eventos!$C$5,"P",IF(AX$6=Eventos!$C$7,"C",IF(AX$6=Eventos!$C$8,"R",""))))</f>
        <v/>
      </c>
      <c r="AY9" s="41">
        <f>IF(AY$6=Eventos!$C$6,"F",IF(AY$6=Eventos!$C$5,"P",IF(AY$6=Eventos!$C$7,"C",IF(AY$6=Eventos!$C$8,"R",""))))</f>
        <v/>
      </c>
      <c r="AZ9" s="41">
        <f>IF(AZ$6=Eventos!$C$6,"F",IF(AZ$6=Eventos!$C$5,"P",IF(AZ$6=Eventos!$C$7,"C",IF(AZ$6=Eventos!$C$8,"R",""))))</f>
        <v/>
      </c>
      <c r="BA9" s="41">
        <f>IF(BA$6=Eventos!$C$6,"F",IF(BA$6=Eventos!$C$5,"P",IF(BA$6=Eventos!$C$7,"C",IF(BA$6=Eventos!$C$8,"R",""))))</f>
        <v/>
      </c>
      <c r="BB9" s="41">
        <f>IF(BB$6=Eventos!$C$6,"F",IF(BB$6=Eventos!$C$5,"P",IF(BB$6=Eventos!$C$7,"C",IF(BB$6=Eventos!$C$8,"R",""))))</f>
        <v/>
      </c>
      <c r="BC9" s="41">
        <f>IF(BC$6=Eventos!$C$6,"F",IF(BC$6=Eventos!$C$5,"P",IF(BC$6=Eventos!$C$7,"C",IF(BC$6=Eventos!$C$8,"R",""))))</f>
        <v/>
      </c>
      <c r="BD9" s="41">
        <f>IF(BD$6=Eventos!$C$6,"F",IF(BD$6=Eventos!$C$5,"P",IF(BD$6=Eventos!$C$7,"C",IF(BD$6=Eventos!$C$8,"R",""))))</f>
        <v/>
      </c>
      <c r="BE9" s="41">
        <f>IF(BE$6=Eventos!$C$6,"F",IF(BE$6=Eventos!$C$5,"P",IF(BE$6=Eventos!$C$7,"C",IF(BE$6=Eventos!$C$8,"R",""))))</f>
        <v/>
      </c>
      <c r="BF9" s="41">
        <f>IF(BF$6=Eventos!$C$6,"F",IF(BF$6=Eventos!$C$5,"P",IF(BF$6=Eventos!$C$7,"C",IF(BF$6=Eventos!$C$8,"R",""))))</f>
        <v/>
      </c>
      <c r="BG9" s="41">
        <f>IF(BG$6=Eventos!$C$6,"F",IF(BG$6=Eventos!$C$5,"P",IF(BG$6=Eventos!$C$7,"C",IF(BG$6=Eventos!$C$8,"R",""))))</f>
        <v/>
      </c>
      <c r="BH9" s="41">
        <f>IF(BH$6=Eventos!$C$6,"F",IF(BH$6=Eventos!$C$5,"P",IF(BH$6=Eventos!$C$7,"C",IF(BH$6=Eventos!$C$8,"R",""))))</f>
        <v/>
      </c>
      <c r="BI9" s="41">
        <f>IF(BI$6=Eventos!$C$6,"F",IF(BI$6=Eventos!$C$5,"P",IF(BI$6=Eventos!$C$7,"C",IF(BI$6=Eventos!$C$8,"R",""))))</f>
        <v/>
      </c>
      <c r="BJ9" s="41">
        <f>IF(BJ$6=Eventos!$C$6,"F",IF(BJ$6=Eventos!$C$5,"P",IF(BJ$6=Eventos!$C$7,"C",IF(BJ$6=Eventos!$C$8,"R",""))))</f>
        <v/>
      </c>
      <c r="BK9" s="41">
        <f>IF(BK$6=Eventos!$C$6,"F",IF(BK$6=Eventos!$C$5,"P",IF(BK$6=Eventos!$C$7,"C",IF(BK$6=Eventos!$C$8,"R",""))))</f>
        <v/>
      </c>
      <c r="BL9" s="41">
        <f>IF(BL$6=Eventos!$C$6,"F",IF(BL$6=Eventos!$C$5,"P",IF(BL$6=Eventos!$C$7,"C",IF(BL$6=Eventos!$C$8,"R",""))))</f>
        <v/>
      </c>
      <c r="BM9" s="41">
        <f>IF(BM$6=Eventos!$C$6,"F",IF(BM$6=Eventos!$C$5,"P",IF(BM$6=Eventos!$C$7,"C",IF(BM$6=Eventos!$C$8,"R",""))))</f>
        <v/>
      </c>
      <c r="BN9" s="41">
        <f>IF(BN$6=Eventos!$C$6,"F",IF(BN$6=Eventos!$C$5,"P",IF(BN$6=Eventos!$C$7,"C",IF(BN$6=Eventos!$C$8,"R",""))))</f>
        <v/>
      </c>
      <c r="BO9" s="41">
        <f>IF(BO$6=Eventos!$C$6,"F",IF(BO$6=Eventos!$C$5,"P",IF(BO$6=Eventos!$C$7,"C",IF(BO$6=Eventos!$C$8,"R",""))))</f>
        <v/>
      </c>
      <c r="BP9" s="41">
        <f>IF(BP$6=Eventos!$C$6,"F",IF(BP$6=Eventos!$C$5,"P",IF(BP$6=Eventos!$C$7,"C",IF(BP$6=Eventos!$C$8,"R",""))))</f>
        <v/>
      </c>
      <c r="BQ9" s="41">
        <f>IF(BQ$6=Eventos!$C$6,"F",IF(BQ$6=Eventos!$C$5,"P",IF(BQ$6=Eventos!$C$7,"C",IF(BQ$6=Eventos!$C$8,"R",""))))</f>
        <v/>
      </c>
      <c r="BR9" s="41">
        <f>IF(BR$6=Eventos!$C$6,"F",IF(BR$6=Eventos!$C$5,"P",IF(BR$6=Eventos!$C$7,"C",IF(BR$6=Eventos!$C$8,"R",""))))</f>
        <v/>
      </c>
      <c r="BS9" s="41">
        <f>IF(BS$6=Eventos!$C$6,"F",IF(BS$6=Eventos!$C$5,"P",IF(BS$6=Eventos!$C$7,"C",IF(BS$6=Eventos!$C$8,"R",""))))</f>
        <v/>
      </c>
      <c r="BT9" s="41">
        <f>IF(BT$6=Eventos!$C$6,"F",IF(BT$6=Eventos!$C$5,"P",IF(BT$6=Eventos!$C$7,"C",IF(BT$6=Eventos!$C$8,"R",""))))</f>
        <v/>
      </c>
      <c r="BU9" s="41">
        <f>IF(BU$6=Eventos!$C$6,"F",IF(BU$6=Eventos!$C$5,"P",IF(BU$6=Eventos!$C$7,"C",IF(BU$6=Eventos!$C$8,"R",""))))</f>
        <v/>
      </c>
      <c r="BV9" s="41">
        <f>IF(BV$6=Eventos!$C$6,"F",IF(BV$6=Eventos!$C$5,"P",IF(BV$6=Eventos!$C$7,"C",IF(BV$6=Eventos!$C$8,"R",""))))</f>
        <v/>
      </c>
      <c r="BW9" s="41">
        <f>IF(BW$6=Eventos!$C$6,"F",IF(BW$6=Eventos!$C$5,"P",IF(BW$6=Eventos!$C$7,"C",IF(BW$6=Eventos!$C$8,"R",""))))</f>
        <v/>
      </c>
      <c r="BX9" s="41">
        <f>IF(BX$6=Eventos!$C$6,"F",IF(BX$6=Eventos!$C$5,"P",IF(BX$6=Eventos!$C$7,"C",IF(BX$6=Eventos!$C$8,"R",""))))</f>
        <v/>
      </c>
      <c r="BY9" s="41">
        <f>IF(BY$6=Eventos!$C$6,"F",IF(BY$6=Eventos!$C$5,"P",IF(BY$6=Eventos!$C$7,"C",IF(BY$6=Eventos!$C$8,"R",""))))</f>
        <v/>
      </c>
      <c r="BZ9" s="41">
        <f>IF(BZ$6=Eventos!$C$6,"F",IF(BZ$6=Eventos!$C$5,"P",IF(BZ$6=Eventos!$C$7,"C",IF(BZ$6=Eventos!$C$8,"R",""))))</f>
        <v/>
      </c>
      <c r="CA9" s="41">
        <f>IF(CA$6=Eventos!$C$6,"F",IF(CA$6=Eventos!$C$5,"P",IF(CA$6=Eventos!$C$7,"C",IF(CA$6=Eventos!$C$8,"R",""))))</f>
        <v/>
      </c>
      <c r="CB9" s="41">
        <f>IF(CB$6=Eventos!$C$6,"F",IF(CB$6=Eventos!$C$5,"P",IF(CB$6=Eventos!$C$7,"C",IF(CB$6=Eventos!$C$8,"R",""))))</f>
        <v/>
      </c>
      <c r="CC9" s="41">
        <f>IF(CC$6=Eventos!$C$6,"F",IF(CC$6=Eventos!$C$5,"P",IF(CC$6=Eventos!$C$7,"C",IF(CC$6=Eventos!$C$8,"R",""))))</f>
        <v/>
      </c>
      <c r="CD9" s="41">
        <f>IF(CD$6=Eventos!$C$6,"F",IF(CD$6=Eventos!$C$5,"P",IF(CD$6=Eventos!$C$7,"C",IF(CD$6=Eventos!$C$8,"R",""))))</f>
        <v/>
      </c>
      <c r="CE9" s="41">
        <f>IF(CE$6=Eventos!$C$6,"F",IF(CE$6=Eventos!$C$5,"P",IF(CE$6=Eventos!$C$7,"C",IF(CE$6=Eventos!$C$8,"R",""))))</f>
        <v/>
      </c>
      <c r="CF9" s="41">
        <f>IF(CF$6=Eventos!$C$6,"F",IF(CF$6=Eventos!$C$5,"P",IF(CF$6=Eventos!$C$7,"C",IF(CF$6=Eventos!$C$8,"R",""))))</f>
        <v/>
      </c>
    </row>
    <row r="10" outlineLevel="1">
      <c r="A10" s="11" t="inlineStr">
        <is>
          <t>HU-001</t>
        </is>
      </c>
      <c r="B10" s="42" t="inlineStr">
        <is>
          <t>Autenticarse en la plataforma</t>
        </is>
      </c>
      <c r="C10" s="11" t="inlineStr">
        <is>
          <t>Historia</t>
        </is>
      </c>
      <c r="D10" s="11" t="inlineStr">
        <is>
          <t>Matías y Alexssander</t>
        </is>
      </c>
      <c r="E10" s="43">
        <f>Historias!J5</f>
        <v/>
      </c>
      <c r="F10" s="43">
        <f>Historias!K5</f>
        <v/>
      </c>
      <c r="G10" s="11">
        <f>NETWORKDAYS(E10,F10,Feriados)</f>
        <v/>
      </c>
      <c r="H10" s="13">
        <f>Historias!N5</f>
        <v/>
      </c>
      <c r="I10" s="11">
        <f>Historias!P5</f>
        <v/>
      </c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  <c r="BI10" s="36" t="n"/>
      <c r="BJ10" s="36" t="n"/>
      <c r="BK10" s="36" t="n"/>
      <c r="BL10" s="36" t="n"/>
      <c r="BM10" s="36" t="n"/>
      <c r="BN10" s="36" t="n"/>
      <c r="BO10" s="36" t="n"/>
      <c r="BP10" s="36" t="n"/>
      <c r="BQ10" s="36" t="n"/>
      <c r="BR10" s="36" t="n"/>
      <c r="BS10" s="36" t="n"/>
      <c r="BT10" s="36" t="n"/>
      <c r="BU10" s="36" t="n"/>
      <c r="BV10" s="36" t="n"/>
      <c r="BW10" s="36" t="n"/>
      <c r="BX10" s="36" t="n"/>
      <c r="BY10" s="36" t="n"/>
      <c r="BZ10" s="36" t="n"/>
      <c r="CA10" s="36" t="n"/>
      <c r="CB10" s="36" t="n"/>
      <c r="CC10" s="36" t="n"/>
      <c r="CD10" s="36" t="n"/>
      <c r="CE10" s="36" t="n"/>
      <c r="CF10" s="36" t="n"/>
    </row>
    <row r="11" hidden="1" outlineLevel="2">
      <c r="A11" s="44" t="inlineStr">
        <is>
          <t>T-1.01</t>
        </is>
      </c>
      <c r="B11" s="45" t="inlineStr">
        <is>
          <t>Configurar el inicio y cierre de sesión con la autenticación de Django y la pantalla de acceso</t>
        </is>
      </c>
      <c r="C11" s="44" t="inlineStr">
        <is>
          <t>Tarea</t>
        </is>
      </c>
      <c r="D11" s="44" t="inlineStr">
        <is>
          <t>Matías</t>
        </is>
      </c>
      <c r="E11" s="46">
        <f>Tareas!H5</f>
        <v/>
      </c>
      <c r="F11" s="46">
        <f>Tareas!I5</f>
        <v/>
      </c>
      <c r="G11" s="44">
        <f>NETWORKDAYS(E11,F11,Feriados)</f>
        <v/>
      </c>
      <c r="H11" s="47">
        <f>Tareas!K5</f>
        <v/>
      </c>
      <c r="I11" s="44">
        <f>Tareas!J5</f>
        <v/>
      </c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  <c r="BI11" s="36" t="n"/>
      <c r="BJ11" s="36" t="n"/>
      <c r="BK11" s="36" t="n"/>
      <c r="BL11" s="36" t="n"/>
      <c r="BM11" s="36" t="n"/>
      <c r="BN11" s="36" t="n"/>
      <c r="BO11" s="36" t="n"/>
      <c r="BP11" s="36" t="n"/>
      <c r="BQ11" s="36" t="n"/>
      <c r="BR11" s="36" t="n"/>
      <c r="BS11" s="36" t="n"/>
      <c r="BT11" s="36" t="n"/>
      <c r="BU11" s="36" t="n"/>
      <c r="BV11" s="36" t="n"/>
      <c r="BW11" s="36" t="n"/>
      <c r="BX11" s="36" t="n"/>
      <c r="BY11" s="36" t="n"/>
      <c r="BZ11" s="36" t="n"/>
      <c r="CA11" s="36" t="n"/>
      <c r="CB11" s="36" t="n"/>
      <c r="CC11" s="36" t="n"/>
      <c r="CD11" s="36" t="n"/>
      <c r="CE11" s="36" t="n"/>
      <c r="CF11" s="36" t="n"/>
    </row>
    <row r="12" hidden="1" outlineLevel="2">
      <c r="A12" s="44" t="inlineStr">
        <is>
          <t>T-1.02</t>
        </is>
      </c>
      <c r="B12" s="45" t="inlineStr">
        <is>
          <t>Bloquear el acceso de usuarios desactivados y mostrar mensajes de error claros</t>
        </is>
      </c>
      <c r="C12" s="44" t="inlineStr">
        <is>
          <t>Tarea</t>
        </is>
      </c>
      <c r="D12" s="44" t="inlineStr">
        <is>
          <t>Matías</t>
        </is>
      </c>
      <c r="E12" s="46">
        <f>Tareas!H6</f>
        <v/>
      </c>
      <c r="F12" s="46">
        <f>Tareas!I6</f>
        <v/>
      </c>
      <c r="G12" s="44">
        <f>NETWORKDAYS(E12,F12,Feriados)</f>
        <v/>
      </c>
      <c r="H12" s="47">
        <f>Tareas!K6</f>
        <v/>
      </c>
      <c r="I12" s="44">
        <f>Tareas!J6</f>
        <v/>
      </c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6" t="n"/>
      <c r="BL12" s="36" t="n"/>
      <c r="BM12" s="36" t="n"/>
      <c r="BN12" s="36" t="n"/>
      <c r="BO12" s="36" t="n"/>
      <c r="BP12" s="36" t="n"/>
      <c r="BQ12" s="36" t="n"/>
      <c r="BR12" s="36" t="n"/>
      <c r="BS12" s="36" t="n"/>
      <c r="BT12" s="36" t="n"/>
      <c r="BU12" s="36" t="n"/>
      <c r="BV12" s="36" t="n"/>
      <c r="BW12" s="36" t="n"/>
      <c r="BX12" s="36" t="n"/>
      <c r="BY12" s="36" t="n"/>
      <c r="BZ12" s="36" t="n"/>
      <c r="CA12" s="36" t="n"/>
      <c r="CB12" s="36" t="n"/>
      <c r="CC12" s="36" t="n"/>
      <c r="CD12" s="36" t="n"/>
      <c r="CE12" s="36" t="n"/>
      <c r="CF12" s="36" t="n"/>
    </row>
    <row r="13" hidden="1" outlineLevel="2">
      <c r="A13" s="44" t="inlineStr">
        <is>
          <t>T-1.03</t>
        </is>
      </c>
      <c r="B13" s="45" t="inlineStr">
        <is>
          <t>Configurar el hash de contraseñas y la expiración de la sesión por inactividad</t>
        </is>
      </c>
      <c r="C13" s="44" t="inlineStr">
        <is>
          <t>Tarea</t>
        </is>
      </c>
      <c r="D13" s="44" t="inlineStr">
        <is>
          <t>Alexssander</t>
        </is>
      </c>
      <c r="E13" s="46">
        <f>Tareas!H7</f>
        <v/>
      </c>
      <c r="F13" s="46">
        <f>Tareas!I7</f>
        <v/>
      </c>
      <c r="G13" s="44">
        <f>NETWORKDAYS(E13,F13,Feriados)</f>
        <v/>
      </c>
      <c r="H13" s="47">
        <f>Tareas!K7</f>
        <v/>
      </c>
      <c r="I13" s="44">
        <f>Tareas!J7</f>
        <v/>
      </c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36" t="n"/>
      <c r="CD13" s="36" t="n"/>
      <c r="CE13" s="36" t="n"/>
      <c r="CF13" s="36" t="n"/>
    </row>
    <row r="14" hidden="1" outlineLevel="2">
      <c r="A14" s="44" t="inlineStr">
        <is>
          <t>T-1.04</t>
        </is>
      </c>
      <c r="B14" s="45" t="inlineStr">
        <is>
          <t>Registrar la auditoría de accesos e intentos fallidos</t>
        </is>
      </c>
      <c r="C14" s="44" t="inlineStr">
        <is>
          <t>Tarea</t>
        </is>
      </c>
      <c r="D14" s="44" t="inlineStr">
        <is>
          <t>Alexssander</t>
        </is>
      </c>
      <c r="E14" s="46">
        <f>Tareas!H8</f>
        <v/>
      </c>
      <c r="F14" s="46">
        <f>Tareas!I8</f>
        <v/>
      </c>
      <c r="G14" s="44">
        <f>NETWORKDAYS(E14,F14,Feriados)</f>
        <v/>
      </c>
      <c r="H14" s="47">
        <f>Tareas!K8</f>
        <v/>
      </c>
      <c r="I14" s="44">
        <f>Tareas!J8</f>
        <v/>
      </c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36" t="n"/>
      <c r="BN14" s="36" t="n"/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36" t="n"/>
      <c r="CC14" s="36" t="n"/>
      <c r="CD14" s="36" t="n"/>
      <c r="CE14" s="36" t="n"/>
      <c r="CF14" s="36" t="n"/>
    </row>
    <row r="15" hidden="1" outlineLevel="2">
      <c r="A15" s="44" t="inlineStr">
        <is>
          <t>T-1.05</t>
        </is>
      </c>
      <c r="B15" s="45" t="inlineStr">
        <is>
          <t>Pruebas automatizadas y ejecución de CP-001 a CP-003</t>
        </is>
      </c>
      <c r="C15" s="44" t="inlineStr">
        <is>
          <t>Tarea</t>
        </is>
      </c>
      <c r="D15" s="44" t="inlineStr">
        <is>
          <t>Millaray</t>
        </is>
      </c>
      <c r="E15" s="46">
        <f>Tareas!H9</f>
        <v/>
      </c>
      <c r="F15" s="46">
        <f>Tareas!I9</f>
        <v/>
      </c>
      <c r="G15" s="44">
        <f>NETWORKDAYS(E15,F15,Feriados)</f>
        <v/>
      </c>
      <c r="H15" s="47">
        <f>Tareas!K9</f>
        <v/>
      </c>
      <c r="I15" s="44">
        <f>Tareas!J9</f>
        <v/>
      </c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6" t="n"/>
      <c r="BL15" s="36" t="n"/>
      <c r="BM15" s="36" t="n"/>
      <c r="BN15" s="36" t="n"/>
      <c r="BO15" s="36" t="n"/>
      <c r="BP15" s="36" t="n"/>
      <c r="BQ15" s="36" t="n"/>
      <c r="BR15" s="36" t="n"/>
      <c r="BS15" s="36" t="n"/>
      <c r="BT15" s="36" t="n"/>
      <c r="BU15" s="36" t="n"/>
      <c r="BV15" s="36" t="n"/>
      <c r="BW15" s="36" t="n"/>
      <c r="BX15" s="36" t="n"/>
      <c r="BY15" s="36" t="n"/>
      <c r="BZ15" s="36" t="n"/>
      <c r="CA15" s="36" t="n"/>
      <c r="CB15" s="36" t="n"/>
      <c r="CC15" s="36" t="n"/>
      <c r="CD15" s="36" t="n"/>
      <c r="CE15" s="36" t="n"/>
      <c r="CF15" s="36" t="n"/>
    </row>
    <row r="16" outlineLevel="1">
      <c r="A16" s="11" t="inlineStr">
        <is>
          <t>HU-002</t>
        </is>
      </c>
      <c r="B16" s="42" t="inlineStr">
        <is>
          <t>Administrar usuarios y perfiles</t>
        </is>
      </c>
      <c r="C16" s="11" t="inlineStr">
        <is>
          <t>Historia</t>
        </is>
      </c>
      <c r="D16" s="11" t="inlineStr">
        <is>
          <t>Matías y Alexssander</t>
        </is>
      </c>
      <c r="E16" s="43">
        <f>Historias!J6</f>
        <v/>
      </c>
      <c r="F16" s="43">
        <f>Historias!K6</f>
        <v/>
      </c>
      <c r="G16" s="11">
        <f>NETWORKDAYS(E16,F16,Feriados)</f>
        <v/>
      </c>
      <c r="H16" s="13">
        <f>Historias!N6</f>
        <v/>
      </c>
      <c r="I16" s="11">
        <f>Historias!P6</f>
        <v/>
      </c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36" t="n"/>
      <c r="CA16" s="36" t="n"/>
      <c r="CB16" s="36" t="n"/>
      <c r="CC16" s="36" t="n"/>
      <c r="CD16" s="36" t="n"/>
      <c r="CE16" s="36" t="n"/>
      <c r="CF16" s="36" t="n"/>
    </row>
    <row r="17" hidden="1" outlineLevel="2">
      <c r="A17" s="44" t="inlineStr">
        <is>
          <t>T-1.06</t>
        </is>
      </c>
      <c r="B17" s="45" t="inlineStr">
        <is>
          <t>Modelos de área, cargo, rol y perfil de usuario, con sus migraciones</t>
        </is>
      </c>
      <c r="C17" s="44" t="inlineStr">
        <is>
          <t>Tarea</t>
        </is>
      </c>
      <c r="D17" s="44" t="inlineStr">
        <is>
          <t>Alexssander</t>
        </is>
      </c>
      <c r="E17" s="46">
        <f>Tareas!H10</f>
        <v/>
      </c>
      <c r="F17" s="46">
        <f>Tareas!I10</f>
        <v/>
      </c>
      <c r="G17" s="44">
        <f>NETWORKDAYS(E17,F17,Feriados)</f>
        <v/>
      </c>
      <c r="H17" s="47">
        <f>Tareas!K10</f>
        <v/>
      </c>
      <c r="I17" s="44">
        <f>Tareas!J10</f>
        <v/>
      </c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  <c r="BK17" s="36" t="n"/>
      <c r="BL17" s="36" t="n"/>
      <c r="BM17" s="36" t="n"/>
      <c r="BN17" s="36" t="n"/>
      <c r="BO17" s="36" t="n"/>
      <c r="BP17" s="36" t="n"/>
      <c r="BQ17" s="36" t="n"/>
      <c r="BR17" s="36" t="n"/>
      <c r="BS17" s="36" t="n"/>
      <c r="BT17" s="36" t="n"/>
      <c r="BU17" s="36" t="n"/>
      <c r="BV17" s="36" t="n"/>
      <c r="BW17" s="36" t="n"/>
      <c r="BX17" s="36" t="n"/>
      <c r="BY17" s="36" t="n"/>
      <c r="BZ17" s="36" t="n"/>
      <c r="CA17" s="36" t="n"/>
      <c r="CB17" s="36" t="n"/>
      <c r="CC17" s="36" t="n"/>
      <c r="CD17" s="36" t="n"/>
      <c r="CE17" s="36" t="n"/>
      <c r="CF17" s="36" t="n"/>
    </row>
    <row r="18" hidden="1" outlineLevel="2">
      <c r="A18" s="44" t="inlineStr">
        <is>
          <t>T-1.07</t>
        </is>
      </c>
      <c r="B18" s="45" t="inlineStr">
        <is>
          <t>Mantenedor de usuarios con área, cargo y rol obligatorios</t>
        </is>
      </c>
      <c r="C18" s="44" t="inlineStr">
        <is>
          <t>Tarea</t>
        </is>
      </c>
      <c r="D18" s="44" t="inlineStr">
        <is>
          <t>Matías</t>
        </is>
      </c>
      <c r="E18" s="46">
        <f>Tareas!H11</f>
        <v/>
      </c>
      <c r="F18" s="46">
        <f>Tareas!I11</f>
        <v/>
      </c>
      <c r="G18" s="44">
        <f>NETWORKDAYS(E18,F18,Feriados)</f>
        <v/>
      </c>
      <c r="H18" s="47">
        <f>Tareas!K11</f>
        <v/>
      </c>
      <c r="I18" s="44">
        <f>Tareas!J11</f>
        <v/>
      </c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  <c r="BK18" s="36" t="n"/>
      <c r="BL18" s="36" t="n"/>
      <c r="BM18" s="36" t="n"/>
      <c r="BN18" s="36" t="n"/>
      <c r="BO18" s="36" t="n"/>
      <c r="BP18" s="36" t="n"/>
      <c r="BQ18" s="36" t="n"/>
      <c r="BR18" s="36" t="n"/>
      <c r="BS18" s="36" t="n"/>
      <c r="BT18" s="36" t="n"/>
      <c r="BU18" s="36" t="n"/>
      <c r="BV18" s="36" t="n"/>
      <c r="BW18" s="36" t="n"/>
      <c r="BX18" s="36" t="n"/>
      <c r="BY18" s="36" t="n"/>
      <c r="BZ18" s="36" t="n"/>
      <c r="CA18" s="36" t="n"/>
      <c r="CB18" s="36" t="n"/>
      <c r="CC18" s="36" t="n"/>
      <c r="CD18" s="36" t="n"/>
      <c r="CE18" s="36" t="n"/>
      <c r="CF18" s="36" t="n"/>
    </row>
    <row r="19" hidden="1" outlineLevel="2">
      <c r="A19" s="44" t="inlineStr">
        <is>
          <t>T-1.08</t>
        </is>
      </c>
      <c r="B19" s="45" t="inlineStr">
        <is>
          <t>Desactivación y reactivación de usuarios conservando su historial</t>
        </is>
      </c>
      <c r="C19" s="44" t="inlineStr">
        <is>
          <t>Tarea</t>
        </is>
      </c>
      <c r="D19" s="44" t="inlineStr">
        <is>
          <t>Matías</t>
        </is>
      </c>
      <c r="E19" s="46">
        <f>Tareas!H12</f>
        <v/>
      </c>
      <c r="F19" s="46">
        <f>Tareas!I12</f>
        <v/>
      </c>
      <c r="G19" s="44">
        <f>NETWORKDAYS(E19,F19,Feriados)</f>
        <v/>
      </c>
      <c r="H19" s="47">
        <f>Tareas!K12</f>
        <v/>
      </c>
      <c r="I19" s="44">
        <f>Tareas!J12</f>
        <v/>
      </c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6" t="n"/>
      <c r="BL19" s="36" t="n"/>
      <c r="BM19" s="36" t="n"/>
      <c r="BN19" s="36" t="n"/>
      <c r="BO19" s="36" t="n"/>
      <c r="BP19" s="36" t="n"/>
      <c r="BQ19" s="36" t="n"/>
      <c r="BR19" s="36" t="n"/>
      <c r="BS19" s="36" t="n"/>
      <c r="BT19" s="36" t="n"/>
      <c r="BU19" s="36" t="n"/>
      <c r="BV19" s="36" t="n"/>
      <c r="BW19" s="36" t="n"/>
      <c r="BX19" s="36" t="n"/>
      <c r="BY19" s="36" t="n"/>
      <c r="BZ19" s="36" t="n"/>
      <c r="CA19" s="36" t="n"/>
      <c r="CB19" s="36" t="n"/>
      <c r="CC19" s="36" t="n"/>
      <c r="CD19" s="36" t="n"/>
      <c r="CE19" s="36" t="n"/>
      <c r="CF19" s="36" t="n"/>
    </row>
    <row r="20" hidden="1" outlineLevel="2">
      <c r="A20" s="44" t="inlineStr">
        <is>
          <t>T-1.09</t>
        </is>
      </c>
      <c r="B20" s="45" t="inlineStr">
        <is>
          <t>Restringir la administración de usuarios al administrador, validado en el servidor</t>
        </is>
      </c>
      <c r="C20" s="44" t="inlineStr">
        <is>
          <t>Tarea</t>
        </is>
      </c>
      <c r="D20" s="44" t="inlineStr">
        <is>
          <t>Alexssander</t>
        </is>
      </c>
      <c r="E20" s="46">
        <f>Tareas!H13</f>
        <v/>
      </c>
      <c r="F20" s="46">
        <f>Tareas!I13</f>
        <v/>
      </c>
      <c r="G20" s="44">
        <f>NETWORKDAYS(E20,F20,Feriados)</f>
        <v/>
      </c>
      <c r="H20" s="47">
        <f>Tareas!K13</f>
        <v/>
      </c>
      <c r="I20" s="44">
        <f>Tareas!J13</f>
        <v/>
      </c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  <c r="BI20" s="36" t="n"/>
      <c r="BJ20" s="36" t="n"/>
      <c r="BK20" s="36" t="n"/>
      <c r="BL20" s="36" t="n"/>
      <c r="BM20" s="36" t="n"/>
      <c r="BN20" s="36" t="n"/>
      <c r="BO20" s="36" t="n"/>
      <c r="BP20" s="36" t="n"/>
      <c r="BQ20" s="36" t="n"/>
      <c r="BR20" s="36" t="n"/>
      <c r="BS20" s="36" t="n"/>
      <c r="BT20" s="36" t="n"/>
      <c r="BU20" s="36" t="n"/>
      <c r="BV20" s="36" t="n"/>
      <c r="BW20" s="36" t="n"/>
      <c r="BX20" s="36" t="n"/>
      <c r="BY20" s="36" t="n"/>
      <c r="BZ20" s="36" t="n"/>
      <c r="CA20" s="36" t="n"/>
      <c r="CB20" s="36" t="n"/>
      <c r="CC20" s="36" t="n"/>
      <c r="CD20" s="36" t="n"/>
      <c r="CE20" s="36" t="n"/>
      <c r="CF20" s="36" t="n"/>
    </row>
    <row r="21" hidden="1" outlineLevel="2">
      <c r="A21" s="44" t="inlineStr">
        <is>
          <t>T-1.10</t>
        </is>
      </c>
      <c r="B21" s="45" t="inlineStr">
        <is>
          <t>Pruebas automatizadas y ejecución de CP-004 a CP-006</t>
        </is>
      </c>
      <c r="C21" s="44" t="inlineStr">
        <is>
          <t>Tarea</t>
        </is>
      </c>
      <c r="D21" s="44" t="inlineStr">
        <is>
          <t>Millaray</t>
        </is>
      </c>
      <c r="E21" s="46">
        <f>Tareas!H14</f>
        <v/>
      </c>
      <c r="F21" s="46">
        <f>Tareas!I14</f>
        <v/>
      </c>
      <c r="G21" s="44">
        <f>NETWORKDAYS(E21,F21,Feriados)</f>
        <v/>
      </c>
      <c r="H21" s="47">
        <f>Tareas!K14</f>
        <v/>
      </c>
      <c r="I21" s="44">
        <f>Tareas!J14</f>
        <v/>
      </c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  <c r="BK21" s="36" t="n"/>
      <c r="BL21" s="36" t="n"/>
      <c r="BM21" s="36" t="n"/>
      <c r="BN21" s="36" t="n"/>
      <c r="BO21" s="36" t="n"/>
      <c r="BP21" s="36" t="n"/>
      <c r="BQ21" s="36" t="n"/>
      <c r="BR21" s="36" t="n"/>
      <c r="BS21" s="36" t="n"/>
      <c r="BT21" s="36" t="n"/>
      <c r="BU21" s="36" t="n"/>
      <c r="BV21" s="36" t="n"/>
      <c r="BW21" s="36" t="n"/>
      <c r="BX21" s="36" t="n"/>
      <c r="BY21" s="36" t="n"/>
      <c r="BZ21" s="36" t="n"/>
      <c r="CA21" s="36" t="n"/>
      <c r="CB21" s="36" t="n"/>
      <c r="CC21" s="36" t="n"/>
      <c r="CD21" s="36" t="n"/>
      <c r="CE21" s="36" t="n"/>
      <c r="CF21" s="36" t="n"/>
    </row>
    <row r="22" outlineLevel="1">
      <c r="A22" s="11" t="inlineStr">
        <is>
          <t>HU-003</t>
        </is>
      </c>
      <c r="B22" s="42" t="inlineStr">
        <is>
          <t>Configurar permisos y grupos de autorización</t>
        </is>
      </c>
      <c r="C22" s="11" t="inlineStr">
        <is>
          <t>Historia</t>
        </is>
      </c>
      <c r="D22" s="11" t="inlineStr">
        <is>
          <t>Matías y Alexssander</t>
        </is>
      </c>
      <c r="E22" s="43">
        <f>Historias!J7</f>
        <v/>
      </c>
      <c r="F22" s="43">
        <f>Historias!K7</f>
        <v/>
      </c>
      <c r="G22" s="11">
        <f>NETWORKDAYS(E22,F22,Feriados)</f>
        <v/>
      </c>
      <c r="H22" s="13">
        <f>Historias!N7</f>
        <v/>
      </c>
      <c r="I22" s="11">
        <f>Historias!P7</f>
        <v/>
      </c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36" t="n"/>
      <c r="BY22" s="36" t="n"/>
      <c r="BZ22" s="36" t="n"/>
      <c r="CA22" s="36" t="n"/>
      <c r="CB22" s="36" t="n"/>
      <c r="CC22" s="36" t="n"/>
      <c r="CD22" s="36" t="n"/>
      <c r="CE22" s="36" t="n"/>
      <c r="CF22" s="36" t="n"/>
    </row>
    <row r="23" hidden="1" outlineLevel="2">
      <c r="A23" s="44" t="inlineStr">
        <is>
          <t>T-1.11</t>
        </is>
      </c>
      <c r="B23" s="45" t="inlineStr">
        <is>
          <t>Modelo de permisos directos, por área y por cargo, y cálculo de permisos efectivos</t>
        </is>
      </c>
      <c r="C23" s="44" t="inlineStr">
        <is>
          <t>Tarea</t>
        </is>
      </c>
      <c r="D23" s="44" t="inlineStr">
        <is>
          <t>Alexssander</t>
        </is>
      </c>
      <c r="E23" s="46">
        <f>Tareas!H15</f>
        <v/>
      </c>
      <c r="F23" s="46">
        <f>Tareas!I15</f>
        <v/>
      </c>
      <c r="G23" s="44">
        <f>NETWORKDAYS(E23,F23,Feriados)</f>
        <v/>
      </c>
      <c r="H23" s="47">
        <f>Tareas!K15</f>
        <v/>
      </c>
      <c r="I23" s="44">
        <f>Tareas!J15</f>
        <v/>
      </c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  <c r="BE23" s="36" t="n"/>
      <c r="BF23" s="36" t="n"/>
      <c r="BG23" s="36" t="n"/>
      <c r="BH23" s="36" t="n"/>
      <c r="BI23" s="36" t="n"/>
      <c r="BJ23" s="36" t="n"/>
      <c r="BK23" s="36" t="n"/>
      <c r="BL23" s="36" t="n"/>
      <c r="BM23" s="36" t="n"/>
      <c r="BN23" s="36" t="n"/>
      <c r="BO23" s="36" t="n"/>
      <c r="BP23" s="36" t="n"/>
      <c r="BQ23" s="36" t="n"/>
      <c r="BR23" s="36" t="n"/>
      <c r="BS23" s="36" t="n"/>
      <c r="BT23" s="36" t="n"/>
      <c r="BU23" s="36" t="n"/>
      <c r="BV23" s="36" t="n"/>
      <c r="BW23" s="36" t="n"/>
      <c r="BX23" s="36" t="n"/>
      <c r="BY23" s="36" t="n"/>
      <c r="BZ23" s="36" t="n"/>
      <c r="CA23" s="36" t="n"/>
      <c r="CB23" s="36" t="n"/>
      <c r="CC23" s="36" t="n"/>
      <c r="CD23" s="36" t="n"/>
      <c r="CE23" s="36" t="n"/>
      <c r="CF23" s="36" t="n"/>
    </row>
    <row r="24" hidden="1" outlineLevel="2">
      <c r="A24" s="44" t="inlineStr">
        <is>
          <t>T-1.12</t>
        </is>
      </c>
      <c r="B24" s="45" t="inlineStr">
        <is>
          <t>Validación centralizada de permisos en el servidor para cada vista</t>
        </is>
      </c>
      <c r="C24" s="44" t="inlineStr">
        <is>
          <t>Tarea</t>
        </is>
      </c>
      <c r="D24" s="44" t="inlineStr">
        <is>
          <t>Matías</t>
        </is>
      </c>
      <c r="E24" s="46">
        <f>Tareas!H16</f>
        <v/>
      </c>
      <c r="F24" s="46">
        <f>Tareas!I16</f>
        <v/>
      </c>
      <c r="G24" s="44">
        <f>NETWORKDAYS(E24,F24,Feriados)</f>
        <v/>
      </c>
      <c r="H24" s="47">
        <f>Tareas!K16</f>
        <v/>
      </c>
      <c r="I24" s="44">
        <f>Tareas!J16</f>
        <v/>
      </c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  <c r="BE24" s="36" t="n"/>
      <c r="BF24" s="36" t="n"/>
      <c r="BG24" s="36" t="n"/>
      <c r="BH24" s="36" t="n"/>
      <c r="BI24" s="36" t="n"/>
      <c r="BJ24" s="36" t="n"/>
      <c r="BK24" s="36" t="n"/>
      <c r="BL24" s="36" t="n"/>
      <c r="BM24" s="36" t="n"/>
      <c r="BN24" s="36" t="n"/>
      <c r="BO24" s="36" t="n"/>
      <c r="BP24" s="36" t="n"/>
      <c r="BQ24" s="36" t="n"/>
      <c r="BR24" s="36" t="n"/>
      <c r="BS24" s="36" t="n"/>
      <c r="BT24" s="36" t="n"/>
      <c r="BU24" s="36" t="n"/>
      <c r="BV24" s="36" t="n"/>
      <c r="BW24" s="36" t="n"/>
      <c r="BX24" s="36" t="n"/>
      <c r="BY24" s="36" t="n"/>
      <c r="BZ24" s="36" t="n"/>
      <c r="CA24" s="36" t="n"/>
      <c r="CB24" s="36" t="n"/>
      <c r="CC24" s="36" t="n"/>
      <c r="CD24" s="36" t="n"/>
      <c r="CE24" s="36" t="n"/>
      <c r="CF24" s="36" t="n"/>
    </row>
    <row r="25" hidden="1" outlineLevel="2">
      <c r="A25" s="44" t="inlineStr">
        <is>
          <t>T-1.13</t>
        </is>
      </c>
      <c r="B25" s="45" t="inlineStr">
        <is>
          <t>Grupos autorizadores por tipo de solicitud con al menos un integrante activo</t>
        </is>
      </c>
      <c r="C25" s="44" t="inlineStr">
        <is>
          <t>Tarea</t>
        </is>
      </c>
      <c r="D25" s="44" t="inlineStr">
        <is>
          <t>Matías</t>
        </is>
      </c>
      <c r="E25" s="46">
        <f>Tareas!H17</f>
        <v/>
      </c>
      <c r="F25" s="46">
        <f>Tareas!I17</f>
        <v/>
      </c>
      <c r="G25" s="44">
        <f>NETWORKDAYS(E25,F25,Feriados)</f>
        <v/>
      </c>
      <c r="H25" s="47">
        <f>Tareas!K17</f>
        <v/>
      </c>
      <c r="I25" s="44">
        <f>Tareas!J17</f>
        <v/>
      </c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36" t="n"/>
      <c r="BZ25" s="36" t="n"/>
      <c r="CA25" s="36" t="n"/>
      <c r="CB25" s="36" t="n"/>
      <c r="CC25" s="36" t="n"/>
      <c r="CD25" s="36" t="n"/>
      <c r="CE25" s="36" t="n"/>
      <c r="CF25" s="36" t="n"/>
    </row>
    <row r="26" hidden="1" outlineLevel="2">
      <c r="A26" s="44" t="inlineStr">
        <is>
          <t>T-1.14</t>
        </is>
      </c>
      <c r="B26" s="45" t="inlineStr">
        <is>
          <t>Pantallas de administración de permisos y grupos</t>
        </is>
      </c>
      <c r="C26" s="44" t="inlineStr">
        <is>
          <t>Tarea</t>
        </is>
      </c>
      <c r="D26" s="44" t="inlineStr">
        <is>
          <t>Millaray</t>
        </is>
      </c>
      <c r="E26" s="46">
        <f>Tareas!H18</f>
        <v/>
      </c>
      <c r="F26" s="46">
        <f>Tareas!I18</f>
        <v/>
      </c>
      <c r="G26" s="44">
        <f>NETWORKDAYS(E26,F26,Feriados)</f>
        <v/>
      </c>
      <c r="H26" s="47">
        <f>Tareas!K18</f>
        <v/>
      </c>
      <c r="I26" s="44">
        <f>Tareas!J18</f>
        <v/>
      </c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  <c r="BI26" s="36" t="n"/>
      <c r="BJ26" s="36" t="n"/>
      <c r="BK26" s="36" t="n"/>
      <c r="BL26" s="36" t="n"/>
      <c r="BM26" s="36" t="n"/>
      <c r="BN26" s="36" t="n"/>
      <c r="BO26" s="36" t="n"/>
      <c r="BP26" s="36" t="n"/>
      <c r="BQ26" s="36" t="n"/>
      <c r="BR26" s="36" t="n"/>
      <c r="BS26" s="36" t="n"/>
      <c r="BT26" s="36" t="n"/>
      <c r="BU26" s="36" t="n"/>
      <c r="BV26" s="36" t="n"/>
      <c r="BW26" s="36" t="n"/>
      <c r="BX26" s="36" t="n"/>
      <c r="BY26" s="36" t="n"/>
      <c r="BZ26" s="36" t="n"/>
      <c r="CA26" s="36" t="n"/>
      <c r="CB26" s="36" t="n"/>
      <c r="CC26" s="36" t="n"/>
      <c r="CD26" s="36" t="n"/>
      <c r="CE26" s="36" t="n"/>
      <c r="CF26" s="36" t="n"/>
    </row>
    <row r="27" hidden="1" outlineLevel="2">
      <c r="A27" s="44" t="inlineStr">
        <is>
          <t>T-1.15</t>
        </is>
      </c>
      <c r="B27" s="45" t="inlineStr">
        <is>
          <t>Pruebas automatizadas y ejecución de CP-007 a CP-010</t>
        </is>
      </c>
      <c r="C27" s="44" t="inlineStr">
        <is>
          <t>Tarea</t>
        </is>
      </c>
      <c r="D27" s="44" t="inlineStr">
        <is>
          <t>Millaray</t>
        </is>
      </c>
      <c r="E27" s="46">
        <f>Tareas!H19</f>
        <v/>
      </c>
      <c r="F27" s="46">
        <f>Tareas!I19</f>
        <v/>
      </c>
      <c r="G27" s="44">
        <f>NETWORKDAYS(E27,F27,Feriados)</f>
        <v/>
      </c>
      <c r="H27" s="47">
        <f>Tareas!K19</f>
        <v/>
      </c>
      <c r="I27" s="44">
        <f>Tareas!J19</f>
        <v/>
      </c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  <c r="BE27" s="36" t="n"/>
      <c r="BF27" s="36" t="n"/>
      <c r="BG27" s="36" t="n"/>
      <c r="BH27" s="36" t="n"/>
      <c r="BI27" s="36" t="n"/>
      <c r="BJ27" s="36" t="n"/>
      <c r="BK27" s="36" t="n"/>
      <c r="BL27" s="36" t="n"/>
      <c r="BM27" s="36" t="n"/>
      <c r="BN27" s="36" t="n"/>
      <c r="BO27" s="36" t="n"/>
      <c r="BP27" s="36" t="n"/>
      <c r="BQ27" s="36" t="n"/>
      <c r="BR27" s="36" t="n"/>
      <c r="BS27" s="36" t="n"/>
      <c r="BT27" s="36" t="n"/>
      <c r="BU27" s="36" t="n"/>
      <c r="BV27" s="36" t="n"/>
      <c r="BW27" s="36" t="n"/>
      <c r="BX27" s="36" t="n"/>
      <c r="BY27" s="36" t="n"/>
      <c r="BZ27" s="36" t="n"/>
      <c r="CA27" s="36" t="n"/>
      <c r="CB27" s="36" t="n"/>
      <c r="CC27" s="36" t="n"/>
      <c r="CD27" s="36" t="n"/>
      <c r="CE27" s="36" t="n"/>
      <c r="CF27" s="36" t="n"/>
    </row>
    <row r="28" outlineLevel="1">
      <c r="A28" s="11" t="inlineStr">
        <is>
          <t>HU-004</t>
        </is>
      </c>
      <c r="B28" s="42" t="inlineStr">
        <is>
          <t>Configurar empresas, vendedores y comisiones</t>
        </is>
      </c>
      <c r="C28" s="11" t="inlineStr">
        <is>
          <t>Historia</t>
        </is>
      </c>
      <c r="D28" s="11" t="inlineStr">
        <is>
          <t>Matías y Alexssander</t>
        </is>
      </c>
      <c r="E28" s="43">
        <f>Historias!J8</f>
        <v/>
      </c>
      <c r="F28" s="43">
        <f>Historias!K8</f>
        <v/>
      </c>
      <c r="G28" s="11">
        <f>NETWORKDAYS(E28,F28,Feriados)</f>
        <v/>
      </c>
      <c r="H28" s="13">
        <f>Historias!N8</f>
        <v/>
      </c>
      <c r="I28" s="11">
        <f>Historias!P8</f>
        <v/>
      </c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  <c r="BE28" s="36" t="n"/>
      <c r="BF28" s="36" t="n"/>
      <c r="BG28" s="36" t="n"/>
      <c r="BH28" s="36" t="n"/>
      <c r="BI28" s="36" t="n"/>
      <c r="BJ28" s="36" t="n"/>
      <c r="BK28" s="36" t="n"/>
      <c r="BL28" s="36" t="n"/>
      <c r="BM28" s="36" t="n"/>
      <c r="BN28" s="36" t="n"/>
      <c r="BO28" s="36" t="n"/>
      <c r="BP28" s="36" t="n"/>
      <c r="BQ28" s="36" t="n"/>
      <c r="BR28" s="36" t="n"/>
      <c r="BS28" s="36" t="n"/>
      <c r="BT28" s="36" t="n"/>
      <c r="BU28" s="36" t="n"/>
      <c r="BV28" s="36" t="n"/>
      <c r="BW28" s="36" t="n"/>
      <c r="BX28" s="36" t="n"/>
      <c r="BY28" s="36" t="n"/>
      <c r="BZ28" s="36" t="n"/>
      <c r="CA28" s="36" t="n"/>
      <c r="CB28" s="36" t="n"/>
      <c r="CC28" s="36" t="n"/>
      <c r="CD28" s="36" t="n"/>
      <c r="CE28" s="36" t="n"/>
      <c r="CF28" s="36" t="n"/>
    </row>
    <row r="29" hidden="1" outlineLevel="2">
      <c r="A29" s="44" t="inlineStr">
        <is>
          <t>T-1.16</t>
        </is>
      </c>
      <c r="B29" s="45" t="inlineStr">
        <is>
          <t>Modelos de SlpCode por empresa y escala de comisión, con sus migraciones</t>
        </is>
      </c>
      <c r="C29" s="44" t="inlineStr">
        <is>
          <t>Tarea</t>
        </is>
      </c>
      <c r="D29" s="44" t="inlineStr">
        <is>
          <t>Alexssander</t>
        </is>
      </c>
      <c r="E29" s="46">
        <f>Tareas!H20</f>
        <v/>
      </c>
      <c r="F29" s="46">
        <f>Tareas!I20</f>
        <v/>
      </c>
      <c r="G29" s="44">
        <f>NETWORKDAYS(E29,F29,Feriados)</f>
        <v/>
      </c>
      <c r="H29" s="47">
        <f>Tareas!K20</f>
        <v/>
      </c>
      <c r="I29" s="44">
        <f>Tareas!J20</f>
        <v/>
      </c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36" t="n"/>
      <c r="BE29" s="36" t="n"/>
      <c r="BF29" s="36" t="n"/>
      <c r="BG29" s="36" t="n"/>
      <c r="BH29" s="36" t="n"/>
      <c r="BI29" s="36" t="n"/>
      <c r="BJ29" s="36" t="n"/>
      <c r="BK29" s="36" t="n"/>
      <c r="BL29" s="36" t="n"/>
      <c r="BM29" s="36" t="n"/>
      <c r="BN29" s="36" t="n"/>
      <c r="BO29" s="36" t="n"/>
      <c r="BP29" s="36" t="n"/>
      <c r="BQ29" s="36" t="n"/>
      <c r="BR29" s="36" t="n"/>
      <c r="BS29" s="36" t="n"/>
      <c r="BT29" s="36" t="n"/>
      <c r="BU29" s="36" t="n"/>
      <c r="BV29" s="36" t="n"/>
      <c r="BW29" s="36" t="n"/>
      <c r="BX29" s="36" t="n"/>
      <c r="BY29" s="36" t="n"/>
      <c r="BZ29" s="36" t="n"/>
      <c r="CA29" s="36" t="n"/>
      <c r="CB29" s="36" t="n"/>
      <c r="CC29" s="36" t="n"/>
      <c r="CD29" s="36" t="n"/>
      <c r="CE29" s="36" t="n"/>
      <c r="CF29" s="36" t="n"/>
    </row>
    <row r="30" hidden="1" outlineLevel="2">
      <c r="A30" s="44" t="inlineStr">
        <is>
          <t>T-1.17</t>
        </is>
      </c>
      <c r="B30" s="45" t="inlineStr">
        <is>
          <t>Asignación de SlpCode y escala de comisión en el perfil del vendedor</t>
        </is>
      </c>
      <c r="C30" s="44" t="inlineStr">
        <is>
          <t>Tarea</t>
        </is>
      </c>
      <c r="D30" s="44" t="inlineStr">
        <is>
          <t>Matías</t>
        </is>
      </c>
      <c r="E30" s="46">
        <f>Tareas!H21</f>
        <v/>
      </c>
      <c r="F30" s="46">
        <f>Tareas!I21</f>
        <v/>
      </c>
      <c r="G30" s="44">
        <f>NETWORKDAYS(E30,F30,Feriados)</f>
        <v/>
      </c>
      <c r="H30" s="47">
        <f>Tareas!K21</f>
        <v/>
      </c>
      <c r="I30" s="44">
        <f>Tareas!J21</f>
        <v/>
      </c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6" t="n"/>
      <c r="BG30" s="36" t="n"/>
      <c r="BH30" s="36" t="n"/>
      <c r="BI30" s="36" t="n"/>
      <c r="BJ30" s="36" t="n"/>
      <c r="BK30" s="36" t="n"/>
      <c r="BL30" s="36" t="n"/>
      <c r="BM30" s="36" t="n"/>
      <c r="BN30" s="36" t="n"/>
      <c r="BO30" s="36" t="n"/>
      <c r="BP30" s="36" t="n"/>
      <c r="BQ30" s="36" t="n"/>
      <c r="BR30" s="36" t="n"/>
      <c r="BS30" s="36" t="n"/>
      <c r="BT30" s="36" t="n"/>
      <c r="BU30" s="36" t="n"/>
      <c r="BV30" s="36" t="n"/>
      <c r="BW30" s="36" t="n"/>
      <c r="BX30" s="36" t="n"/>
      <c r="BY30" s="36" t="n"/>
      <c r="BZ30" s="36" t="n"/>
      <c r="CA30" s="36" t="n"/>
      <c r="CB30" s="36" t="n"/>
      <c r="CC30" s="36" t="n"/>
      <c r="CD30" s="36" t="n"/>
      <c r="CE30" s="36" t="n"/>
      <c r="CF30" s="36" t="n"/>
    </row>
    <row r="31" hidden="1" outlineLevel="2">
      <c r="A31" s="44" t="inlineStr">
        <is>
          <t>T-1.18</t>
        </is>
      </c>
      <c r="B31" s="45" t="inlineStr">
        <is>
          <t>Selector de empresa activa en la barra de navegación y colores por empresa</t>
        </is>
      </c>
      <c r="C31" s="44" t="inlineStr">
        <is>
          <t>Tarea</t>
        </is>
      </c>
      <c r="D31" s="44" t="inlineStr">
        <is>
          <t>Millaray</t>
        </is>
      </c>
      <c r="E31" s="46">
        <f>Tareas!H22</f>
        <v/>
      </c>
      <c r="F31" s="46">
        <f>Tareas!I22</f>
        <v/>
      </c>
      <c r="G31" s="44">
        <f>NETWORKDAYS(E31,F31,Feriados)</f>
        <v/>
      </c>
      <c r="H31" s="47">
        <f>Tareas!K22</f>
        <v/>
      </c>
      <c r="I31" s="44">
        <f>Tareas!J22</f>
        <v/>
      </c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6" t="n"/>
      <c r="BE31" s="36" t="n"/>
      <c r="BF31" s="36" t="n"/>
      <c r="BG31" s="36" t="n"/>
      <c r="BH31" s="36" t="n"/>
      <c r="BI31" s="36" t="n"/>
      <c r="BJ31" s="36" t="n"/>
      <c r="BK31" s="36" t="n"/>
      <c r="BL31" s="36" t="n"/>
      <c r="BM31" s="36" t="n"/>
      <c r="BN31" s="36" t="n"/>
      <c r="BO31" s="36" t="n"/>
      <c r="BP31" s="36" t="n"/>
      <c r="BQ31" s="36" t="n"/>
      <c r="BR31" s="36" t="n"/>
      <c r="BS31" s="36" t="n"/>
      <c r="BT31" s="36" t="n"/>
      <c r="BU31" s="36" t="n"/>
      <c r="BV31" s="36" t="n"/>
      <c r="BW31" s="36" t="n"/>
      <c r="BX31" s="36" t="n"/>
      <c r="BY31" s="36" t="n"/>
      <c r="BZ31" s="36" t="n"/>
      <c r="CA31" s="36" t="n"/>
      <c r="CB31" s="36" t="n"/>
      <c r="CC31" s="36" t="n"/>
      <c r="CD31" s="36" t="n"/>
      <c r="CE31" s="36" t="n"/>
      <c r="CF31" s="36" t="n"/>
    </row>
    <row r="32" hidden="1" outlineLevel="2">
      <c r="A32" s="44" t="inlineStr">
        <is>
          <t>T-1.19</t>
        </is>
      </c>
      <c r="B32" s="45" t="inlineStr">
        <is>
          <t>Pruebas automatizadas y ejecución de CP-011 a CP-014</t>
        </is>
      </c>
      <c r="C32" s="44" t="inlineStr">
        <is>
          <t>Tarea</t>
        </is>
      </c>
      <c r="D32" s="44" t="inlineStr">
        <is>
          <t>Alexssander</t>
        </is>
      </c>
      <c r="E32" s="46">
        <f>Tareas!H23</f>
        <v/>
      </c>
      <c r="F32" s="46">
        <f>Tareas!I23</f>
        <v/>
      </c>
      <c r="G32" s="44">
        <f>NETWORKDAYS(E32,F32,Feriados)</f>
        <v/>
      </c>
      <c r="H32" s="47">
        <f>Tareas!K23</f>
        <v/>
      </c>
      <c r="I32" s="44">
        <f>Tareas!J23</f>
        <v/>
      </c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36" t="n"/>
      <c r="BE32" s="36" t="n"/>
      <c r="BF32" s="36" t="n"/>
      <c r="BG32" s="36" t="n"/>
      <c r="BH32" s="36" t="n"/>
      <c r="BI32" s="36" t="n"/>
      <c r="BJ32" s="36" t="n"/>
      <c r="BK32" s="36" t="n"/>
      <c r="BL32" s="36" t="n"/>
      <c r="BM32" s="36" t="n"/>
      <c r="BN32" s="36" t="n"/>
      <c r="BO32" s="36" t="n"/>
      <c r="BP32" s="36" t="n"/>
      <c r="BQ32" s="36" t="n"/>
      <c r="BR32" s="36" t="n"/>
      <c r="BS32" s="36" t="n"/>
      <c r="BT32" s="36" t="n"/>
      <c r="BU32" s="36" t="n"/>
      <c r="BV32" s="36" t="n"/>
      <c r="BW32" s="36" t="n"/>
      <c r="BX32" s="36" t="n"/>
      <c r="BY32" s="36" t="n"/>
      <c r="BZ32" s="36" t="n"/>
      <c r="CA32" s="36" t="n"/>
      <c r="CB32" s="36" t="n"/>
      <c r="CC32" s="36" t="n"/>
      <c r="CD32" s="36" t="n"/>
      <c r="CE32" s="36" t="n"/>
      <c r="CF32" s="36" t="n"/>
    </row>
    <row r="33" outlineLevel="1">
      <c r="A33" s="11" t="inlineStr"/>
      <c r="B33" s="42" t="inlineStr">
        <is>
          <t>Tareas transversales del sprint</t>
        </is>
      </c>
      <c r="C33" s="11" t="inlineStr">
        <is>
          <t>Historia</t>
        </is>
      </c>
      <c r="D33" s="11" t="inlineStr">
        <is>
          <t>Scrum Team</t>
        </is>
      </c>
      <c r="E33" s="43">
        <f>_xlfn.MINIFS(Tareas!$H:$H,Tareas!$B:$B,"Sprint 1",Tareas!$C:$C,"Transversal")</f>
        <v/>
      </c>
      <c r="F33" s="43">
        <f>_xlfn.MAXIFS(Tareas!$I:$I,Tareas!$B:$B,"Sprint 1",Tareas!$C:$C,"Transversal")</f>
        <v/>
      </c>
      <c r="G33" s="11">
        <f>NETWORKDAYS(E33,F33,Feriados)</f>
        <v/>
      </c>
      <c r="H33" s="13">
        <f>IFERROR(SUMIFS(Tareas!$L:$L,Tareas!$B:$B,"Sprint 1",Tareas!$C:$C,"Transversal")/SUMIFS(Tareas!$F:$F,Tareas!$B:$B,"Sprint 1",Tareas!$C:$C,"Transversal"),0)</f>
        <v/>
      </c>
      <c r="I33" s="11" t="inlineStr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  <c r="BI33" s="36" t="n"/>
      <c r="BJ33" s="36" t="n"/>
      <c r="BK33" s="36" t="n"/>
      <c r="BL33" s="36" t="n"/>
      <c r="BM33" s="36" t="n"/>
      <c r="BN33" s="36" t="n"/>
      <c r="BO33" s="36" t="n"/>
      <c r="BP33" s="36" t="n"/>
      <c r="BQ33" s="36" t="n"/>
      <c r="BR33" s="36" t="n"/>
      <c r="BS33" s="36" t="n"/>
      <c r="BT33" s="36" t="n"/>
      <c r="BU33" s="36" t="n"/>
      <c r="BV33" s="36" t="n"/>
      <c r="BW33" s="36" t="n"/>
      <c r="BX33" s="36" t="n"/>
      <c r="BY33" s="36" t="n"/>
      <c r="BZ33" s="36" t="n"/>
      <c r="CA33" s="36" t="n"/>
      <c r="CB33" s="36" t="n"/>
      <c r="CC33" s="36" t="n"/>
      <c r="CD33" s="36" t="n"/>
      <c r="CE33" s="36" t="n"/>
      <c r="CF33" s="36" t="n"/>
    </row>
    <row r="34" hidden="1" outlineLevel="2">
      <c r="A34" s="44" t="inlineStr">
        <is>
          <t>T-1.20</t>
        </is>
      </c>
      <c r="B34" s="45" t="inlineStr">
        <is>
          <t>Configurar el repositorio privado, las ramas protegidas, el tablero y el archivo .env.example</t>
        </is>
      </c>
      <c r="C34" s="44" t="inlineStr">
        <is>
          <t>Tarea</t>
        </is>
      </c>
      <c r="D34" s="44" t="inlineStr">
        <is>
          <t>Alexssander</t>
        </is>
      </c>
      <c r="E34" s="46">
        <f>Tareas!H24</f>
        <v/>
      </c>
      <c r="F34" s="46">
        <f>Tareas!I24</f>
        <v/>
      </c>
      <c r="G34" s="44">
        <f>NETWORKDAYS(E34,F34,Feriados)</f>
        <v/>
      </c>
      <c r="H34" s="47">
        <f>Tareas!K24</f>
        <v/>
      </c>
      <c r="I34" s="44">
        <f>Tareas!J24</f>
        <v/>
      </c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</row>
    <row r="35" hidden="1" outlineLevel="2">
      <c r="A35" s="44" t="inlineStr">
        <is>
          <t>T-1.21</t>
        </is>
      </c>
      <c r="B35" s="45" t="inlineStr">
        <is>
          <t>Cargar datos ficticios de demostración: usuarios, áreas, cargos y empresas</t>
        </is>
      </c>
      <c r="C35" s="44" t="inlineStr">
        <is>
          <t>Tarea</t>
        </is>
      </c>
      <c r="D35" s="44" t="inlineStr">
        <is>
          <t>Millaray</t>
        </is>
      </c>
      <c r="E35" s="46">
        <f>Tareas!H25</f>
        <v/>
      </c>
      <c r="F35" s="46">
        <f>Tareas!I25</f>
        <v/>
      </c>
      <c r="G35" s="44">
        <f>NETWORKDAYS(E35,F35,Feriados)</f>
        <v/>
      </c>
      <c r="H35" s="47">
        <f>Tareas!K25</f>
        <v/>
      </c>
      <c r="I35" s="44">
        <f>Tareas!J25</f>
        <v/>
      </c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6" t="n"/>
      <c r="BH35" s="36" t="n"/>
      <c r="BI35" s="36" t="n"/>
      <c r="BJ35" s="36" t="n"/>
      <c r="BK35" s="36" t="n"/>
      <c r="BL35" s="36" t="n"/>
      <c r="BM35" s="36" t="n"/>
      <c r="BN35" s="36" t="n"/>
      <c r="BO35" s="36" t="n"/>
      <c r="BP35" s="36" t="n"/>
      <c r="BQ35" s="36" t="n"/>
      <c r="BR35" s="36" t="n"/>
      <c r="BS35" s="36" t="n"/>
      <c r="BT35" s="36" t="n"/>
      <c r="BU35" s="36" t="n"/>
      <c r="BV35" s="36" t="n"/>
      <c r="BW35" s="36" t="n"/>
      <c r="BX35" s="36" t="n"/>
      <c r="BY35" s="36" t="n"/>
      <c r="BZ35" s="36" t="n"/>
      <c r="CA35" s="36" t="n"/>
      <c r="CB35" s="36" t="n"/>
      <c r="CC35" s="36" t="n"/>
      <c r="CD35" s="36" t="n"/>
      <c r="CE35" s="36" t="n"/>
      <c r="CF35" s="36" t="n"/>
    </row>
    <row r="36" hidden="1" outlineLevel="2">
      <c r="A36" s="44" t="inlineStr">
        <is>
          <t>T-1.22</t>
        </is>
      </c>
      <c r="B36" s="45" t="inlineStr">
        <is>
          <t>Integrar develop en main, etiquetar v0.1.0 y preparar la demostración</t>
        </is>
      </c>
      <c r="C36" s="44" t="inlineStr">
        <is>
          <t>Tarea</t>
        </is>
      </c>
      <c r="D36" s="44" t="inlineStr">
        <is>
          <t>Alexssander</t>
        </is>
      </c>
      <c r="E36" s="46">
        <f>Tareas!H26</f>
        <v/>
      </c>
      <c r="F36" s="46">
        <f>Tareas!I26</f>
        <v/>
      </c>
      <c r="G36" s="44">
        <f>NETWORKDAYS(E36,F36,Feriados)</f>
        <v/>
      </c>
      <c r="H36" s="47">
        <f>Tareas!K26</f>
        <v/>
      </c>
      <c r="I36" s="44">
        <f>Tareas!J26</f>
        <v/>
      </c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36" t="n"/>
      <c r="BE36" s="36" t="n"/>
      <c r="BF36" s="36" t="n"/>
      <c r="BG36" s="36" t="n"/>
      <c r="BH36" s="36" t="n"/>
      <c r="BI36" s="36" t="n"/>
      <c r="BJ36" s="36" t="n"/>
      <c r="BK36" s="36" t="n"/>
      <c r="BL36" s="36" t="n"/>
      <c r="BM36" s="36" t="n"/>
      <c r="BN36" s="36" t="n"/>
      <c r="BO36" s="36" t="n"/>
      <c r="BP36" s="36" t="n"/>
      <c r="BQ36" s="36" t="n"/>
      <c r="BR36" s="36" t="n"/>
      <c r="BS36" s="36" t="n"/>
      <c r="BT36" s="36" t="n"/>
      <c r="BU36" s="36" t="n"/>
      <c r="BV36" s="36" t="n"/>
      <c r="BW36" s="36" t="n"/>
      <c r="BX36" s="36" t="n"/>
      <c r="BY36" s="36" t="n"/>
      <c r="BZ36" s="36" t="n"/>
      <c r="CA36" s="36" t="n"/>
      <c r="CB36" s="36" t="n"/>
      <c r="CC36" s="36" t="n"/>
      <c r="CD36" s="36" t="n"/>
      <c r="CE36" s="36" t="n"/>
      <c r="CF36" s="36" t="n"/>
    </row>
    <row r="37" hidden="1" outlineLevel="2">
      <c r="A37" s="44" t="inlineStr">
        <is>
          <t>T-1.23</t>
        </is>
      </c>
      <c r="B37" s="45" t="inlineStr">
        <is>
          <t>Actualizar la matriz de trazabilidad y el Expediente de Sprint</t>
        </is>
      </c>
      <c r="C37" s="44" t="inlineStr">
        <is>
          <t>Tarea</t>
        </is>
      </c>
      <c r="D37" s="44" t="inlineStr">
        <is>
          <t>Millaray</t>
        </is>
      </c>
      <c r="E37" s="46">
        <f>Tareas!H27</f>
        <v/>
      </c>
      <c r="F37" s="46">
        <f>Tareas!I27</f>
        <v/>
      </c>
      <c r="G37" s="44">
        <f>NETWORKDAYS(E37,F37,Feriados)</f>
        <v/>
      </c>
      <c r="H37" s="47">
        <f>Tareas!K27</f>
        <v/>
      </c>
      <c r="I37" s="44">
        <f>Tareas!J27</f>
        <v/>
      </c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6" t="n"/>
      <c r="BH37" s="36" t="n"/>
      <c r="BI37" s="36" t="n"/>
      <c r="BJ37" s="36" t="n"/>
      <c r="BK37" s="36" t="n"/>
      <c r="BL37" s="36" t="n"/>
      <c r="BM37" s="36" t="n"/>
      <c r="BN37" s="36" t="n"/>
      <c r="BO37" s="36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36" t="n"/>
      <c r="BZ37" s="36" t="n"/>
      <c r="CA37" s="36" t="n"/>
      <c r="CB37" s="36" t="n"/>
      <c r="CC37" s="36" t="n"/>
      <c r="CD37" s="36" t="n"/>
      <c r="CE37" s="36" t="n"/>
      <c r="CF37" s="36" t="n"/>
    </row>
    <row r="38">
      <c r="A38" s="9" t="inlineStr">
        <is>
          <t>S2</t>
        </is>
      </c>
      <c r="B38" s="34" t="inlineStr">
        <is>
          <t>Sprint 2 · Solicitudes y autorizaciones</t>
        </is>
      </c>
      <c r="C38" s="9" t="inlineStr">
        <is>
          <t>Sprint</t>
        </is>
      </c>
      <c r="D38" s="9" t="inlineStr">
        <is>
          <t>PO: Millaray · SM: Alexssander</t>
        </is>
      </c>
      <c r="E38" s="35">
        <f>Resumen!C9</f>
        <v/>
      </c>
      <c r="F38" s="35">
        <f>Resumen!D9</f>
        <v/>
      </c>
      <c r="G38" s="9">
        <f>NETWORKDAYS(E38,F38,Feriados)</f>
        <v/>
      </c>
      <c r="H38" s="16">
        <f>Resumen!L9</f>
        <v/>
      </c>
      <c r="I38" s="9">
        <f>Resumen!Q9</f>
        <v/>
      </c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6" t="n"/>
      <c r="BE38" s="36" t="n"/>
      <c r="BF38" s="36" t="n"/>
      <c r="BG38" s="36" t="n"/>
      <c r="BH38" s="36" t="n"/>
      <c r="BI38" s="36" t="n"/>
      <c r="BJ38" s="36" t="n"/>
      <c r="BK38" s="36" t="n"/>
      <c r="BL38" s="36" t="n"/>
      <c r="BM38" s="36" t="n"/>
      <c r="BN38" s="36" t="n"/>
      <c r="BO38" s="36" t="n"/>
      <c r="BP38" s="36" t="n"/>
      <c r="BQ38" s="36" t="n"/>
      <c r="BR38" s="36" t="n"/>
      <c r="BS38" s="36" t="n"/>
      <c r="BT38" s="36" t="n"/>
      <c r="BU38" s="36" t="n"/>
      <c r="BV38" s="36" t="n"/>
      <c r="BW38" s="36" t="n"/>
      <c r="BX38" s="36" t="n"/>
      <c r="BY38" s="36" t="n"/>
      <c r="BZ38" s="36" t="n"/>
      <c r="CA38" s="36" t="n"/>
      <c r="CB38" s="36" t="n"/>
      <c r="CC38" s="36" t="n"/>
      <c r="CD38" s="36" t="n"/>
      <c r="CE38" s="36" t="n"/>
      <c r="CF38" s="36" t="n"/>
    </row>
    <row r="39" outlineLevel="1">
      <c r="A39" s="37" t="inlineStr"/>
      <c r="B39" s="38" t="inlineStr">
        <is>
          <t>Eventos Scrum</t>
        </is>
      </c>
      <c r="C39" s="37" t="inlineStr">
        <is>
          <t>Eventos</t>
        </is>
      </c>
      <c r="D39" s="37" t="inlineStr">
        <is>
          <t>Scrum Team</t>
        </is>
      </c>
      <c r="E39" s="39" t="inlineStr"/>
      <c r="F39" s="39" t="inlineStr"/>
      <c r="G39" s="37" t="inlineStr"/>
      <c r="H39" s="40" t="inlineStr"/>
      <c r="I39" s="37" t="inlineStr"/>
      <c r="J39" s="41">
        <f>IF(J$6=Eventos!$C$11,"F",IF(J$6=Eventos!$C$10,"P",IF(J$6=Eventos!$C$12,"C",IF(J$6=Eventos!$C$13,"R",""))))</f>
        <v/>
      </c>
      <c r="K39" s="41">
        <f>IF(K$6=Eventos!$C$11,"F",IF(K$6=Eventos!$C$10,"P",IF(K$6=Eventos!$C$12,"C",IF(K$6=Eventos!$C$13,"R",""))))</f>
        <v/>
      </c>
      <c r="L39" s="41">
        <f>IF(L$6=Eventos!$C$11,"F",IF(L$6=Eventos!$C$10,"P",IF(L$6=Eventos!$C$12,"C",IF(L$6=Eventos!$C$13,"R",""))))</f>
        <v/>
      </c>
      <c r="M39" s="41">
        <f>IF(M$6=Eventos!$C$11,"F",IF(M$6=Eventos!$C$10,"P",IF(M$6=Eventos!$C$12,"C",IF(M$6=Eventos!$C$13,"R",""))))</f>
        <v/>
      </c>
      <c r="N39" s="41">
        <f>IF(N$6=Eventos!$C$11,"F",IF(N$6=Eventos!$C$10,"P",IF(N$6=Eventos!$C$12,"C",IF(N$6=Eventos!$C$13,"R",""))))</f>
        <v/>
      </c>
      <c r="O39" s="41">
        <f>IF(O$6=Eventos!$C$11,"F",IF(O$6=Eventos!$C$10,"P",IF(O$6=Eventos!$C$12,"C",IF(O$6=Eventos!$C$13,"R",""))))</f>
        <v/>
      </c>
      <c r="P39" s="41">
        <f>IF(P$6=Eventos!$C$11,"F",IF(P$6=Eventos!$C$10,"P",IF(P$6=Eventos!$C$12,"C",IF(P$6=Eventos!$C$13,"R",""))))</f>
        <v/>
      </c>
      <c r="Q39" s="41">
        <f>IF(Q$6=Eventos!$C$11,"F",IF(Q$6=Eventos!$C$10,"P",IF(Q$6=Eventos!$C$12,"C",IF(Q$6=Eventos!$C$13,"R",""))))</f>
        <v/>
      </c>
      <c r="R39" s="41">
        <f>IF(R$6=Eventos!$C$11,"F",IF(R$6=Eventos!$C$10,"P",IF(R$6=Eventos!$C$12,"C",IF(R$6=Eventos!$C$13,"R",""))))</f>
        <v/>
      </c>
      <c r="S39" s="41">
        <f>IF(S$6=Eventos!$C$11,"F",IF(S$6=Eventos!$C$10,"P",IF(S$6=Eventos!$C$12,"C",IF(S$6=Eventos!$C$13,"R",""))))</f>
        <v/>
      </c>
      <c r="T39" s="41">
        <f>IF(T$6=Eventos!$C$11,"F",IF(T$6=Eventos!$C$10,"P",IF(T$6=Eventos!$C$12,"C",IF(T$6=Eventos!$C$13,"R",""))))</f>
        <v/>
      </c>
      <c r="U39" s="41">
        <f>IF(U$6=Eventos!$C$11,"F",IF(U$6=Eventos!$C$10,"P",IF(U$6=Eventos!$C$12,"C",IF(U$6=Eventos!$C$13,"R",""))))</f>
        <v/>
      </c>
      <c r="V39" s="41">
        <f>IF(V$6=Eventos!$C$11,"F",IF(V$6=Eventos!$C$10,"P",IF(V$6=Eventos!$C$12,"C",IF(V$6=Eventos!$C$13,"R",""))))</f>
        <v/>
      </c>
      <c r="W39" s="41">
        <f>IF(W$6=Eventos!$C$11,"F",IF(W$6=Eventos!$C$10,"P",IF(W$6=Eventos!$C$12,"C",IF(W$6=Eventos!$C$13,"R",""))))</f>
        <v/>
      </c>
      <c r="X39" s="41">
        <f>IF(X$6=Eventos!$C$11,"F",IF(X$6=Eventos!$C$10,"P",IF(X$6=Eventos!$C$12,"C",IF(X$6=Eventos!$C$13,"R",""))))</f>
        <v/>
      </c>
      <c r="Y39" s="41">
        <f>IF(Y$6=Eventos!$C$11,"F",IF(Y$6=Eventos!$C$10,"P",IF(Y$6=Eventos!$C$12,"C",IF(Y$6=Eventos!$C$13,"R",""))))</f>
        <v/>
      </c>
      <c r="Z39" s="41">
        <f>IF(Z$6=Eventos!$C$11,"F",IF(Z$6=Eventos!$C$10,"P",IF(Z$6=Eventos!$C$12,"C",IF(Z$6=Eventos!$C$13,"R",""))))</f>
        <v/>
      </c>
      <c r="AA39" s="41">
        <f>IF(AA$6=Eventos!$C$11,"F",IF(AA$6=Eventos!$C$10,"P",IF(AA$6=Eventos!$C$12,"C",IF(AA$6=Eventos!$C$13,"R",""))))</f>
        <v/>
      </c>
      <c r="AB39" s="41">
        <f>IF(AB$6=Eventos!$C$11,"F",IF(AB$6=Eventos!$C$10,"P",IF(AB$6=Eventos!$C$12,"C",IF(AB$6=Eventos!$C$13,"R",""))))</f>
        <v/>
      </c>
      <c r="AC39" s="41">
        <f>IF(AC$6=Eventos!$C$11,"F",IF(AC$6=Eventos!$C$10,"P",IF(AC$6=Eventos!$C$12,"C",IF(AC$6=Eventos!$C$13,"R",""))))</f>
        <v/>
      </c>
      <c r="AD39" s="41">
        <f>IF(AD$6=Eventos!$C$11,"F",IF(AD$6=Eventos!$C$10,"P",IF(AD$6=Eventos!$C$12,"C",IF(AD$6=Eventos!$C$13,"R",""))))</f>
        <v/>
      </c>
      <c r="AE39" s="41">
        <f>IF(AE$6=Eventos!$C$11,"F",IF(AE$6=Eventos!$C$10,"P",IF(AE$6=Eventos!$C$12,"C",IF(AE$6=Eventos!$C$13,"R",""))))</f>
        <v/>
      </c>
      <c r="AF39" s="41">
        <f>IF(AF$6=Eventos!$C$11,"F",IF(AF$6=Eventos!$C$10,"P",IF(AF$6=Eventos!$C$12,"C",IF(AF$6=Eventos!$C$13,"R",""))))</f>
        <v/>
      </c>
      <c r="AG39" s="41">
        <f>IF(AG$6=Eventos!$C$11,"F",IF(AG$6=Eventos!$C$10,"P",IF(AG$6=Eventos!$C$12,"C",IF(AG$6=Eventos!$C$13,"R",""))))</f>
        <v/>
      </c>
      <c r="AH39" s="41">
        <f>IF(AH$6=Eventos!$C$11,"F",IF(AH$6=Eventos!$C$10,"P",IF(AH$6=Eventos!$C$12,"C",IF(AH$6=Eventos!$C$13,"R",""))))</f>
        <v/>
      </c>
      <c r="AI39" s="41">
        <f>IF(AI$6=Eventos!$C$11,"F",IF(AI$6=Eventos!$C$10,"P",IF(AI$6=Eventos!$C$12,"C",IF(AI$6=Eventos!$C$13,"R",""))))</f>
        <v/>
      </c>
      <c r="AJ39" s="41">
        <f>IF(AJ$6=Eventos!$C$11,"F",IF(AJ$6=Eventos!$C$10,"P",IF(AJ$6=Eventos!$C$12,"C",IF(AJ$6=Eventos!$C$13,"R",""))))</f>
        <v/>
      </c>
      <c r="AK39" s="41">
        <f>IF(AK$6=Eventos!$C$11,"F",IF(AK$6=Eventos!$C$10,"P",IF(AK$6=Eventos!$C$12,"C",IF(AK$6=Eventos!$C$13,"R",""))))</f>
        <v/>
      </c>
      <c r="AL39" s="41">
        <f>IF(AL$6=Eventos!$C$11,"F",IF(AL$6=Eventos!$C$10,"P",IF(AL$6=Eventos!$C$12,"C",IF(AL$6=Eventos!$C$13,"R",""))))</f>
        <v/>
      </c>
      <c r="AM39" s="41">
        <f>IF(AM$6=Eventos!$C$11,"F",IF(AM$6=Eventos!$C$10,"P",IF(AM$6=Eventos!$C$12,"C",IF(AM$6=Eventos!$C$13,"R",""))))</f>
        <v/>
      </c>
      <c r="AN39" s="41">
        <f>IF(AN$6=Eventos!$C$11,"F",IF(AN$6=Eventos!$C$10,"P",IF(AN$6=Eventos!$C$12,"C",IF(AN$6=Eventos!$C$13,"R",""))))</f>
        <v/>
      </c>
      <c r="AO39" s="41">
        <f>IF(AO$6=Eventos!$C$11,"F",IF(AO$6=Eventos!$C$10,"P",IF(AO$6=Eventos!$C$12,"C",IF(AO$6=Eventos!$C$13,"R",""))))</f>
        <v/>
      </c>
      <c r="AP39" s="41">
        <f>IF(AP$6=Eventos!$C$11,"F",IF(AP$6=Eventos!$C$10,"P",IF(AP$6=Eventos!$C$12,"C",IF(AP$6=Eventos!$C$13,"R",""))))</f>
        <v/>
      </c>
      <c r="AQ39" s="41">
        <f>IF(AQ$6=Eventos!$C$11,"F",IF(AQ$6=Eventos!$C$10,"P",IF(AQ$6=Eventos!$C$12,"C",IF(AQ$6=Eventos!$C$13,"R",""))))</f>
        <v/>
      </c>
      <c r="AR39" s="41">
        <f>IF(AR$6=Eventos!$C$11,"F",IF(AR$6=Eventos!$C$10,"P",IF(AR$6=Eventos!$C$12,"C",IF(AR$6=Eventos!$C$13,"R",""))))</f>
        <v/>
      </c>
      <c r="AS39" s="41">
        <f>IF(AS$6=Eventos!$C$11,"F",IF(AS$6=Eventos!$C$10,"P",IF(AS$6=Eventos!$C$12,"C",IF(AS$6=Eventos!$C$13,"R",""))))</f>
        <v/>
      </c>
      <c r="AT39" s="41">
        <f>IF(AT$6=Eventos!$C$11,"F",IF(AT$6=Eventos!$C$10,"P",IF(AT$6=Eventos!$C$12,"C",IF(AT$6=Eventos!$C$13,"R",""))))</f>
        <v/>
      </c>
      <c r="AU39" s="41">
        <f>IF(AU$6=Eventos!$C$11,"F",IF(AU$6=Eventos!$C$10,"P",IF(AU$6=Eventos!$C$12,"C",IF(AU$6=Eventos!$C$13,"R",""))))</f>
        <v/>
      </c>
      <c r="AV39" s="41">
        <f>IF(AV$6=Eventos!$C$11,"F",IF(AV$6=Eventos!$C$10,"P",IF(AV$6=Eventos!$C$12,"C",IF(AV$6=Eventos!$C$13,"R",""))))</f>
        <v/>
      </c>
      <c r="AW39" s="41">
        <f>IF(AW$6=Eventos!$C$11,"F",IF(AW$6=Eventos!$C$10,"P",IF(AW$6=Eventos!$C$12,"C",IF(AW$6=Eventos!$C$13,"R",""))))</f>
        <v/>
      </c>
      <c r="AX39" s="41">
        <f>IF(AX$6=Eventos!$C$11,"F",IF(AX$6=Eventos!$C$10,"P",IF(AX$6=Eventos!$C$12,"C",IF(AX$6=Eventos!$C$13,"R",""))))</f>
        <v/>
      </c>
      <c r="AY39" s="41">
        <f>IF(AY$6=Eventos!$C$11,"F",IF(AY$6=Eventos!$C$10,"P",IF(AY$6=Eventos!$C$12,"C",IF(AY$6=Eventos!$C$13,"R",""))))</f>
        <v/>
      </c>
      <c r="AZ39" s="41">
        <f>IF(AZ$6=Eventos!$C$11,"F",IF(AZ$6=Eventos!$C$10,"P",IF(AZ$6=Eventos!$C$12,"C",IF(AZ$6=Eventos!$C$13,"R",""))))</f>
        <v/>
      </c>
      <c r="BA39" s="41">
        <f>IF(BA$6=Eventos!$C$11,"F",IF(BA$6=Eventos!$C$10,"P",IF(BA$6=Eventos!$C$12,"C",IF(BA$6=Eventos!$C$13,"R",""))))</f>
        <v/>
      </c>
      <c r="BB39" s="41">
        <f>IF(BB$6=Eventos!$C$11,"F",IF(BB$6=Eventos!$C$10,"P",IF(BB$6=Eventos!$C$12,"C",IF(BB$6=Eventos!$C$13,"R",""))))</f>
        <v/>
      </c>
      <c r="BC39" s="41">
        <f>IF(BC$6=Eventos!$C$11,"F",IF(BC$6=Eventos!$C$10,"P",IF(BC$6=Eventos!$C$12,"C",IF(BC$6=Eventos!$C$13,"R",""))))</f>
        <v/>
      </c>
      <c r="BD39" s="41">
        <f>IF(BD$6=Eventos!$C$11,"F",IF(BD$6=Eventos!$C$10,"P",IF(BD$6=Eventos!$C$12,"C",IF(BD$6=Eventos!$C$13,"R",""))))</f>
        <v/>
      </c>
      <c r="BE39" s="41">
        <f>IF(BE$6=Eventos!$C$11,"F",IF(BE$6=Eventos!$C$10,"P",IF(BE$6=Eventos!$C$12,"C",IF(BE$6=Eventos!$C$13,"R",""))))</f>
        <v/>
      </c>
      <c r="BF39" s="41">
        <f>IF(BF$6=Eventos!$C$11,"F",IF(BF$6=Eventos!$C$10,"P",IF(BF$6=Eventos!$C$12,"C",IF(BF$6=Eventos!$C$13,"R",""))))</f>
        <v/>
      </c>
      <c r="BG39" s="41">
        <f>IF(BG$6=Eventos!$C$11,"F",IF(BG$6=Eventos!$C$10,"P",IF(BG$6=Eventos!$C$12,"C",IF(BG$6=Eventos!$C$13,"R",""))))</f>
        <v/>
      </c>
      <c r="BH39" s="41">
        <f>IF(BH$6=Eventos!$C$11,"F",IF(BH$6=Eventos!$C$10,"P",IF(BH$6=Eventos!$C$12,"C",IF(BH$6=Eventos!$C$13,"R",""))))</f>
        <v/>
      </c>
      <c r="BI39" s="41">
        <f>IF(BI$6=Eventos!$C$11,"F",IF(BI$6=Eventos!$C$10,"P",IF(BI$6=Eventos!$C$12,"C",IF(BI$6=Eventos!$C$13,"R",""))))</f>
        <v/>
      </c>
      <c r="BJ39" s="41">
        <f>IF(BJ$6=Eventos!$C$11,"F",IF(BJ$6=Eventos!$C$10,"P",IF(BJ$6=Eventos!$C$12,"C",IF(BJ$6=Eventos!$C$13,"R",""))))</f>
        <v/>
      </c>
      <c r="BK39" s="41">
        <f>IF(BK$6=Eventos!$C$11,"F",IF(BK$6=Eventos!$C$10,"P",IF(BK$6=Eventos!$C$12,"C",IF(BK$6=Eventos!$C$13,"R",""))))</f>
        <v/>
      </c>
      <c r="BL39" s="41">
        <f>IF(BL$6=Eventos!$C$11,"F",IF(BL$6=Eventos!$C$10,"P",IF(BL$6=Eventos!$C$12,"C",IF(BL$6=Eventos!$C$13,"R",""))))</f>
        <v/>
      </c>
      <c r="BM39" s="41">
        <f>IF(BM$6=Eventos!$C$11,"F",IF(BM$6=Eventos!$C$10,"P",IF(BM$6=Eventos!$C$12,"C",IF(BM$6=Eventos!$C$13,"R",""))))</f>
        <v/>
      </c>
      <c r="BN39" s="41">
        <f>IF(BN$6=Eventos!$C$11,"F",IF(BN$6=Eventos!$C$10,"P",IF(BN$6=Eventos!$C$12,"C",IF(BN$6=Eventos!$C$13,"R",""))))</f>
        <v/>
      </c>
      <c r="BO39" s="41">
        <f>IF(BO$6=Eventos!$C$11,"F",IF(BO$6=Eventos!$C$10,"P",IF(BO$6=Eventos!$C$12,"C",IF(BO$6=Eventos!$C$13,"R",""))))</f>
        <v/>
      </c>
      <c r="BP39" s="41">
        <f>IF(BP$6=Eventos!$C$11,"F",IF(BP$6=Eventos!$C$10,"P",IF(BP$6=Eventos!$C$12,"C",IF(BP$6=Eventos!$C$13,"R",""))))</f>
        <v/>
      </c>
      <c r="BQ39" s="41">
        <f>IF(BQ$6=Eventos!$C$11,"F",IF(BQ$6=Eventos!$C$10,"P",IF(BQ$6=Eventos!$C$12,"C",IF(BQ$6=Eventos!$C$13,"R",""))))</f>
        <v/>
      </c>
      <c r="BR39" s="41">
        <f>IF(BR$6=Eventos!$C$11,"F",IF(BR$6=Eventos!$C$10,"P",IF(BR$6=Eventos!$C$12,"C",IF(BR$6=Eventos!$C$13,"R",""))))</f>
        <v/>
      </c>
      <c r="BS39" s="41">
        <f>IF(BS$6=Eventos!$C$11,"F",IF(BS$6=Eventos!$C$10,"P",IF(BS$6=Eventos!$C$12,"C",IF(BS$6=Eventos!$C$13,"R",""))))</f>
        <v/>
      </c>
      <c r="BT39" s="41">
        <f>IF(BT$6=Eventos!$C$11,"F",IF(BT$6=Eventos!$C$10,"P",IF(BT$6=Eventos!$C$12,"C",IF(BT$6=Eventos!$C$13,"R",""))))</f>
        <v/>
      </c>
      <c r="BU39" s="41">
        <f>IF(BU$6=Eventos!$C$11,"F",IF(BU$6=Eventos!$C$10,"P",IF(BU$6=Eventos!$C$12,"C",IF(BU$6=Eventos!$C$13,"R",""))))</f>
        <v/>
      </c>
      <c r="BV39" s="41">
        <f>IF(BV$6=Eventos!$C$11,"F",IF(BV$6=Eventos!$C$10,"P",IF(BV$6=Eventos!$C$12,"C",IF(BV$6=Eventos!$C$13,"R",""))))</f>
        <v/>
      </c>
      <c r="BW39" s="41">
        <f>IF(BW$6=Eventos!$C$11,"F",IF(BW$6=Eventos!$C$10,"P",IF(BW$6=Eventos!$C$12,"C",IF(BW$6=Eventos!$C$13,"R",""))))</f>
        <v/>
      </c>
      <c r="BX39" s="41">
        <f>IF(BX$6=Eventos!$C$11,"F",IF(BX$6=Eventos!$C$10,"P",IF(BX$6=Eventos!$C$12,"C",IF(BX$6=Eventos!$C$13,"R",""))))</f>
        <v/>
      </c>
      <c r="BY39" s="41">
        <f>IF(BY$6=Eventos!$C$11,"F",IF(BY$6=Eventos!$C$10,"P",IF(BY$6=Eventos!$C$12,"C",IF(BY$6=Eventos!$C$13,"R",""))))</f>
        <v/>
      </c>
      <c r="BZ39" s="41">
        <f>IF(BZ$6=Eventos!$C$11,"F",IF(BZ$6=Eventos!$C$10,"P",IF(BZ$6=Eventos!$C$12,"C",IF(BZ$6=Eventos!$C$13,"R",""))))</f>
        <v/>
      </c>
      <c r="CA39" s="41">
        <f>IF(CA$6=Eventos!$C$11,"F",IF(CA$6=Eventos!$C$10,"P",IF(CA$6=Eventos!$C$12,"C",IF(CA$6=Eventos!$C$13,"R",""))))</f>
        <v/>
      </c>
      <c r="CB39" s="41">
        <f>IF(CB$6=Eventos!$C$11,"F",IF(CB$6=Eventos!$C$10,"P",IF(CB$6=Eventos!$C$12,"C",IF(CB$6=Eventos!$C$13,"R",""))))</f>
        <v/>
      </c>
      <c r="CC39" s="41">
        <f>IF(CC$6=Eventos!$C$11,"F",IF(CC$6=Eventos!$C$10,"P",IF(CC$6=Eventos!$C$12,"C",IF(CC$6=Eventos!$C$13,"R",""))))</f>
        <v/>
      </c>
      <c r="CD39" s="41">
        <f>IF(CD$6=Eventos!$C$11,"F",IF(CD$6=Eventos!$C$10,"P",IF(CD$6=Eventos!$C$12,"C",IF(CD$6=Eventos!$C$13,"R",""))))</f>
        <v/>
      </c>
      <c r="CE39" s="41">
        <f>IF(CE$6=Eventos!$C$11,"F",IF(CE$6=Eventos!$C$10,"P",IF(CE$6=Eventos!$C$12,"C",IF(CE$6=Eventos!$C$13,"R",""))))</f>
        <v/>
      </c>
      <c r="CF39" s="41">
        <f>IF(CF$6=Eventos!$C$11,"F",IF(CF$6=Eventos!$C$10,"P",IF(CF$6=Eventos!$C$12,"C",IF(CF$6=Eventos!$C$13,"R",""))))</f>
        <v/>
      </c>
    </row>
    <row r="40" outlineLevel="1">
      <c r="A40" s="11" t="inlineStr">
        <is>
          <t>HU-005</t>
        </is>
      </c>
      <c r="B40" s="42" t="inlineStr">
        <is>
          <t>Crear y enviar solicitudes de código</t>
        </is>
      </c>
      <c r="C40" s="11" t="inlineStr">
        <is>
          <t>Historia</t>
        </is>
      </c>
      <c r="D40" s="11" t="inlineStr">
        <is>
          <t>Millaray y Matías</t>
        </is>
      </c>
      <c r="E40" s="43">
        <f>Historias!J9</f>
        <v/>
      </c>
      <c r="F40" s="43">
        <f>Historias!K9</f>
        <v/>
      </c>
      <c r="G40" s="11">
        <f>NETWORKDAYS(E40,F40,Feriados)</f>
        <v/>
      </c>
      <c r="H40" s="13">
        <f>Historias!N9</f>
        <v/>
      </c>
      <c r="I40" s="11">
        <f>Historias!P9</f>
        <v/>
      </c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6" t="n"/>
      <c r="BE40" s="36" t="n"/>
      <c r="BF40" s="36" t="n"/>
      <c r="BG40" s="36" t="n"/>
      <c r="BH40" s="36" t="n"/>
      <c r="BI40" s="36" t="n"/>
      <c r="BJ40" s="36" t="n"/>
      <c r="BK40" s="36" t="n"/>
      <c r="BL40" s="36" t="n"/>
      <c r="BM40" s="36" t="n"/>
      <c r="BN40" s="36" t="n"/>
      <c r="BO40" s="36" t="n"/>
      <c r="BP40" s="36" t="n"/>
      <c r="BQ40" s="36" t="n"/>
      <c r="BR40" s="36" t="n"/>
      <c r="BS40" s="36" t="n"/>
      <c r="BT40" s="36" t="n"/>
      <c r="BU40" s="36" t="n"/>
      <c r="BV40" s="36" t="n"/>
      <c r="BW40" s="36" t="n"/>
      <c r="BX40" s="36" t="n"/>
      <c r="BY40" s="36" t="n"/>
      <c r="BZ40" s="36" t="n"/>
      <c r="CA40" s="36" t="n"/>
      <c r="CB40" s="36" t="n"/>
      <c r="CC40" s="36" t="n"/>
      <c r="CD40" s="36" t="n"/>
      <c r="CE40" s="36" t="n"/>
      <c r="CF40" s="36" t="n"/>
    </row>
    <row r="41" hidden="1" outlineLevel="2">
      <c r="A41" s="44" t="inlineStr">
        <is>
          <t>T-2.01</t>
        </is>
      </c>
      <c r="B41" s="45" t="inlineStr">
        <is>
          <t>Modelos de solicitud, productos solicitados y adjuntos, con estados y migraciones</t>
        </is>
      </c>
      <c r="C41" s="44" t="inlineStr">
        <is>
          <t>Tarea</t>
        </is>
      </c>
      <c r="D41" s="44" t="inlineStr">
        <is>
          <t>Matías</t>
        </is>
      </c>
      <c r="E41" s="46">
        <f>Tareas!H28</f>
        <v/>
      </c>
      <c r="F41" s="46">
        <f>Tareas!I28</f>
        <v/>
      </c>
      <c r="G41" s="44">
        <f>NETWORKDAYS(E41,F41,Feriados)</f>
        <v/>
      </c>
      <c r="H41" s="47">
        <f>Tareas!K28</f>
        <v/>
      </c>
      <c r="I41" s="44">
        <f>Tareas!J28</f>
        <v/>
      </c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  <c r="BI41" s="36" t="n"/>
      <c r="BJ41" s="36" t="n"/>
      <c r="BK41" s="36" t="n"/>
      <c r="BL41" s="36" t="n"/>
      <c r="BM41" s="36" t="n"/>
      <c r="BN41" s="36" t="n"/>
      <c r="BO41" s="36" t="n"/>
      <c r="BP41" s="36" t="n"/>
      <c r="BQ41" s="36" t="n"/>
      <c r="BR41" s="36" t="n"/>
      <c r="BS41" s="36" t="n"/>
      <c r="BT41" s="36" t="n"/>
      <c r="BU41" s="36" t="n"/>
      <c r="BV41" s="36" t="n"/>
      <c r="BW41" s="36" t="n"/>
      <c r="BX41" s="36" t="n"/>
      <c r="BY41" s="36" t="n"/>
      <c r="BZ41" s="36" t="n"/>
      <c r="CA41" s="36" t="n"/>
      <c r="CB41" s="36" t="n"/>
      <c r="CC41" s="36" t="n"/>
      <c r="CD41" s="36" t="n"/>
      <c r="CE41" s="36" t="n"/>
      <c r="CF41" s="36" t="n"/>
    </row>
    <row r="42" hidden="1" outlineLevel="2">
      <c r="A42" s="44" t="inlineStr">
        <is>
          <t>T-2.02</t>
        </is>
      </c>
      <c r="B42" s="45" t="inlineStr">
        <is>
          <t>Formulario de solicitud por tipo (creación, activación o modificación) con uno o más productos</t>
        </is>
      </c>
      <c r="C42" s="44" t="inlineStr">
        <is>
          <t>Tarea</t>
        </is>
      </c>
      <c r="D42" s="44" t="inlineStr">
        <is>
          <t>Millaray</t>
        </is>
      </c>
      <c r="E42" s="46">
        <f>Tareas!H29</f>
        <v/>
      </c>
      <c r="F42" s="46">
        <f>Tareas!I29</f>
        <v/>
      </c>
      <c r="G42" s="44">
        <f>NETWORKDAYS(E42,F42,Feriados)</f>
        <v/>
      </c>
      <c r="H42" s="47">
        <f>Tareas!K29</f>
        <v/>
      </c>
      <c r="I42" s="44">
        <f>Tareas!J29</f>
        <v/>
      </c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36" t="n"/>
      <c r="BE42" s="36" t="n"/>
      <c r="BF42" s="36" t="n"/>
      <c r="BG42" s="36" t="n"/>
      <c r="BH42" s="36" t="n"/>
      <c r="BI42" s="36" t="n"/>
      <c r="BJ42" s="36" t="n"/>
      <c r="BK42" s="36" t="n"/>
      <c r="BL42" s="36" t="n"/>
      <c r="BM42" s="36" t="n"/>
      <c r="BN42" s="36" t="n"/>
      <c r="BO42" s="36" t="n"/>
      <c r="BP42" s="36" t="n"/>
      <c r="BQ42" s="36" t="n"/>
      <c r="BR42" s="36" t="n"/>
      <c r="BS42" s="36" t="n"/>
      <c r="BT42" s="36" t="n"/>
      <c r="BU42" s="36" t="n"/>
      <c r="BV42" s="36" t="n"/>
      <c r="BW42" s="36" t="n"/>
      <c r="BX42" s="36" t="n"/>
      <c r="BY42" s="36" t="n"/>
      <c r="BZ42" s="36" t="n"/>
      <c r="CA42" s="36" t="n"/>
      <c r="CB42" s="36" t="n"/>
      <c r="CC42" s="36" t="n"/>
      <c r="CD42" s="36" t="n"/>
      <c r="CE42" s="36" t="n"/>
      <c r="CF42" s="36" t="n"/>
    </row>
    <row r="43" hidden="1" outlineLevel="2">
      <c r="A43" s="44" t="inlineStr">
        <is>
          <t>T-2.03</t>
        </is>
      </c>
      <c r="B43" s="45" t="inlineStr">
        <is>
          <t>Validación y almacenamiento de respaldos fuera de la base de datos, según los formatos permitidos</t>
        </is>
      </c>
      <c r="C43" s="44" t="inlineStr">
        <is>
          <t>Tarea</t>
        </is>
      </c>
      <c r="D43" s="44" t="inlineStr">
        <is>
          <t>Matías</t>
        </is>
      </c>
      <c r="E43" s="46">
        <f>Tareas!H30</f>
        <v/>
      </c>
      <c r="F43" s="46">
        <f>Tareas!I30</f>
        <v/>
      </c>
      <c r="G43" s="44">
        <f>NETWORKDAYS(E43,F43,Feriados)</f>
        <v/>
      </c>
      <c r="H43" s="47">
        <f>Tareas!K30</f>
        <v/>
      </c>
      <c r="I43" s="44">
        <f>Tareas!J30</f>
        <v/>
      </c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36" t="n"/>
      <c r="BE43" s="36" t="n"/>
      <c r="BF43" s="36" t="n"/>
      <c r="BG43" s="36" t="n"/>
      <c r="BH43" s="36" t="n"/>
      <c r="BI43" s="36" t="n"/>
      <c r="BJ43" s="36" t="n"/>
      <c r="BK43" s="36" t="n"/>
      <c r="BL43" s="36" t="n"/>
      <c r="BM43" s="36" t="n"/>
      <c r="BN43" s="36" t="n"/>
      <c r="BO43" s="36" t="n"/>
      <c r="BP43" s="36" t="n"/>
      <c r="BQ43" s="36" t="n"/>
      <c r="BR43" s="36" t="n"/>
      <c r="BS43" s="36" t="n"/>
      <c r="BT43" s="36" t="n"/>
      <c r="BU43" s="36" t="n"/>
      <c r="BV43" s="36" t="n"/>
      <c r="BW43" s="36" t="n"/>
      <c r="BX43" s="36" t="n"/>
      <c r="BY43" s="36" t="n"/>
      <c r="BZ43" s="36" t="n"/>
      <c r="CA43" s="36" t="n"/>
      <c r="CB43" s="36" t="n"/>
      <c r="CC43" s="36" t="n"/>
      <c r="CD43" s="36" t="n"/>
      <c r="CE43" s="36" t="n"/>
      <c r="CF43" s="36" t="n"/>
    </row>
    <row r="44" hidden="1" outlineLevel="2">
      <c r="A44" s="44" t="inlineStr">
        <is>
          <t>T-2.04</t>
        </is>
      </c>
      <c r="B44" s="45" t="inlineStr">
        <is>
          <t>Envío de la solicitud a la bandeja del grupo autorizador correspondiente</t>
        </is>
      </c>
      <c r="C44" s="44" t="inlineStr">
        <is>
          <t>Tarea</t>
        </is>
      </c>
      <c r="D44" s="44" t="inlineStr">
        <is>
          <t>Matías</t>
        </is>
      </c>
      <c r="E44" s="46">
        <f>Tareas!H31</f>
        <v/>
      </c>
      <c r="F44" s="46">
        <f>Tareas!I31</f>
        <v/>
      </c>
      <c r="G44" s="44">
        <f>NETWORKDAYS(E44,F44,Feriados)</f>
        <v/>
      </c>
      <c r="H44" s="47">
        <f>Tareas!K31</f>
        <v/>
      </c>
      <c r="I44" s="44">
        <f>Tareas!J31</f>
        <v/>
      </c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36" t="n"/>
      <c r="BE44" s="36" t="n"/>
      <c r="BF44" s="36" t="n"/>
      <c r="BG44" s="36" t="n"/>
      <c r="BH44" s="36" t="n"/>
      <c r="BI44" s="36" t="n"/>
      <c r="BJ44" s="36" t="n"/>
      <c r="BK44" s="36" t="n"/>
      <c r="BL44" s="36" t="n"/>
      <c r="BM44" s="36" t="n"/>
      <c r="BN44" s="36" t="n"/>
      <c r="BO44" s="36" t="n"/>
      <c r="BP44" s="36" t="n"/>
      <c r="BQ44" s="36" t="n"/>
      <c r="BR44" s="36" t="n"/>
      <c r="BS44" s="36" t="n"/>
      <c r="BT44" s="36" t="n"/>
      <c r="BU44" s="36" t="n"/>
      <c r="BV44" s="36" t="n"/>
      <c r="BW44" s="36" t="n"/>
      <c r="BX44" s="36" t="n"/>
      <c r="BY44" s="36" t="n"/>
      <c r="BZ44" s="36" t="n"/>
      <c r="CA44" s="36" t="n"/>
      <c r="CB44" s="36" t="n"/>
      <c r="CC44" s="36" t="n"/>
      <c r="CD44" s="36" t="n"/>
      <c r="CE44" s="36" t="n"/>
      <c r="CF44" s="36" t="n"/>
    </row>
    <row r="45" hidden="1" outlineLevel="2">
      <c r="A45" s="44" t="inlineStr">
        <is>
          <t>T-2.05</t>
        </is>
      </c>
      <c r="B45" s="45" t="inlineStr">
        <is>
          <t>Pruebas automatizadas y ejecución de CP-015 a CP-018</t>
        </is>
      </c>
      <c r="C45" s="44" t="inlineStr">
        <is>
          <t>Tarea</t>
        </is>
      </c>
      <c r="D45" s="44" t="inlineStr">
        <is>
          <t>Alexssander</t>
        </is>
      </c>
      <c r="E45" s="46">
        <f>Tareas!H32</f>
        <v/>
      </c>
      <c r="F45" s="46">
        <f>Tareas!I32</f>
        <v/>
      </c>
      <c r="G45" s="44">
        <f>NETWORKDAYS(E45,F45,Feriados)</f>
        <v/>
      </c>
      <c r="H45" s="47">
        <f>Tareas!K32</f>
        <v/>
      </c>
      <c r="I45" s="44">
        <f>Tareas!J32</f>
        <v/>
      </c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36" t="n"/>
      <c r="BE45" s="36" t="n"/>
      <c r="BF45" s="36" t="n"/>
      <c r="BG45" s="36" t="n"/>
      <c r="BH45" s="36" t="n"/>
      <c r="BI45" s="36" t="n"/>
      <c r="BJ45" s="36" t="n"/>
      <c r="BK45" s="36" t="n"/>
      <c r="BL45" s="36" t="n"/>
      <c r="BM45" s="36" t="n"/>
      <c r="BN45" s="36" t="n"/>
      <c r="BO45" s="36" t="n"/>
      <c r="BP45" s="36" t="n"/>
      <c r="BQ45" s="36" t="n"/>
      <c r="BR45" s="36" t="n"/>
      <c r="BS45" s="36" t="n"/>
      <c r="BT45" s="36" t="n"/>
      <c r="BU45" s="36" t="n"/>
      <c r="BV45" s="36" t="n"/>
      <c r="BW45" s="36" t="n"/>
      <c r="BX45" s="36" t="n"/>
      <c r="BY45" s="36" t="n"/>
      <c r="BZ45" s="36" t="n"/>
      <c r="CA45" s="36" t="n"/>
      <c r="CB45" s="36" t="n"/>
      <c r="CC45" s="36" t="n"/>
      <c r="CD45" s="36" t="n"/>
      <c r="CE45" s="36" t="n"/>
      <c r="CF45" s="36" t="n"/>
    </row>
    <row r="46" outlineLevel="1">
      <c r="A46" s="11" t="inlineStr">
        <is>
          <t>HU-006</t>
        </is>
      </c>
      <c r="B46" s="42" t="inlineStr">
        <is>
          <t>Aprobar o rechazar solicitudes</t>
        </is>
      </c>
      <c r="C46" s="11" t="inlineStr">
        <is>
          <t>Historia</t>
        </is>
      </c>
      <c r="D46" s="11" t="inlineStr">
        <is>
          <t>Millaray y Matías</t>
        </is>
      </c>
      <c r="E46" s="43">
        <f>Historias!J10</f>
        <v/>
      </c>
      <c r="F46" s="43">
        <f>Historias!K10</f>
        <v/>
      </c>
      <c r="G46" s="11">
        <f>NETWORKDAYS(E46,F46,Feriados)</f>
        <v/>
      </c>
      <c r="H46" s="13">
        <f>Historias!N10</f>
        <v/>
      </c>
      <c r="I46" s="11">
        <f>Historias!P10</f>
        <v/>
      </c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6" t="n"/>
      <c r="BH46" s="36" t="n"/>
      <c r="BI46" s="36" t="n"/>
      <c r="BJ46" s="36" t="n"/>
      <c r="BK46" s="36" t="n"/>
      <c r="BL46" s="36" t="n"/>
      <c r="BM46" s="36" t="n"/>
      <c r="BN46" s="36" t="n"/>
      <c r="BO46" s="36" t="n"/>
      <c r="BP46" s="36" t="n"/>
      <c r="BQ46" s="36" t="n"/>
      <c r="BR46" s="36" t="n"/>
      <c r="BS46" s="36" t="n"/>
      <c r="BT46" s="36" t="n"/>
      <c r="BU46" s="36" t="n"/>
      <c r="BV46" s="36" t="n"/>
      <c r="BW46" s="36" t="n"/>
      <c r="BX46" s="36" t="n"/>
      <c r="BY46" s="36" t="n"/>
      <c r="BZ46" s="36" t="n"/>
      <c r="CA46" s="36" t="n"/>
      <c r="CB46" s="36" t="n"/>
      <c r="CC46" s="36" t="n"/>
      <c r="CD46" s="36" t="n"/>
      <c r="CE46" s="36" t="n"/>
      <c r="CF46" s="36" t="n"/>
    </row>
    <row r="47" hidden="1" outlineLevel="2">
      <c r="A47" s="44" t="inlineStr">
        <is>
          <t>T-2.06</t>
        </is>
      </c>
      <c r="B47" s="45" t="inlineStr">
        <is>
          <t>Bandeja compartida del grupo y acción para tomar la solicitud</t>
        </is>
      </c>
      <c r="C47" s="44" t="inlineStr">
        <is>
          <t>Tarea</t>
        </is>
      </c>
      <c r="D47" s="44" t="inlineStr">
        <is>
          <t>Millaray</t>
        </is>
      </c>
      <c r="E47" s="46">
        <f>Tareas!H33</f>
        <v/>
      </c>
      <c r="F47" s="46">
        <f>Tareas!I33</f>
        <v/>
      </c>
      <c r="G47" s="44">
        <f>NETWORKDAYS(E47,F47,Feriados)</f>
        <v/>
      </c>
      <c r="H47" s="47">
        <f>Tareas!K33</f>
        <v/>
      </c>
      <c r="I47" s="44">
        <f>Tareas!J33</f>
        <v/>
      </c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6" t="n"/>
      <c r="BR47" s="36" t="n"/>
      <c r="BS47" s="36" t="n"/>
      <c r="BT47" s="36" t="n"/>
      <c r="BU47" s="36" t="n"/>
      <c r="BV47" s="36" t="n"/>
      <c r="BW47" s="36" t="n"/>
      <c r="BX47" s="36" t="n"/>
      <c r="BY47" s="36" t="n"/>
      <c r="BZ47" s="36" t="n"/>
      <c r="CA47" s="36" t="n"/>
      <c r="CB47" s="36" t="n"/>
      <c r="CC47" s="36" t="n"/>
      <c r="CD47" s="36" t="n"/>
      <c r="CE47" s="36" t="n"/>
      <c r="CF47" s="36" t="n"/>
    </row>
    <row r="48" hidden="1" outlineLevel="2">
      <c r="A48" s="44" t="inlineStr">
        <is>
          <t>T-2.07</t>
        </is>
      </c>
      <c r="B48" s="45" t="inlineStr">
        <is>
          <t>Aprobación y rechazo con motivo obligatorio; bloqueo de edición después de aprobar</t>
        </is>
      </c>
      <c r="C48" s="44" t="inlineStr">
        <is>
          <t>Tarea</t>
        </is>
      </c>
      <c r="D48" s="44" t="inlineStr">
        <is>
          <t>Matías</t>
        </is>
      </c>
      <c r="E48" s="46">
        <f>Tareas!H34</f>
        <v/>
      </c>
      <c r="F48" s="46">
        <f>Tareas!I34</f>
        <v/>
      </c>
      <c r="G48" s="44">
        <f>NETWORKDAYS(E48,F48,Feriados)</f>
        <v/>
      </c>
      <c r="H48" s="47">
        <f>Tareas!K34</f>
        <v/>
      </c>
      <c r="I48" s="44">
        <f>Tareas!J34</f>
        <v/>
      </c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  <c r="BI48" s="36" t="n"/>
      <c r="BJ48" s="36" t="n"/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36" t="n"/>
      <c r="CC48" s="36" t="n"/>
      <c r="CD48" s="36" t="n"/>
      <c r="CE48" s="36" t="n"/>
      <c r="CF48" s="36" t="n"/>
    </row>
    <row r="49" hidden="1" outlineLevel="2">
      <c r="A49" s="44" t="inlineStr">
        <is>
          <t>T-2.08</t>
        </is>
      </c>
      <c r="B49" s="45" t="inlineStr">
        <is>
          <t>Registro de usuario, fecha, hora y comentario de la resolución</t>
        </is>
      </c>
      <c r="C49" s="44" t="inlineStr">
        <is>
          <t>Tarea</t>
        </is>
      </c>
      <c r="D49" s="44" t="inlineStr">
        <is>
          <t>Alexssander</t>
        </is>
      </c>
      <c r="E49" s="46">
        <f>Tareas!H35</f>
        <v/>
      </c>
      <c r="F49" s="46">
        <f>Tareas!I35</f>
        <v/>
      </c>
      <c r="G49" s="44">
        <f>NETWORKDAYS(E49,F49,Feriados)</f>
        <v/>
      </c>
      <c r="H49" s="47">
        <f>Tareas!K35</f>
        <v/>
      </c>
      <c r="I49" s="44">
        <f>Tareas!J35</f>
        <v/>
      </c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  <c r="BI49" s="36" t="n"/>
      <c r="BJ49" s="36" t="n"/>
      <c r="BK49" s="36" t="n"/>
      <c r="BL49" s="36" t="n"/>
      <c r="BM49" s="36" t="n"/>
      <c r="BN49" s="36" t="n"/>
      <c r="BO49" s="36" t="n"/>
      <c r="BP49" s="3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36" t="n"/>
      <c r="CB49" s="36" t="n"/>
      <c r="CC49" s="36" t="n"/>
      <c r="CD49" s="36" t="n"/>
      <c r="CE49" s="36" t="n"/>
      <c r="CF49" s="36" t="n"/>
    </row>
    <row r="50" hidden="1" outlineLevel="2">
      <c r="A50" s="44" t="inlineStr">
        <is>
          <t>T-2.09</t>
        </is>
      </c>
      <c r="B50" s="45" t="inlineStr">
        <is>
          <t>Pruebas automatizadas y ejecución de CP-019 a CP-022</t>
        </is>
      </c>
      <c r="C50" s="44" t="inlineStr">
        <is>
          <t>Tarea</t>
        </is>
      </c>
      <c r="D50" s="44" t="inlineStr">
        <is>
          <t>Alexssander</t>
        </is>
      </c>
      <c r="E50" s="46">
        <f>Tareas!H36</f>
        <v/>
      </c>
      <c r="F50" s="46">
        <f>Tareas!I36</f>
        <v/>
      </c>
      <c r="G50" s="44">
        <f>NETWORKDAYS(E50,F50,Feriados)</f>
        <v/>
      </c>
      <c r="H50" s="47">
        <f>Tareas!K36</f>
        <v/>
      </c>
      <c r="I50" s="44">
        <f>Tareas!J36</f>
        <v/>
      </c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6" t="n"/>
      <c r="BH50" s="36" t="n"/>
      <c r="BI50" s="36" t="n"/>
      <c r="BJ50" s="36" t="n"/>
      <c r="BK50" s="36" t="n"/>
      <c r="BL50" s="36" t="n"/>
      <c r="BM50" s="36" t="n"/>
      <c r="BN50" s="36" t="n"/>
      <c r="BO50" s="36" t="n"/>
      <c r="BP50" s="36" t="n"/>
      <c r="BQ50" s="36" t="n"/>
      <c r="BR50" s="36" t="n"/>
      <c r="BS50" s="36" t="n"/>
      <c r="BT50" s="36" t="n"/>
      <c r="BU50" s="36" t="n"/>
      <c r="BV50" s="36" t="n"/>
      <c r="BW50" s="36" t="n"/>
      <c r="BX50" s="36" t="n"/>
      <c r="BY50" s="36" t="n"/>
      <c r="BZ50" s="36" t="n"/>
      <c r="CA50" s="36" t="n"/>
      <c r="CB50" s="36" t="n"/>
      <c r="CC50" s="36" t="n"/>
      <c r="CD50" s="36" t="n"/>
      <c r="CE50" s="36" t="n"/>
      <c r="CF50" s="36" t="n"/>
    </row>
    <row r="51" outlineLevel="1">
      <c r="A51" s="11" t="inlineStr">
        <is>
          <t>HU-007</t>
        </is>
      </c>
      <c r="B51" s="42" t="inlineStr">
        <is>
          <t>Corregir, reenviar y consultar solicitudes</t>
        </is>
      </c>
      <c r="C51" s="11" t="inlineStr">
        <is>
          <t>Historia</t>
        </is>
      </c>
      <c r="D51" s="11" t="inlineStr">
        <is>
          <t>Millaray y Matías</t>
        </is>
      </c>
      <c r="E51" s="43">
        <f>Historias!J11</f>
        <v/>
      </c>
      <c r="F51" s="43">
        <f>Historias!K11</f>
        <v/>
      </c>
      <c r="G51" s="11">
        <f>NETWORKDAYS(E51,F51,Feriados)</f>
        <v/>
      </c>
      <c r="H51" s="13">
        <f>Historias!N11</f>
        <v/>
      </c>
      <c r="I51" s="11">
        <f>Historias!P11</f>
        <v/>
      </c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6" t="n"/>
      <c r="BH51" s="36" t="n"/>
      <c r="BI51" s="36" t="n"/>
      <c r="BJ51" s="36" t="n"/>
      <c r="BK51" s="36" t="n"/>
      <c r="BL51" s="36" t="n"/>
      <c r="BM51" s="36" t="n"/>
      <c r="BN51" s="36" t="n"/>
      <c r="BO51" s="36" t="n"/>
      <c r="BP51" s="36" t="n"/>
      <c r="BQ51" s="36" t="n"/>
      <c r="BR51" s="36" t="n"/>
      <c r="BS51" s="36" t="n"/>
      <c r="BT51" s="36" t="n"/>
      <c r="BU51" s="36" t="n"/>
      <c r="BV51" s="36" t="n"/>
      <c r="BW51" s="36" t="n"/>
      <c r="BX51" s="36" t="n"/>
      <c r="BY51" s="36" t="n"/>
      <c r="BZ51" s="36" t="n"/>
      <c r="CA51" s="36" t="n"/>
      <c r="CB51" s="36" t="n"/>
      <c r="CC51" s="36" t="n"/>
      <c r="CD51" s="36" t="n"/>
      <c r="CE51" s="36" t="n"/>
      <c r="CF51" s="36" t="n"/>
    </row>
    <row r="52" hidden="1" outlineLevel="2">
      <c r="A52" s="44" t="inlineStr">
        <is>
          <t>T-2.10</t>
        </is>
      </c>
      <c r="B52" s="45" t="inlineStr">
        <is>
          <t>Corrección y reenvío por el creador, con retorno a estado Pendiente</t>
        </is>
      </c>
      <c r="C52" s="44" t="inlineStr">
        <is>
          <t>Tarea</t>
        </is>
      </c>
      <c r="D52" s="44" t="inlineStr">
        <is>
          <t>Matías</t>
        </is>
      </c>
      <c r="E52" s="46">
        <f>Tareas!H37</f>
        <v/>
      </c>
      <c r="F52" s="46">
        <f>Tareas!I37</f>
        <v/>
      </c>
      <c r="G52" s="44">
        <f>NETWORKDAYS(E52,F52,Feriados)</f>
        <v/>
      </c>
      <c r="H52" s="47">
        <f>Tareas!K37</f>
        <v/>
      </c>
      <c r="I52" s="44">
        <f>Tareas!J37</f>
        <v/>
      </c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6" t="n"/>
      <c r="BF52" s="36" t="n"/>
      <c r="BG52" s="36" t="n"/>
      <c r="BH52" s="36" t="n"/>
      <c r="BI52" s="36" t="n"/>
      <c r="BJ52" s="36" t="n"/>
      <c r="BK52" s="36" t="n"/>
      <c r="BL52" s="36" t="n"/>
      <c r="BM52" s="36" t="n"/>
      <c r="BN52" s="36" t="n"/>
      <c r="BO52" s="36" t="n"/>
      <c r="BP52" s="36" t="n"/>
      <c r="BQ52" s="36" t="n"/>
      <c r="BR52" s="36" t="n"/>
      <c r="BS52" s="36" t="n"/>
      <c r="BT52" s="36" t="n"/>
      <c r="BU52" s="36" t="n"/>
      <c r="BV52" s="36" t="n"/>
      <c r="BW52" s="36" t="n"/>
      <c r="BX52" s="36" t="n"/>
      <c r="BY52" s="36" t="n"/>
      <c r="BZ52" s="36" t="n"/>
      <c r="CA52" s="36" t="n"/>
      <c r="CB52" s="36" t="n"/>
      <c r="CC52" s="36" t="n"/>
      <c r="CD52" s="36" t="n"/>
      <c r="CE52" s="36" t="n"/>
      <c r="CF52" s="36" t="n"/>
    </row>
    <row r="53" hidden="1" outlineLevel="2">
      <c r="A53" s="44" t="inlineStr">
        <is>
          <t>T-2.11</t>
        </is>
      </c>
      <c r="B53" s="45" t="inlineStr">
        <is>
          <t>Vista de seguimiento con estado, responsable, fecha y comentario</t>
        </is>
      </c>
      <c r="C53" s="44" t="inlineStr">
        <is>
          <t>Tarea</t>
        </is>
      </c>
      <c r="D53" s="44" t="inlineStr">
        <is>
          <t>Millaray</t>
        </is>
      </c>
      <c r="E53" s="46">
        <f>Tareas!H38</f>
        <v/>
      </c>
      <c r="F53" s="46">
        <f>Tareas!I38</f>
        <v/>
      </c>
      <c r="G53" s="44">
        <f>NETWORKDAYS(E53,F53,Feriados)</f>
        <v/>
      </c>
      <c r="H53" s="47">
        <f>Tareas!K38</f>
        <v/>
      </c>
      <c r="I53" s="44">
        <f>Tareas!J38</f>
        <v/>
      </c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6" t="n"/>
      <c r="BH53" s="36" t="n"/>
      <c r="BI53" s="36" t="n"/>
      <c r="BJ53" s="36" t="n"/>
      <c r="BK53" s="36" t="n"/>
      <c r="BL53" s="36" t="n"/>
      <c r="BM53" s="36" t="n"/>
      <c r="BN53" s="36" t="n"/>
      <c r="BO53" s="36" t="n"/>
      <c r="BP53" s="36" t="n"/>
      <c r="BQ53" s="36" t="n"/>
      <c r="BR53" s="36" t="n"/>
      <c r="BS53" s="36" t="n"/>
      <c r="BT53" s="36" t="n"/>
      <c r="BU53" s="36" t="n"/>
      <c r="BV53" s="36" t="n"/>
      <c r="BW53" s="36" t="n"/>
      <c r="BX53" s="36" t="n"/>
      <c r="BY53" s="36" t="n"/>
      <c r="BZ53" s="36" t="n"/>
      <c r="CA53" s="36" t="n"/>
      <c r="CB53" s="36" t="n"/>
      <c r="CC53" s="36" t="n"/>
      <c r="CD53" s="36" t="n"/>
      <c r="CE53" s="36" t="n"/>
      <c r="CF53" s="36" t="n"/>
    </row>
    <row r="54" hidden="1" outlineLevel="2">
      <c r="A54" s="44" t="inlineStr">
        <is>
          <t>T-2.12</t>
        </is>
      </c>
      <c r="B54" s="45" t="inlineStr">
        <is>
          <t>Filtros y búsqueda por estado, fecha, área y responsable, según permisos</t>
        </is>
      </c>
      <c r="C54" s="44" t="inlineStr">
        <is>
          <t>Tarea</t>
        </is>
      </c>
      <c r="D54" s="44" t="inlineStr">
        <is>
          <t>Millaray</t>
        </is>
      </c>
      <c r="E54" s="46">
        <f>Tareas!H39</f>
        <v/>
      </c>
      <c r="F54" s="46">
        <f>Tareas!I39</f>
        <v/>
      </c>
      <c r="G54" s="44">
        <f>NETWORKDAYS(E54,F54,Feriados)</f>
        <v/>
      </c>
      <c r="H54" s="47">
        <f>Tareas!K39</f>
        <v/>
      </c>
      <c r="I54" s="44">
        <f>Tareas!J39</f>
        <v/>
      </c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6" t="n"/>
      <c r="BH54" s="36" t="n"/>
      <c r="BI54" s="36" t="n"/>
      <c r="BJ54" s="36" t="n"/>
      <c r="BK54" s="36" t="n"/>
      <c r="BL54" s="36" t="n"/>
      <c r="BM54" s="36" t="n"/>
      <c r="BN54" s="36" t="n"/>
      <c r="BO54" s="36" t="n"/>
      <c r="BP54" s="36" t="n"/>
      <c r="BQ54" s="36" t="n"/>
      <c r="BR54" s="36" t="n"/>
      <c r="BS54" s="36" t="n"/>
      <c r="BT54" s="36" t="n"/>
      <c r="BU54" s="36" t="n"/>
      <c r="BV54" s="36" t="n"/>
      <c r="BW54" s="36" t="n"/>
      <c r="BX54" s="36" t="n"/>
      <c r="BY54" s="36" t="n"/>
      <c r="BZ54" s="36" t="n"/>
      <c r="CA54" s="36" t="n"/>
      <c r="CB54" s="36" t="n"/>
      <c r="CC54" s="36" t="n"/>
      <c r="CD54" s="36" t="n"/>
      <c r="CE54" s="36" t="n"/>
      <c r="CF54" s="36" t="n"/>
    </row>
    <row r="55" hidden="1" outlineLevel="2">
      <c r="A55" s="44" t="inlineStr">
        <is>
          <t>T-2.13</t>
        </is>
      </c>
      <c r="B55" s="45" t="inlineStr">
        <is>
          <t>Pruebas automatizadas y ejecución de CP-023 a CP-026</t>
        </is>
      </c>
      <c r="C55" s="44" t="inlineStr">
        <is>
          <t>Tarea</t>
        </is>
      </c>
      <c r="D55" s="44" t="inlineStr">
        <is>
          <t>Alexssander</t>
        </is>
      </c>
      <c r="E55" s="46">
        <f>Tareas!H40</f>
        <v/>
      </c>
      <c r="F55" s="46">
        <f>Tareas!I40</f>
        <v/>
      </c>
      <c r="G55" s="44">
        <f>NETWORKDAYS(E55,F55,Feriados)</f>
        <v/>
      </c>
      <c r="H55" s="47">
        <f>Tareas!K40</f>
        <v/>
      </c>
      <c r="I55" s="44">
        <f>Tareas!J40</f>
        <v/>
      </c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6" t="n"/>
      <c r="BE55" s="36" t="n"/>
      <c r="BF55" s="36" t="n"/>
      <c r="BG55" s="36" t="n"/>
      <c r="BH55" s="36" t="n"/>
      <c r="BI55" s="36" t="n"/>
      <c r="BJ55" s="36" t="n"/>
      <c r="BK55" s="36" t="n"/>
      <c r="BL55" s="36" t="n"/>
      <c r="BM55" s="36" t="n"/>
      <c r="BN55" s="36" t="n"/>
      <c r="BO55" s="36" t="n"/>
      <c r="BP55" s="36" t="n"/>
      <c r="BQ55" s="36" t="n"/>
      <c r="BR55" s="36" t="n"/>
      <c r="BS55" s="36" t="n"/>
      <c r="BT55" s="36" t="n"/>
      <c r="BU55" s="36" t="n"/>
      <c r="BV55" s="36" t="n"/>
      <c r="BW55" s="36" t="n"/>
      <c r="BX55" s="36" t="n"/>
      <c r="BY55" s="36" t="n"/>
      <c r="BZ55" s="36" t="n"/>
      <c r="CA55" s="36" t="n"/>
      <c r="CB55" s="36" t="n"/>
      <c r="CC55" s="36" t="n"/>
      <c r="CD55" s="36" t="n"/>
      <c r="CE55" s="36" t="n"/>
      <c r="CF55" s="36" t="n"/>
    </row>
    <row r="56" outlineLevel="1">
      <c r="A56" s="11" t="inlineStr">
        <is>
          <t>HU-012</t>
        </is>
      </c>
      <c r="B56" s="42" t="inlineStr">
        <is>
          <t>Notificar pendientes y recordatorios</t>
        </is>
      </c>
      <c r="C56" s="11" t="inlineStr">
        <is>
          <t>Historia</t>
        </is>
      </c>
      <c r="D56" s="11" t="inlineStr">
        <is>
          <t>Millaray y Matías</t>
        </is>
      </c>
      <c r="E56" s="43">
        <f>Historias!J12</f>
        <v/>
      </c>
      <c r="F56" s="43">
        <f>Historias!K12</f>
        <v/>
      </c>
      <c r="G56" s="11">
        <f>NETWORKDAYS(E56,F56,Feriados)</f>
        <v/>
      </c>
      <c r="H56" s="13">
        <f>Historias!N12</f>
        <v/>
      </c>
      <c r="I56" s="11">
        <f>Historias!P12</f>
        <v/>
      </c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6" t="n"/>
      <c r="BH56" s="36" t="n"/>
      <c r="BI56" s="36" t="n"/>
      <c r="BJ56" s="36" t="n"/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36" t="n"/>
      <c r="BZ56" s="36" t="n"/>
      <c r="CA56" s="36" t="n"/>
      <c r="CB56" s="36" t="n"/>
      <c r="CC56" s="36" t="n"/>
      <c r="CD56" s="36" t="n"/>
      <c r="CE56" s="36" t="n"/>
      <c r="CF56" s="36" t="n"/>
    </row>
    <row r="57" hidden="1" outlineLevel="2">
      <c r="A57" s="44" t="inlineStr">
        <is>
          <t>T-2.14</t>
        </is>
      </c>
      <c r="B57" s="45" t="inlineStr">
        <is>
          <t>Modelo de notificación con destinatario, categoría, emisor, nivel y enlace</t>
        </is>
      </c>
      <c r="C57" s="44" t="inlineStr">
        <is>
          <t>Tarea</t>
        </is>
      </c>
      <c r="D57" s="44" t="inlineStr">
        <is>
          <t>Alexssander</t>
        </is>
      </c>
      <c r="E57" s="46">
        <f>Tareas!H41</f>
        <v/>
      </c>
      <c r="F57" s="46">
        <f>Tareas!I41</f>
        <v/>
      </c>
      <c r="G57" s="44">
        <f>NETWORKDAYS(E57,F57,Feriados)</f>
        <v/>
      </c>
      <c r="H57" s="47">
        <f>Tareas!K41</f>
        <v/>
      </c>
      <c r="I57" s="44">
        <f>Tareas!J41</f>
        <v/>
      </c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36" t="n"/>
      <c r="BY57" s="36" t="n"/>
      <c r="BZ57" s="36" t="n"/>
      <c r="CA57" s="36" t="n"/>
      <c r="CB57" s="36" t="n"/>
      <c r="CC57" s="36" t="n"/>
      <c r="CD57" s="36" t="n"/>
      <c r="CE57" s="36" t="n"/>
      <c r="CF57" s="36" t="n"/>
    </row>
    <row r="58" hidden="1" outlineLevel="2">
      <c r="A58" s="44" t="inlineStr">
        <is>
          <t>T-2.15</t>
        </is>
      </c>
      <c r="B58" s="45" t="inlineStr">
        <is>
          <t>Notificación a los integrantes del grupo al enviar un proceso</t>
        </is>
      </c>
      <c r="C58" s="44" t="inlineStr">
        <is>
          <t>Tarea</t>
        </is>
      </c>
      <c r="D58" s="44" t="inlineStr">
        <is>
          <t>Alexssander</t>
        </is>
      </c>
      <c r="E58" s="46">
        <f>Tareas!H42</f>
        <v/>
      </c>
      <c r="F58" s="46">
        <f>Tareas!I42</f>
        <v/>
      </c>
      <c r="G58" s="44">
        <f>NETWORKDAYS(E58,F58,Feriados)</f>
        <v/>
      </c>
      <c r="H58" s="47">
        <f>Tareas!K42</f>
        <v/>
      </c>
      <c r="I58" s="44">
        <f>Tareas!J42</f>
        <v/>
      </c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6" t="n"/>
      <c r="BH58" s="36" t="n"/>
      <c r="BI58" s="36" t="n"/>
      <c r="BJ58" s="36" t="n"/>
      <c r="BK58" s="36" t="n"/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36" t="n"/>
      <c r="BZ58" s="36" t="n"/>
      <c r="CA58" s="36" t="n"/>
      <c r="CB58" s="36" t="n"/>
      <c r="CC58" s="36" t="n"/>
      <c r="CD58" s="36" t="n"/>
      <c r="CE58" s="36" t="n"/>
      <c r="CF58" s="36" t="n"/>
    </row>
    <row r="59" hidden="1" outlineLevel="2">
      <c r="A59" s="44" t="inlineStr">
        <is>
          <t>T-2.16</t>
        </is>
      </c>
      <c r="B59" s="45" t="inlineStr">
        <is>
          <t>Tarea programada de recordatorio para procesos pendientes por más de una hora</t>
        </is>
      </c>
      <c r="C59" s="44" t="inlineStr">
        <is>
          <t>Tarea</t>
        </is>
      </c>
      <c r="D59" s="44" t="inlineStr">
        <is>
          <t>Matías</t>
        </is>
      </c>
      <c r="E59" s="46">
        <f>Tareas!H43</f>
        <v/>
      </c>
      <c r="F59" s="46">
        <f>Tareas!I43</f>
        <v/>
      </c>
      <c r="G59" s="44">
        <f>NETWORKDAYS(E59,F59,Feriados)</f>
        <v/>
      </c>
      <c r="H59" s="47">
        <f>Tareas!K43</f>
        <v/>
      </c>
      <c r="I59" s="44">
        <f>Tareas!J43</f>
        <v/>
      </c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6" t="n"/>
      <c r="BH59" s="36" t="n"/>
      <c r="BI59" s="36" t="n"/>
      <c r="BJ59" s="36" t="n"/>
      <c r="BK59" s="36" t="n"/>
      <c r="BL59" s="36" t="n"/>
      <c r="BM59" s="36" t="n"/>
      <c r="BN59" s="36" t="n"/>
      <c r="BO59" s="36" t="n"/>
      <c r="BP59" s="36" t="n"/>
      <c r="BQ59" s="36" t="n"/>
      <c r="BR59" s="36" t="n"/>
      <c r="BS59" s="36" t="n"/>
      <c r="BT59" s="36" t="n"/>
      <c r="BU59" s="36" t="n"/>
      <c r="BV59" s="36" t="n"/>
      <c r="BW59" s="36" t="n"/>
      <c r="BX59" s="36" t="n"/>
      <c r="BY59" s="36" t="n"/>
      <c r="BZ59" s="36" t="n"/>
      <c r="CA59" s="36" t="n"/>
      <c r="CB59" s="36" t="n"/>
      <c r="CC59" s="36" t="n"/>
      <c r="CD59" s="36" t="n"/>
      <c r="CE59" s="36" t="n"/>
      <c r="CF59" s="36" t="n"/>
    </row>
    <row r="60" hidden="1" outlineLevel="2">
      <c r="A60" s="44" t="inlineStr">
        <is>
          <t>T-2.17</t>
        </is>
      </c>
      <c r="B60" s="45" t="inlineStr">
        <is>
          <t>Campana general en la barra superior con restricción de notificaciones ajenas</t>
        </is>
      </c>
      <c r="C60" s="44" t="inlineStr">
        <is>
          <t>Tarea</t>
        </is>
      </c>
      <c r="D60" s="44" t="inlineStr">
        <is>
          <t>Millaray</t>
        </is>
      </c>
      <c r="E60" s="46">
        <f>Tareas!H44</f>
        <v/>
      </c>
      <c r="F60" s="46">
        <f>Tareas!I44</f>
        <v/>
      </c>
      <c r="G60" s="44">
        <f>NETWORKDAYS(E60,F60,Feriados)</f>
        <v/>
      </c>
      <c r="H60" s="47">
        <f>Tareas!K44</f>
        <v/>
      </c>
      <c r="I60" s="44">
        <f>Tareas!J44</f>
        <v/>
      </c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36" t="n"/>
      <c r="BE60" s="36" t="n"/>
      <c r="BF60" s="36" t="n"/>
      <c r="BG60" s="36" t="n"/>
      <c r="BH60" s="36" t="n"/>
      <c r="BI60" s="36" t="n"/>
      <c r="BJ60" s="36" t="n"/>
      <c r="BK60" s="36" t="n"/>
      <c r="BL60" s="36" t="n"/>
      <c r="BM60" s="36" t="n"/>
      <c r="BN60" s="36" t="n"/>
      <c r="BO60" s="36" t="n"/>
      <c r="BP60" s="36" t="n"/>
      <c r="BQ60" s="36" t="n"/>
      <c r="BR60" s="36" t="n"/>
      <c r="BS60" s="36" t="n"/>
      <c r="BT60" s="36" t="n"/>
      <c r="BU60" s="36" t="n"/>
      <c r="BV60" s="36" t="n"/>
      <c r="BW60" s="36" t="n"/>
      <c r="BX60" s="36" t="n"/>
      <c r="BY60" s="36" t="n"/>
      <c r="BZ60" s="36" t="n"/>
      <c r="CA60" s="36" t="n"/>
      <c r="CB60" s="36" t="n"/>
      <c r="CC60" s="36" t="n"/>
      <c r="CD60" s="36" t="n"/>
      <c r="CE60" s="36" t="n"/>
      <c r="CF60" s="36" t="n"/>
    </row>
    <row r="61" hidden="1" outlineLevel="2">
      <c r="A61" s="44" t="inlineStr">
        <is>
          <t>T-2.18</t>
        </is>
      </c>
      <c r="B61" s="45" t="inlineStr">
        <is>
          <t>Pruebas automatizadas y ejecución de CP-043 a CP-046</t>
        </is>
      </c>
      <c r="C61" s="44" t="inlineStr">
        <is>
          <t>Tarea</t>
        </is>
      </c>
      <c r="D61" s="44" t="inlineStr">
        <is>
          <t>Matías</t>
        </is>
      </c>
      <c r="E61" s="46">
        <f>Tareas!H45</f>
        <v/>
      </c>
      <c r="F61" s="46">
        <f>Tareas!I45</f>
        <v/>
      </c>
      <c r="G61" s="44">
        <f>NETWORKDAYS(E61,F61,Feriados)</f>
        <v/>
      </c>
      <c r="H61" s="47">
        <f>Tareas!K45</f>
        <v/>
      </c>
      <c r="I61" s="44">
        <f>Tareas!J45</f>
        <v/>
      </c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  <c r="AZ61" s="36" t="n"/>
      <c r="BA61" s="36" t="n"/>
      <c r="BB61" s="36" t="n"/>
      <c r="BC61" s="36" t="n"/>
      <c r="BD61" s="36" t="n"/>
      <c r="BE61" s="36" t="n"/>
      <c r="BF61" s="36" t="n"/>
      <c r="BG61" s="36" t="n"/>
      <c r="BH61" s="36" t="n"/>
      <c r="BI61" s="36" t="n"/>
      <c r="BJ61" s="36" t="n"/>
      <c r="BK61" s="36" t="n"/>
      <c r="BL61" s="36" t="n"/>
      <c r="BM61" s="36" t="n"/>
      <c r="BN61" s="36" t="n"/>
      <c r="BO61" s="36" t="n"/>
      <c r="BP61" s="36" t="n"/>
      <c r="BQ61" s="36" t="n"/>
      <c r="BR61" s="36" t="n"/>
      <c r="BS61" s="36" t="n"/>
      <c r="BT61" s="36" t="n"/>
      <c r="BU61" s="36" t="n"/>
      <c r="BV61" s="36" t="n"/>
      <c r="BW61" s="36" t="n"/>
      <c r="BX61" s="36" t="n"/>
      <c r="BY61" s="36" t="n"/>
      <c r="BZ61" s="36" t="n"/>
      <c r="CA61" s="36" t="n"/>
      <c r="CB61" s="36" t="n"/>
      <c r="CC61" s="36" t="n"/>
      <c r="CD61" s="36" t="n"/>
      <c r="CE61" s="36" t="n"/>
      <c r="CF61" s="36" t="n"/>
    </row>
    <row r="62" outlineLevel="1">
      <c r="A62" s="11" t="inlineStr"/>
      <c r="B62" s="42" t="inlineStr">
        <is>
          <t>Tareas transversales del sprint</t>
        </is>
      </c>
      <c r="C62" s="11" t="inlineStr">
        <is>
          <t>Historia</t>
        </is>
      </c>
      <c r="D62" s="11" t="inlineStr">
        <is>
          <t>Scrum Team</t>
        </is>
      </c>
      <c r="E62" s="43">
        <f>_xlfn.MINIFS(Tareas!$H:$H,Tareas!$B:$B,"Sprint 2",Tareas!$C:$C,"Transversal")</f>
        <v/>
      </c>
      <c r="F62" s="43">
        <f>_xlfn.MAXIFS(Tareas!$I:$I,Tareas!$B:$B,"Sprint 2",Tareas!$C:$C,"Transversal")</f>
        <v/>
      </c>
      <c r="G62" s="11">
        <f>NETWORKDAYS(E62,F62,Feriados)</f>
        <v/>
      </c>
      <c r="H62" s="13">
        <f>IFERROR(SUMIFS(Tareas!$L:$L,Tareas!$B:$B,"Sprint 2",Tareas!$C:$C,"Transversal")/SUMIFS(Tareas!$F:$F,Tareas!$B:$B,"Sprint 2",Tareas!$C:$C,"Transversal"),0)</f>
        <v/>
      </c>
      <c r="I62" s="11" t="inlineStr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36" t="n"/>
      <c r="BE62" s="36" t="n"/>
      <c r="BF62" s="36" t="n"/>
      <c r="BG62" s="36" t="n"/>
      <c r="BH62" s="36" t="n"/>
      <c r="BI62" s="36" t="n"/>
      <c r="BJ62" s="36" t="n"/>
      <c r="BK62" s="36" t="n"/>
      <c r="BL62" s="36" t="n"/>
      <c r="BM62" s="36" t="n"/>
      <c r="BN62" s="36" t="n"/>
      <c r="BO62" s="36" t="n"/>
      <c r="BP62" s="36" t="n"/>
      <c r="BQ62" s="36" t="n"/>
      <c r="BR62" s="36" t="n"/>
      <c r="BS62" s="36" t="n"/>
      <c r="BT62" s="36" t="n"/>
      <c r="BU62" s="36" t="n"/>
      <c r="BV62" s="36" t="n"/>
      <c r="BW62" s="36" t="n"/>
      <c r="BX62" s="36" t="n"/>
      <c r="BY62" s="36" t="n"/>
      <c r="BZ62" s="36" t="n"/>
      <c r="CA62" s="36" t="n"/>
      <c r="CB62" s="36" t="n"/>
      <c r="CC62" s="36" t="n"/>
      <c r="CD62" s="36" t="n"/>
      <c r="CE62" s="36" t="n"/>
      <c r="CF62" s="36" t="n"/>
    </row>
    <row r="63" hidden="1" outlineLevel="2">
      <c r="A63" s="44" t="inlineStr">
        <is>
          <t>T-2.19</t>
        </is>
      </c>
      <c r="B63" s="45" t="inlineStr">
        <is>
          <t>Validar el flujo de solicitudes con usuarios clave antes de la Sprint Review</t>
        </is>
      </c>
      <c r="C63" s="44" t="inlineStr">
        <is>
          <t>Tarea</t>
        </is>
      </c>
      <c r="D63" s="44" t="inlineStr">
        <is>
          <t>Millaray</t>
        </is>
      </c>
      <c r="E63" s="46">
        <f>Tareas!H46</f>
        <v/>
      </c>
      <c r="F63" s="46">
        <f>Tareas!I46</f>
        <v/>
      </c>
      <c r="G63" s="44">
        <f>NETWORKDAYS(E63,F63,Feriados)</f>
        <v/>
      </c>
      <c r="H63" s="47">
        <f>Tareas!K46</f>
        <v/>
      </c>
      <c r="I63" s="44">
        <f>Tareas!J46</f>
        <v/>
      </c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36" t="n"/>
      <c r="BE63" s="36" t="n"/>
      <c r="BF63" s="36" t="n"/>
      <c r="BG63" s="36" t="n"/>
      <c r="BH63" s="36" t="n"/>
      <c r="BI63" s="36" t="n"/>
      <c r="BJ63" s="36" t="n"/>
      <c r="BK63" s="36" t="n"/>
      <c r="BL63" s="36" t="n"/>
      <c r="BM63" s="36" t="n"/>
      <c r="BN63" s="36" t="n"/>
      <c r="BO63" s="36" t="n"/>
      <c r="BP63" s="36" t="n"/>
      <c r="BQ63" s="36" t="n"/>
      <c r="BR63" s="36" t="n"/>
      <c r="BS63" s="36" t="n"/>
      <c r="BT63" s="36" t="n"/>
      <c r="BU63" s="36" t="n"/>
      <c r="BV63" s="36" t="n"/>
      <c r="BW63" s="36" t="n"/>
      <c r="BX63" s="36" t="n"/>
      <c r="BY63" s="36" t="n"/>
      <c r="BZ63" s="36" t="n"/>
      <c r="CA63" s="36" t="n"/>
      <c r="CB63" s="36" t="n"/>
      <c r="CC63" s="36" t="n"/>
      <c r="CD63" s="36" t="n"/>
      <c r="CE63" s="36" t="n"/>
      <c r="CF63" s="36" t="n"/>
    </row>
    <row r="64" hidden="1" outlineLevel="2">
      <c r="A64" s="44" t="inlineStr">
        <is>
          <t>T-2.20</t>
        </is>
      </c>
      <c r="B64" s="45" t="inlineStr">
        <is>
          <t>Integrar develop en main, etiquetar v0.2.0 y preparar la demostración</t>
        </is>
      </c>
      <c r="C64" s="44" t="inlineStr">
        <is>
          <t>Tarea</t>
        </is>
      </c>
      <c r="D64" s="44" t="inlineStr">
        <is>
          <t>Matías</t>
        </is>
      </c>
      <c r="E64" s="46">
        <f>Tareas!H47</f>
        <v/>
      </c>
      <c r="F64" s="46">
        <f>Tareas!I47</f>
        <v/>
      </c>
      <c r="G64" s="44">
        <f>NETWORKDAYS(E64,F64,Feriados)</f>
        <v/>
      </c>
      <c r="H64" s="47">
        <f>Tareas!K47</f>
        <v/>
      </c>
      <c r="I64" s="44">
        <f>Tareas!J47</f>
        <v/>
      </c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36" t="n"/>
      <c r="BE64" s="36" t="n"/>
      <c r="BF64" s="36" t="n"/>
      <c r="BG64" s="36" t="n"/>
      <c r="BH64" s="36" t="n"/>
      <c r="BI64" s="36" t="n"/>
      <c r="BJ64" s="36" t="n"/>
      <c r="BK64" s="36" t="n"/>
      <c r="BL64" s="36" t="n"/>
      <c r="BM64" s="36" t="n"/>
      <c r="BN64" s="36" t="n"/>
      <c r="BO64" s="36" t="n"/>
      <c r="BP64" s="36" t="n"/>
      <c r="BQ64" s="36" t="n"/>
      <c r="BR64" s="36" t="n"/>
      <c r="BS64" s="36" t="n"/>
      <c r="BT64" s="36" t="n"/>
      <c r="BU64" s="36" t="n"/>
      <c r="BV64" s="36" t="n"/>
      <c r="BW64" s="36" t="n"/>
      <c r="BX64" s="36" t="n"/>
      <c r="BY64" s="36" t="n"/>
      <c r="BZ64" s="36" t="n"/>
      <c r="CA64" s="36" t="n"/>
      <c r="CB64" s="36" t="n"/>
      <c r="CC64" s="36" t="n"/>
      <c r="CD64" s="36" t="n"/>
      <c r="CE64" s="36" t="n"/>
      <c r="CF64" s="36" t="n"/>
    </row>
    <row r="65" hidden="1" outlineLevel="2">
      <c r="A65" s="44" t="inlineStr">
        <is>
          <t>T-2.21</t>
        </is>
      </c>
      <c r="B65" s="45" t="inlineStr">
        <is>
          <t>Actualizar la matriz de trazabilidad y el Expediente de Sprint</t>
        </is>
      </c>
      <c r="C65" s="44" t="inlineStr">
        <is>
          <t>Tarea</t>
        </is>
      </c>
      <c r="D65" s="44" t="inlineStr">
        <is>
          <t>Alexssander</t>
        </is>
      </c>
      <c r="E65" s="46">
        <f>Tareas!H48</f>
        <v/>
      </c>
      <c r="F65" s="46">
        <f>Tareas!I48</f>
        <v/>
      </c>
      <c r="G65" s="44">
        <f>NETWORKDAYS(E65,F65,Feriados)</f>
        <v/>
      </c>
      <c r="H65" s="47">
        <f>Tareas!K48</f>
        <v/>
      </c>
      <c r="I65" s="44">
        <f>Tareas!J48</f>
        <v/>
      </c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36" t="n"/>
      <c r="BE65" s="36" t="n"/>
      <c r="BF65" s="36" t="n"/>
      <c r="BG65" s="36" t="n"/>
      <c r="BH65" s="36" t="n"/>
      <c r="BI65" s="36" t="n"/>
      <c r="BJ65" s="36" t="n"/>
      <c r="BK65" s="36" t="n"/>
      <c r="BL65" s="36" t="n"/>
      <c r="BM65" s="36" t="n"/>
      <c r="BN65" s="36" t="n"/>
      <c r="BO65" s="36" t="n"/>
      <c r="BP65" s="36" t="n"/>
      <c r="BQ65" s="36" t="n"/>
      <c r="BR65" s="36" t="n"/>
      <c r="BS65" s="36" t="n"/>
      <c r="BT65" s="36" t="n"/>
      <c r="BU65" s="36" t="n"/>
      <c r="BV65" s="36" t="n"/>
      <c r="BW65" s="36" t="n"/>
      <c r="BX65" s="36" t="n"/>
      <c r="BY65" s="36" t="n"/>
      <c r="BZ65" s="36" t="n"/>
      <c r="CA65" s="36" t="n"/>
      <c r="CB65" s="36" t="n"/>
      <c r="CC65" s="36" t="n"/>
      <c r="CD65" s="36" t="n"/>
      <c r="CE65" s="36" t="n"/>
      <c r="CF65" s="36" t="n"/>
    </row>
    <row r="66">
      <c r="A66" s="9" t="inlineStr">
        <is>
          <t>S3</t>
        </is>
      </c>
      <c r="B66" s="34" t="inlineStr">
        <is>
          <t>Sprint 3 · Lectura SAP, consultas y cotizaciones</t>
        </is>
      </c>
      <c r="C66" s="9" t="inlineStr">
        <is>
          <t>Sprint</t>
        </is>
      </c>
      <c r="D66" s="9" t="inlineStr">
        <is>
          <t>PO: Alexssander · SM: Matías</t>
        </is>
      </c>
      <c r="E66" s="35">
        <f>Resumen!C10</f>
        <v/>
      </c>
      <c r="F66" s="35">
        <f>Resumen!D10</f>
        <v/>
      </c>
      <c r="G66" s="9">
        <f>NETWORKDAYS(E66,F66,Feriados)</f>
        <v/>
      </c>
      <c r="H66" s="16">
        <f>Resumen!L10</f>
        <v/>
      </c>
      <c r="I66" s="9">
        <f>Resumen!Q10</f>
        <v/>
      </c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36" t="n"/>
      <c r="BE66" s="36" t="n"/>
      <c r="BF66" s="36" t="n"/>
      <c r="BG66" s="36" t="n"/>
      <c r="BH66" s="36" t="n"/>
      <c r="BI66" s="36" t="n"/>
      <c r="BJ66" s="36" t="n"/>
      <c r="BK66" s="36" t="n"/>
      <c r="BL66" s="36" t="n"/>
      <c r="BM66" s="36" t="n"/>
      <c r="BN66" s="36" t="n"/>
      <c r="BO66" s="36" t="n"/>
      <c r="BP66" s="36" t="n"/>
      <c r="BQ66" s="36" t="n"/>
      <c r="BR66" s="36" t="n"/>
      <c r="BS66" s="36" t="n"/>
      <c r="BT66" s="36" t="n"/>
      <c r="BU66" s="36" t="n"/>
      <c r="BV66" s="36" t="n"/>
      <c r="BW66" s="36" t="n"/>
      <c r="BX66" s="36" t="n"/>
      <c r="BY66" s="36" t="n"/>
      <c r="BZ66" s="36" t="n"/>
      <c r="CA66" s="36" t="n"/>
      <c r="CB66" s="36" t="n"/>
      <c r="CC66" s="36" t="n"/>
      <c r="CD66" s="36" t="n"/>
      <c r="CE66" s="36" t="n"/>
      <c r="CF66" s="36" t="n"/>
    </row>
    <row r="67" outlineLevel="1">
      <c r="A67" s="37" t="inlineStr"/>
      <c r="B67" s="38" t="inlineStr">
        <is>
          <t>Eventos Scrum</t>
        </is>
      </c>
      <c r="C67" s="37" t="inlineStr">
        <is>
          <t>Eventos</t>
        </is>
      </c>
      <c r="D67" s="37" t="inlineStr">
        <is>
          <t>Scrum Team</t>
        </is>
      </c>
      <c r="E67" s="39" t="inlineStr"/>
      <c r="F67" s="39" t="inlineStr"/>
      <c r="G67" s="37" t="inlineStr"/>
      <c r="H67" s="40" t="inlineStr"/>
      <c r="I67" s="37" t="inlineStr"/>
      <c r="J67" s="41">
        <f>IF(J$6=Eventos!$C$16,"F",IF(J$6=Eventos!$C$15,"P",IF(J$6=Eventos!$C$17,"C",IF(J$6=Eventos!$C$18,"R",""))))</f>
        <v/>
      </c>
      <c r="K67" s="41">
        <f>IF(K$6=Eventos!$C$16,"F",IF(K$6=Eventos!$C$15,"P",IF(K$6=Eventos!$C$17,"C",IF(K$6=Eventos!$C$18,"R",""))))</f>
        <v/>
      </c>
      <c r="L67" s="41">
        <f>IF(L$6=Eventos!$C$16,"F",IF(L$6=Eventos!$C$15,"P",IF(L$6=Eventos!$C$17,"C",IF(L$6=Eventos!$C$18,"R",""))))</f>
        <v/>
      </c>
      <c r="M67" s="41">
        <f>IF(M$6=Eventos!$C$16,"F",IF(M$6=Eventos!$C$15,"P",IF(M$6=Eventos!$C$17,"C",IF(M$6=Eventos!$C$18,"R",""))))</f>
        <v/>
      </c>
      <c r="N67" s="41">
        <f>IF(N$6=Eventos!$C$16,"F",IF(N$6=Eventos!$C$15,"P",IF(N$6=Eventos!$C$17,"C",IF(N$6=Eventos!$C$18,"R",""))))</f>
        <v/>
      </c>
      <c r="O67" s="41">
        <f>IF(O$6=Eventos!$C$16,"F",IF(O$6=Eventos!$C$15,"P",IF(O$6=Eventos!$C$17,"C",IF(O$6=Eventos!$C$18,"R",""))))</f>
        <v/>
      </c>
      <c r="P67" s="41">
        <f>IF(P$6=Eventos!$C$16,"F",IF(P$6=Eventos!$C$15,"P",IF(P$6=Eventos!$C$17,"C",IF(P$6=Eventos!$C$18,"R",""))))</f>
        <v/>
      </c>
      <c r="Q67" s="41">
        <f>IF(Q$6=Eventos!$C$16,"F",IF(Q$6=Eventos!$C$15,"P",IF(Q$6=Eventos!$C$17,"C",IF(Q$6=Eventos!$C$18,"R",""))))</f>
        <v/>
      </c>
      <c r="R67" s="41">
        <f>IF(R$6=Eventos!$C$16,"F",IF(R$6=Eventos!$C$15,"P",IF(R$6=Eventos!$C$17,"C",IF(R$6=Eventos!$C$18,"R",""))))</f>
        <v/>
      </c>
      <c r="S67" s="41">
        <f>IF(S$6=Eventos!$C$16,"F",IF(S$6=Eventos!$C$15,"P",IF(S$6=Eventos!$C$17,"C",IF(S$6=Eventos!$C$18,"R",""))))</f>
        <v/>
      </c>
      <c r="T67" s="41">
        <f>IF(T$6=Eventos!$C$16,"F",IF(T$6=Eventos!$C$15,"P",IF(T$6=Eventos!$C$17,"C",IF(T$6=Eventos!$C$18,"R",""))))</f>
        <v/>
      </c>
      <c r="U67" s="41">
        <f>IF(U$6=Eventos!$C$16,"F",IF(U$6=Eventos!$C$15,"P",IF(U$6=Eventos!$C$17,"C",IF(U$6=Eventos!$C$18,"R",""))))</f>
        <v/>
      </c>
      <c r="V67" s="41">
        <f>IF(V$6=Eventos!$C$16,"F",IF(V$6=Eventos!$C$15,"P",IF(V$6=Eventos!$C$17,"C",IF(V$6=Eventos!$C$18,"R",""))))</f>
        <v/>
      </c>
      <c r="W67" s="41">
        <f>IF(W$6=Eventos!$C$16,"F",IF(W$6=Eventos!$C$15,"P",IF(W$6=Eventos!$C$17,"C",IF(W$6=Eventos!$C$18,"R",""))))</f>
        <v/>
      </c>
      <c r="X67" s="41">
        <f>IF(X$6=Eventos!$C$16,"F",IF(X$6=Eventos!$C$15,"P",IF(X$6=Eventos!$C$17,"C",IF(X$6=Eventos!$C$18,"R",""))))</f>
        <v/>
      </c>
      <c r="Y67" s="41">
        <f>IF(Y$6=Eventos!$C$16,"F",IF(Y$6=Eventos!$C$15,"P",IF(Y$6=Eventos!$C$17,"C",IF(Y$6=Eventos!$C$18,"R",""))))</f>
        <v/>
      </c>
      <c r="Z67" s="41">
        <f>IF(Z$6=Eventos!$C$16,"F",IF(Z$6=Eventos!$C$15,"P",IF(Z$6=Eventos!$C$17,"C",IF(Z$6=Eventos!$C$18,"R",""))))</f>
        <v/>
      </c>
      <c r="AA67" s="41">
        <f>IF(AA$6=Eventos!$C$16,"F",IF(AA$6=Eventos!$C$15,"P",IF(AA$6=Eventos!$C$17,"C",IF(AA$6=Eventos!$C$18,"R",""))))</f>
        <v/>
      </c>
      <c r="AB67" s="41">
        <f>IF(AB$6=Eventos!$C$16,"F",IF(AB$6=Eventos!$C$15,"P",IF(AB$6=Eventos!$C$17,"C",IF(AB$6=Eventos!$C$18,"R",""))))</f>
        <v/>
      </c>
      <c r="AC67" s="41">
        <f>IF(AC$6=Eventos!$C$16,"F",IF(AC$6=Eventos!$C$15,"P",IF(AC$6=Eventos!$C$17,"C",IF(AC$6=Eventos!$C$18,"R",""))))</f>
        <v/>
      </c>
      <c r="AD67" s="41">
        <f>IF(AD$6=Eventos!$C$16,"F",IF(AD$6=Eventos!$C$15,"P",IF(AD$6=Eventos!$C$17,"C",IF(AD$6=Eventos!$C$18,"R",""))))</f>
        <v/>
      </c>
      <c r="AE67" s="41">
        <f>IF(AE$6=Eventos!$C$16,"F",IF(AE$6=Eventos!$C$15,"P",IF(AE$6=Eventos!$C$17,"C",IF(AE$6=Eventos!$C$18,"R",""))))</f>
        <v/>
      </c>
      <c r="AF67" s="41">
        <f>IF(AF$6=Eventos!$C$16,"F",IF(AF$6=Eventos!$C$15,"P",IF(AF$6=Eventos!$C$17,"C",IF(AF$6=Eventos!$C$18,"R",""))))</f>
        <v/>
      </c>
      <c r="AG67" s="41">
        <f>IF(AG$6=Eventos!$C$16,"F",IF(AG$6=Eventos!$C$15,"P",IF(AG$6=Eventos!$C$17,"C",IF(AG$6=Eventos!$C$18,"R",""))))</f>
        <v/>
      </c>
      <c r="AH67" s="41">
        <f>IF(AH$6=Eventos!$C$16,"F",IF(AH$6=Eventos!$C$15,"P",IF(AH$6=Eventos!$C$17,"C",IF(AH$6=Eventos!$C$18,"R",""))))</f>
        <v/>
      </c>
      <c r="AI67" s="41">
        <f>IF(AI$6=Eventos!$C$16,"F",IF(AI$6=Eventos!$C$15,"P",IF(AI$6=Eventos!$C$17,"C",IF(AI$6=Eventos!$C$18,"R",""))))</f>
        <v/>
      </c>
      <c r="AJ67" s="41">
        <f>IF(AJ$6=Eventos!$C$16,"F",IF(AJ$6=Eventos!$C$15,"P",IF(AJ$6=Eventos!$C$17,"C",IF(AJ$6=Eventos!$C$18,"R",""))))</f>
        <v/>
      </c>
      <c r="AK67" s="41">
        <f>IF(AK$6=Eventos!$C$16,"F",IF(AK$6=Eventos!$C$15,"P",IF(AK$6=Eventos!$C$17,"C",IF(AK$6=Eventos!$C$18,"R",""))))</f>
        <v/>
      </c>
      <c r="AL67" s="41">
        <f>IF(AL$6=Eventos!$C$16,"F",IF(AL$6=Eventos!$C$15,"P",IF(AL$6=Eventos!$C$17,"C",IF(AL$6=Eventos!$C$18,"R",""))))</f>
        <v/>
      </c>
      <c r="AM67" s="41">
        <f>IF(AM$6=Eventos!$C$16,"F",IF(AM$6=Eventos!$C$15,"P",IF(AM$6=Eventos!$C$17,"C",IF(AM$6=Eventos!$C$18,"R",""))))</f>
        <v/>
      </c>
      <c r="AN67" s="41">
        <f>IF(AN$6=Eventos!$C$16,"F",IF(AN$6=Eventos!$C$15,"P",IF(AN$6=Eventos!$C$17,"C",IF(AN$6=Eventos!$C$18,"R",""))))</f>
        <v/>
      </c>
      <c r="AO67" s="41">
        <f>IF(AO$6=Eventos!$C$16,"F",IF(AO$6=Eventos!$C$15,"P",IF(AO$6=Eventos!$C$17,"C",IF(AO$6=Eventos!$C$18,"R",""))))</f>
        <v/>
      </c>
      <c r="AP67" s="41">
        <f>IF(AP$6=Eventos!$C$16,"F",IF(AP$6=Eventos!$C$15,"P",IF(AP$6=Eventos!$C$17,"C",IF(AP$6=Eventos!$C$18,"R",""))))</f>
        <v/>
      </c>
      <c r="AQ67" s="41">
        <f>IF(AQ$6=Eventos!$C$16,"F",IF(AQ$6=Eventos!$C$15,"P",IF(AQ$6=Eventos!$C$17,"C",IF(AQ$6=Eventos!$C$18,"R",""))))</f>
        <v/>
      </c>
      <c r="AR67" s="41">
        <f>IF(AR$6=Eventos!$C$16,"F",IF(AR$6=Eventos!$C$15,"P",IF(AR$6=Eventos!$C$17,"C",IF(AR$6=Eventos!$C$18,"R",""))))</f>
        <v/>
      </c>
      <c r="AS67" s="41">
        <f>IF(AS$6=Eventos!$C$16,"F",IF(AS$6=Eventos!$C$15,"P",IF(AS$6=Eventos!$C$17,"C",IF(AS$6=Eventos!$C$18,"R",""))))</f>
        <v/>
      </c>
      <c r="AT67" s="41">
        <f>IF(AT$6=Eventos!$C$16,"F",IF(AT$6=Eventos!$C$15,"P",IF(AT$6=Eventos!$C$17,"C",IF(AT$6=Eventos!$C$18,"R",""))))</f>
        <v/>
      </c>
      <c r="AU67" s="41">
        <f>IF(AU$6=Eventos!$C$16,"F",IF(AU$6=Eventos!$C$15,"P",IF(AU$6=Eventos!$C$17,"C",IF(AU$6=Eventos!$C$18,"R",""))))</f>
        <v/>
      </c>
      <c r="AV67" s="41">
        <f>IF(AV$6=Eventos!$C$16,"F",IF(AV$6=Eventos!$C$15,"P",IF(AV$6=Eventos!$C$17,"C",IF(AV$6=Eventos!$C$18,"R",""))))</f>
        <v/>
      </c>
      <c r="AW67" s="41">
        <f>IF(AW$6=Eventos!$C$16,"F",IF(AW$6=Eventos!$C$15,"P",IF(AW$6=Eventos!$C$17,"C",IF(AW$6=Eventos!$C$18,"R",""))))</f>
        <v/>
      </c>
      <c r="AX67" s="41">
        <f>IF(AX$6=Eventos!$C$16,"F",IF(AX$6=Eventos!$C$15,"P",IF(AX$6=Eventos!$C$17,"C",IF(AX$6=Eventos!$C$18,"R",""))))</f>
        <v/>
      </c>
      <c r="AY67" s="41">
        <f>IF(AY$6=Eventos!$C$16,"F",IF(AY$6=Eventos!$C$15,"P",IF(AY$6=Eventos!$C$17,"C",IF(AY$6=Eventos!$C$18,"R",""))))</f>
        <v/>
      </c>
      <c r="AZ67" s="41">
        <f>IF(AZ$6=Eventos!$C$16,"F",IF(AZ$6=Eventos!$C$15,"P",IF(AZ$6=Eventos!$C$17,"C",IF(AZ$6=Eventos!$C$18,"R",""))))</f>
        <v/>
      </c>
      <c r="BA67" s="41">
        <f>IF(BA$6=Eventos!$C$16,"F",IF(BA$6=Eventos!$C$15,"P",IF(BA$6=Eventos!$C$17,"C",IF(BA$6=Eventos!$C$18,"R",""))))</f>
        <v/>
      </c>
      <c r="BB67" s="41">
        <f>IF(BB$6=Eventos!$C$16,"F",IF(BB$6=Eventos!$C$15,"P",IF(BB$6=Eventos!$C$17,"C",IF(BB$6=Eventos!$C$18,"R",""))))</f>
        <v/>
      </c>
      <c r="BC67" s="41">
        <f>IF(BC$6=Eventos!$C$16,"F",IF(BC$6=Eventos!$C$15,"P",IF(BC$6=Eventos!$C$17,"C",IF(BC$6=Eventos!$C$18,"R",""))))</f>
        <v/>
      </c>
      <c r="BD67" s="41">
        <f>IF(BD$6=Eventos!$C$16,"F",IF(BD$6=Eventos!$C$15,"P",IF(BD$6=Eventos!$C$17,"C",IF(BD$6=Eventos!$C$18,"R",""))))</f>
        <v/>
      </c>
      <c r="BE67" s="41">
        <f>IF(BE$6=Eventos!$C$16,"F",IF(BE$6=Eventos!$C$15,"P",IF(BE$6=Eventos!$C$17,"C",IF(BE$6=Eventos!$C$18,"R",""))))</f>
        <v/>
      </c>
      <c r="BF67" s="41">
        <f>IF(BF$6=Eventos!$C$16,"F",IF(BF$6=Eventos!$C$15,"P",IF(BF$6=Eventos!$C$17,"C",IF(BF$6=Eventos!$C$18,"R",""))))</f>
        <v/>
      </c>
      <c r="BG67" s="41">
        <f>IF(BG$6=Eventos!$C$16,"F",IF(BG$6=Eventos!$C$15,"P",IF(BG$6=Eventos!$C$17,"C",IF(BG$6=Eventos!$C$18,"R",""))))</f>
        <v/>
      </c>
      <c r="BH67" s="41">
        <f>IF(BH$6=Eventos!$C$16,"F",IF(BH$6=Eventos!$C$15,"P",IF(BH$6=Eventos!$C$17,"C",IF(BH$6=Eventos!$C$18,"R",""))))</f>
        <v/>
      </c>
      <c r="BI67" s="41">
        <f>IF(BI$6=Eventos!$C$16,"F",IF(BI$6=Eventos!$C$15,"P",IF(BI$6=Eventos!$C$17,"C",IF(BI$6=Eventos!$C$18,"R",""))))</f>
        <v/>
      </c>
      <c r="BJ67" s="41">
        <f>IF(BJ$6=Eventos!$C$16,"F",IF(BJ$6=Eventos!$C$15,"P",IF(BJ$6=Eventos!$C$17,"C",IF(BJ$6=Eventos!$C$18,"R",""))))</f>
        <v/>
      </c>
      <c r="BK67" s="41">
        <f>IF(BK$6=Eventos!$C$16,"F",IF(BK$6=Eventos!$C$15,"P",IF(BK$6=Eventos!$C$17,"C",IF(BK$6=Eventos!$C$18,"R",""))))</f>
        <v/>
      </c>
      <c r="BL67" s="41">
        <f>IF(BL$6=Eventos!$C$16,"F",IF(BL$6=Eventos!$C$15,"P",IF(BL$6=Eventos!$C$17,"C",IF(BL$6=Eventos!$C$18,"R",""))))</f>
        <v/>
      </c>
      <c r="BM67" s="41">
        <f>IF(BM$6=Eventos!$C$16,"F",IF(BM$6=Eventos!$C$15,"P",IF(BM$6=Eventos!$C$17,"C",IF(BM$6=Eventos!$C$18,"R",""))))</f>
        <v/>
      </c>
      <c r="BN67" s="41">
        <f>IF(BN$6=Eventos!$C$16,"F",IF(BN$6=Eventos!$C$15,"P",IF(BN$6=Eventos!$C$17,"C",IF(BN$6=Eventos!$C$18,"R",""))))</f>
        <v/>
      </c>
      <c r="BO67" s="41">
        <f>IF(BO$6=Eventos!$C$16,"F",IF(BO$6=Eventos!$C$15,"P",IF(BO$6=Eventos!$C$17,"C",IF(BO$6=Eventos!$C$18,"R",""))))</f>
        <v/>
      </c>
      <c r="BP67" s="41">
        <f>IF(BP$6=Eventos!$C$16,"F",IF(BP$6=Eventos!$C$15,"P",IF(BP$6=Eventos!$C$17,"C",IF(BP$6=Eventos!$C$18,"R",""))))</f>
        <v/>
      </c>
      <c r="BQ67" s="41">
        <f>IF(BQ$6=Eventos!$C$16,"F",IF(BQ$6=Eventos!$C$15,"P",IF(BQ$6=Eventos!$C$17,"C",IF(BQ$6=Eventos!$C$18,"R",""))))</f>
        <v/>
      </c>
      <c r="BR67" s="41">
        <f>IF(BR$6=Eventos!$C$16,"F",IF(BR$6=Eventos!$C$15,"P",IF(BR$6=Eventos!$C$17,"C",IF(BR$6=Eventos!$C$18,"R",""))))</f>
        <v/>
      </c>
      <c r="BS67" s="41">
        <f>IF(BS$6=Eventos!$C$16,"F",IF(BS$6=Eventos!$C$15,"P",IF(BS$6=Eventos!$C$17,"C",IF(BS$6=Eventos!$C$18,"R",""))))</f>
        <v/>
      </c>
      <c r="BT67" s="41">
        <f>IF(BT$6=Eventos!$C$16,"F",IF(BT$6=Eventos!$C$15,"P",IF(BT$6=Eventos!$C$17,"C",IF(BT$6=Eventos!$C$18,"R",""))))</f>
        <v/>
      </c>
      <c r="BU67" s="41">
        <f>IF(BU$6=Eventos!$C$16,"F",IF(BU$6=Eventos!$C$15,"P",IF(BU$6=Eventos!$C$17,"C",IF(BU$6=Eventos!$C$18,"R",""))))</f>
        <v/>
      </c>
      <c r="BV67" s="41">
        <f>IF(BV$6=Eventos!$C$16,"F",IF(BV$6=Eventos!$C$15,"P",IF(BV$6=Eventos!$C$17,"C",IF(BV$6=Eventos!$C$18,"R",""))))</f>
        <v/>
      </c>
      <c r="BW67" s="41">
        <f>IF(BW$6=Eventos!$C$16,"F",IF(BW$6=Eventos!$C$15,"P",IF(BW$6=Eventos!$C$17,"C",IF(BW$6=Eventos!$C$18,"R",""))))</f>
        <v/>
      </c>
      <c r="BX67" s="41">
        <f>IF(BX$6=Eventos!$C$16,"F",IF(BX$6=Eventos!$C$15,"P",IF(BX$6=Eventos!$C$17,"C",IF(BX$6=Eventos!$C$18,"R",""))))</f>
        <v/>
      </c>
      <c r="BY67" s="41">
        <f>IF(BY$6=Eventos!$C$16,"F",IF(BY$6=Eventos!$C$15,"P",IF(BY$6=Eventos!$C$17,"C",IF(BY$6=Eventos!$C$18,"R",""))))</f>
        <v/>
      </c>
      <c r="BZ67" s="41">
        <f>IF(BZ$6=Eventos!$C$16,"F",IF(BZ$6=Eventos!$C$15,"P",IF(BZ$6=Eventos!$C$17,"C",IF(BZ$6=Eventos!$C$18,"R",""))))</f>
        <v/>
      </c>
      <c r="CA67" s="41">
        <f>IF(CA$6=Eventos!$C$16,"F",IF(CA$6=Eventos!$C$15,"P",IF(CA$6=Eventos!$C$17,"C",IF(CA$6=Eventos!$C$18,"R",""))))</f>
        <v/>
      </c>
      <c r="CB67" s="41">
        <f>IF(CB$6=Eventos!$C$16,"F",IF(CB$6=Eventos!$C$15,"P",IF(CB$6=Eventos!$C$17,"C",IF(CB$6=Eventos!$C$18,"R",""))))</f>
        <v/>
      </c>
      <c r="CC67" s="41">
        <f>IF(CC$6=Eventos!$C$16,"F",IF(CC$6=Eventos!$C$15,"P",IF(CC$6=Eventos!$C$17,"C",IF(CC$6=Eventos!$C$18,"R",""))))</f>
        <v/>
      </c>
      <c r="CD67" s="41">
        <f>IF(CD$6=Eventos!$C$16,"F",IF(CD$6=Eventos!$C$15,"P",IF(CD$6=Eventos!$C$17,"C",IF(CD$6=Eventos!$C$18,"R",""))))</f>
        <v/>
      </c>
      <c r="CE67" s="41">
        <f>IF(CE$6=Eventos!$C$16,"F",IF(CE$6=Eventos!$C$15,"P",IF(CE$6=Eventos!$C$17,"C",IF(CE$6=Eventos!$C$18,"R",""))))</f>
        <v/>
      </c>
      <c r="CF67" s="41">
        <f>IF(CF$6=Eventos!$C$16,"F",IF(CF$6=Eventos!$C$15,"P",IF(CF$6=Eventos!$C$17,"C",IF(CF$6=Eventos!$C$18,"R",""))))</f>
        <v/>
      </c>
    </row>
    <row r="68" outlineLevel="1">
      <c r="A68" s="11" t="inlineStr">
        <is>
          <t>HU-015</t>
        </is>
      </c>
      <c r="B68" s="42" t="inlineStr">
        <is>
          <t>Consultar SAP mediante una API segura</t>
        </is>
      </c>
      <c r="C68" s="11" t="inlineStr">
        <is>
          <t>Historia</t>
        </is>
      </c>
      <c r="D68" s="11" t="inlineStr">
        <is>
          <t>Alexssander y Matías</t>
        </is>
      </c>
      <c r="E68" s="43">
        <f>Historias!J13</f>
        <v/>
      </c>
      <c r="F68" s="43">
        <f>Historias!K13</f>
        <v/>
      </c>
      <c r="G68" s="11">
        <f>NETWORKDAYS(E68,F68,Feriados)</f>
        <v/>
      </c>
      <c r="H68" s="13">
        <f>Historias!N13</f>
        <v/>
      </c>
      <c r="I68" s="11">
        <f>Historias!P13</f>
        <v/>
      </c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36" t="n"/>
      <c r="BE68" s="36" t="n"/>
      <c r="BF68" s="36" t="n"/>
      <c r="BG68" s="36" t="n"/>
      <c r="BH68" s="36" t="n"/>
      <c r="BI68" s="36" t="n"/>
      <c r="BJ68" s="36" t="n"/>
      <c r="BK68" s="36" t="n"/>
      <c r="BL68" s="36" t="n"/>
      <c r="BM68" s="36" t="n"/>
      <c r="BN68" s="36" t="n"/>
      <c r="BO68" s="36" t="n"/>
      <c r="BP68" s="36" t="n"/>
      <c r="BQ68" s="36" t="n"/>
      <c r="BR68" s="36" t="n"/>
      <c r="BS68" s="36" t="n"/>
      <c r="BT68" s="36" t="n"/>
      <c r="BU68" s="36" t="n"/>
      <c r="BV68" s="36" t="n"/>
      <c r="BW68" s="36" t="n"/>
      <c r="BX68" s="36" t="n"/>
      <c r="BY68" s="36" t="n"/>
      <c r="BZ68" s="36" t="n"/>
      <c r="CA68" s="36" t="n"/>
      <c r="CB68" s="36" t="n"/>
      <c r="CC68" s="36" t="n"/>
      <c r="CD68" s="36" t="n"/>
      <c r="CE68" s="36" t="n"/>
      <c r="CF68" s="36" t="n"/>
    </row>
    <row r="69" hidden="1" outlineLevel="2">
      <c r="A69" s="44" t="inlineStr">
        <is>
          <t>T-3.01</t>
        </is>
      </c>
      <c r="B69" s="45" t="inlineStr">
        <is>
          <t>API de lectura en FastAPI con usuario de solo lectura sobre SAP HANA y respuestas JSON</t>
        </is>
      </c>
      <c r="C69" s="44" t="inlineStr">
        <is>
          <t>Tarea</t>
        </is>
      </c>
      <c r="D69" s="44" t="inlineStr">
        <is>
          <t>Alexssander</t>
        </is>
      </c>
      <c r="E69" s="46">
        <f>Tareas!H49</f>
        <v/>
      </c>
      <c r="F69" s="46">
        <f>Tareas!I49</f>
        <v/>
      </c>
      <c r="G69" s="44">
        <f>NETWORKDAYS(E69,F69,Feriados)</f>
        <v/>
      </c>
      <c r="H69" s="47">
        <f>Tareas!K49</f>
        <v/>
      </c>
      <c r="I69" s="44">
        <f>Tareas!J49</f>
        <v/>
      </c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6" t="n"/>
      <c r="AZ69" s="36" t="n"/>
      <c r="BA69" s="36" t="n"/>
      <c r="BB69" s="36" t="n"/>
      <c r="BC69" s="36" t="n"/>
      <c r="BD69" s="36" t="n"/>
      <c r="BE69" s="36" t="n"/>
      <c r="BF69" s="36" t="n"/>
      <c r="BG69" s="36" t="n"/>
      <c r="BH69" s="36" t="n"/>
      <c r="BI69" s="36" t="n"/>
      <c r="BJ69" s="36" t="n"/>
      <c r="BK69" s="36" t="n"/>
      <c r="BL69" s="36" t="n"/>
      <c r="BM69" s="36" t="n"/>
      <c r="BN69" s="36" t="n"/>
      <c r="BO69" s="36" t="n"/>
      <c r="BP69" s="36" t="n"/>
      <c r="BQ69" s="36" t="n"/>
      <c r="BR69" s="36" t="n"/>
      <c r="BS69" s="36" t="n"/>
      <c r="BT69" s="36" t="n"/>
      <c r="BU69" s="36" t="n"/>
      <c r="BV69" s="36" t="n"/>
      <c r="BW69" s="36" t="n"/>
      <c r="BX69" s="36" t="n"/>
      <c r="BY69" s="36" t="n"/>
      <c r="BZ69" s="36" t="n"/>
      <c r="CA69" s="36" t="n"/>
      <c r="CB69" s="36" t="n"/>
      <c r="CC69" s="36" t="n"/>
      <c r="CD69" s="36" t="n"/>
      <c r="CE69" s="36" t="n"/>
      <c r="CF69" s="36" t="n"/>
    </row>
    <row r="70" hidden="1" outlineLevel="2">
      <c r="A70" s="44" t="inlineStr">
        <is>
          <t>T-3.02</t>
        </is>
      </c>
      <c r="B70" s="45" t="inlineStr">
        <is>
          <t>Firma de peticiones entre la plataforma y la API, con rechazo de firmas inválidas</t>
        </is>
      </c>
      <c r="C70" s="44" t="inlineStr">
        <is>
          <t>Tarea</t>
        </is>
      </c>
      <c r="D70" s="44" t="inlineStr">
        <is>
          <t>Alexssander</t>
        </is>
      </c>
      <c r="E70" s="46">
        <f>Tareas!H50</f>
        <v/>
      </c>
      <c r="F70" s="46">
        <f>Tareas!I50</f>
        <v/>
      </c>
      <c r="G70" s="44">
        <f>NETWORKDAYS(E70,F70,Feriados)</f>
        <v/>
      </c>
      <c r="H70" s="47">
        <f>Tareas!K50</f>
        <v/>
      </c>
      <c r="I70" s="44">
        <f>Tareas!J50</f>
        <v/>
      </c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6" t="n"/>
      <c r="AZ70" s="36" t="n"/>
      <c r="BA70" s="36" t="n"/>
      <c r="BB70" s="36" t="n"/>
      <c r="BC70" s="36" t="n"/>
      <c r="BD70" s="36" t="n"/>
      <c r="BE70" s="36" t="n"/>
      <c r="BF70" s="36" t="n"/>
      <c r="BG70" s="36" t="n"/>
      <c r="BH70" s="36" t="n"/>
      <c r="BI70" s="36" t="n"/>
      <c r="BJ70" s="36" t="n"/>
      <c r="BK70" s="36" t="n"/>
      <c r="BL70" s="36" t="n"/>
      <c r="BM70" s="36" t="n"/>
      <c r="BN70" s="36" t="n"/>
      <c r="BO70" s="36" t="n"/>
      <c r="BP70" s="36" t="n"/>
      <c r="BQ70" s="36" t="n"/>
      <c r="BR70" s="36" t="n"/>
      <c r="BS70" s="36" t="n"/>
      <c r="BT70" s="36" t="n"/>
      <c r="BU70" s="36" t="n"/>
      <c r="BV70" s="36" t="n"/>
      <c r="BW70" s="36" t="n"/>
      <c r="BX70" s="36" t="n"/>
      <c r="BY70" s="36" t="n"/>
      <c r="BZ70" s="36" t="n"/>
      <c r="CA70" s="36" t="n"/>
      <c r="CB70" s="36" t="n"/>
      <c r="CC70" s="36" t="n"/>
      <c r="CD70" s="36" t="n"/>
      <c r="CE70" s="36" t="n"/>
      <c r="CF70" s="36" t="n"/>
    </row>
    <row r="71" hidden="1" outlineLevel="2">
      <c r="A71" s="44" t="inlineStr">
        <is>
          <t>T-3.03</t>
        </is>
      </c>
      <c r="B71" s="45" t="inlineStr">
        <is>
          <t>Credenciales de conexión en variables de entorno</t>
        </is>
      </c>
      <c r="C71" s="44" t="inlineStr">
        <is>
          <t>Tarea</t>
        </is>
      </c>
      <c r="D71" s="44" t="inlineStr">
        <is>
          <t>Matías</t>
        </is>
      </c>
      <c r="E71" s="46">
        <f>Tareas!H51</f>
        <v/>
      </c>
      <c r="F71" s="46">
        <f>Tareas!I51</f>
        <v/>
      </c>
      <c r="G71" s="44">
        <f>NETWORKDAYS(E71,F71,Feriados)</f>
        <v/>
      </c>
      <c r="H71" s="47">
        <f>Tareas!K51</f>
        <v/>
      </c>
      <c r="I71" s="44">
        <f>Tareas!J51</f>
        <v/>
      </c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36" t="n"/>
      <c r="BE71" s="36" t="n"/>
      <c r="BF71" s="36" t="n"/>
      <c r="BG71" s="36" t="n"/>
      <c r="BH71" s="36" t="n"/>
      <c r="BI71" s="36" t="n"/>
      <c r="BJ71" s="36" t="n"/>
      <c r="BK71" s="36" t="n"/>
      <c r="BL71" s="36" t="n"/>
      <c r="BM71" s="36" t="n"/>
      <c r="BN71" s="36" t="n"/>
      <c r="BO71" s="36" t="n"/>
      <c r="BP71" s="36" t="n"/>
      <c r="BQ71" s="36" t="n"/>
      <c r="BR71" s="36" t="n"/>
      <c r="BS71" s="36" t="n"/>
      <c r="BT71" s="36" t="n"/>
      <c r="BU71" s="36" t="n"/>
      <c r="BV71" s="36" t="n"/>
      <c r="BW71" s="36" t="n"/>
      <c r="BX71" s="36" t="n"/>
      <c r="BY71" s="36" t="n"/>
      <c r="BZ71" s="36" t="n"/>
      <c r="CA71" s="36" t="n"/>
      <c r="CB71" s="36" t="n"/>
      <c r="CC71" s="36" t="n"/>
      <c r="CD71" s="36" t="n"/>
      <c r="CE71" s="36" t="n"/>
      <c r="CF71" s="36" t="n"/>
    </row>
    <row r="72" hidden="1" outlineLevel="2">
      <c r="A72" s="44" t="inlineStr">
        <is>
          <t>T-3.04</t>
        </is>
      </c>
      <c r="B72" s="45" t="inlineStr">
        <is>
          <t>Paginación, tiempo límite, reintentos y servicio simulado con datos ficticios</t>
        </is>
      </c>
      <c r="C72" s="44" t="inlineStr">
        <is>
          <t>Tarea</t>
        </is>
      </c>
      <c r="D72" s="44" t="inlineStr">
        <is>
          <t>Matías</t>
        </is>
      </c>
      <c r="E72" s="46">
        <f>Tareas!H52</f>
        <v/>
      </c>
      <c r="F72" s="46">
        <f>Tareas!I52</f>
        <v/>
      </c>
      <c r="G72" s="44">
        <f>NETWORKDAYS(E72,F72,Feriados)</f>
        <v/>
      </c>
      <c r="H72" s="47">
        <f>Tareas!K52</f>
        <v/>
      </c>
      <c r="I72" s="44">
        <f>Tareas!J52</f>
        <v/>
      </c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36" t="n"/>
      <c r="BE72" s="36" t="n"/>
      <c r="BF72" s="36" t="n"/>
      <c r="BG72" s="36" t="n"/>
      <c r="BH72" s="36" t="n"/>
      <c r="BI72" s="36" t="n"/>
      <c r="BJ72" s="36" t="n"/>
      <c r="BK72" s="36" t="n"/>
      <c r="BL72" s="36" t="n"/>
      <c r="BM72" s="36" t="n"/>
      <c r="BN72" s="36" t="n"/>
      <c r="BO72" s="36" t="n"/>
      <c r="BP72" s="36" t="n"/>
      <c r="BQ72" s="36" t="n"/>
      <c r="BR72" s="36" t="n"/>
      <c r="BS72" s="36" t="n"/>
      <c r="BT72" s="36" t="n"/>
      <c r="BU72" s="36" t="n"/>
      <c r="BV72" s="36" t="n"/>
      <c r="BW72" s="36" t="n"/>
      <c r="BX72" s="36" t="n"/>
      <c r="BY72" s="36" t="n"/>
      <c r="BZ72" s="36" t="n"/>
      <c r="CA72" s="36" t="n"/>
      <c r="CB72" s="36" t="n"/>
      <c r="CC72" s="36" t="n"/>
      <c r="CD72" s="36" t="n"/>
      <c r="CE72" s="36" t="n"/>
      <c r="CF72" s="36" t="n"/>
    </row>
    <row r="73" hidden="1" outlineLevel="2">
      <c r="A73" s="44" t="inlineStr">
        <is>
          <t>T-3.05</t>
        </is>
      </c>
      <c r="B73" s="45" t="inlineStr">
        <is>
          <t>Registro de consultas para medir la carga sobre el ERP</t>
        </is>
      </c>
      <c r="C73" s="44" t="inlineStr">
        <is>
          <t>Tarea</t>
        </is>
      </c>
      <c r="D73" s="44" t="inlineStr">
        <is>
          <t>Matías</t>
        </is>
      </c>
      <c r="E73" s="46">
        <f>Tareas!H53</f>
        <v/>
      </c>
      <c r="F73" s="46">
        <f>Tareas!I53</f>
        <v/>
      </c>
      <c r="G73" s="44">
        <f>NETWORKDAYS(E73,F73,Feriados)</f>
        <v/>
      </c>
      <c r="H73" s="47">
        <f>Tareas!K53</f>
        <v/>
      </c>
      <c r="I73" s="44">
        <f>Tareas!J53</f>
        <v/>
      </c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36" t="n"/>
      <c r="BE73" s="36" t="n"/>
      <c r="BF73" s="36" t="n"/>
      <c r="BG73" s="36" t="n"/>
      <c r="BH73" s="36" t="n"/>
      <c r="BI73" s="36" t="n"/>
      <c r="BJ73" s="36" t="n"/>
      <c r="BK73" s="36" t="n"/>
      <c r="BL73" s="36" t="n"/>
      <c r="BM73" s="36" t="n"/>
      <c r="BN73" s="36" t="n"/>
      <c r="BO73" s="36" t="n"/>
      <c r="BP73" s="36" t="n"/>
      <c r="BQ73" s="36" t="n"/>
      <c r="BR73" s="36" t="n"/>
      <c r="BS73" s="36" t="n"/>
      <c r="BT73" s="36" t="n"/>
      <c r="BU73" s="36" t="n"/>
      <c r="BV73" s="36" t="n"/>
      <c r="BW73" s="36" t="n"/>
      <c r="BX73" s="36" t="n"/>
      <c r="BY73" s="36" t="n"/>
      <c r="BZ73" s="36" t="n"/>
      <c r="CA73" s="36" t="n"/>
      <c r="CB73" s="36" t="n"/>
      <c r="CC73" s="36" t="n"/>
      <c r="CD73" s="36" t="n"/>
      <c r="CE73" s="36" t="n"/>
      <c r="CF73" s="36" t="n"/>
    </row>
    <row r="74" hidden="1" outlineLevel="2">
      <c r="A74" s="44" t="inlineStr">
        <is>
          <t>T-3.06</t>
        </is>
      </c>
      <c r="B74" s="45" t="inlineStr">
        <is>
          <t>Pruebas, medición de tiempos y ejecución de CP-055 a CP-058</t>
        </is>
      </c>
      <c r="C74" s="44" t="inlineStr">
        <is>
          <t>Tarea</t>
        </is>
      </c>
      <c r="D74" s="44" t="inlineStr">
        <is>
          <t>Matías</t>
        </is>
      </c>
      <c r="E74" s="46">
        <f>Tareas!H54</f>
        <v/>
      </c>
      <c r="F74" s="46">
        <f>Tareas!I54</f>
        <v/>
      </c>
      <c r="G74" s="44">
        <f>NETWORKDAYS(E74,F74,Feriados)</f>
        <v/>
      </c>
      <c r="H74" s="47">
        <f>Tareas!K54</f>
        <v/>
      </c>
      <c r="I74" s="44">
        <f>Tareas!J54</f>
        <v/>
      </c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36" t="n"/>
      <c r="BY74" s="36" t="n"/>
      <c r="BZ74" s="36" t="n"/>
      <c r="CA74" s="36" t="n"/>
      <c r="CB74" s="36" t="n"/>
      <c r="CC74" s="36" t="n"/>
      <c r="CD74" s="36" t="n"/>
      <c r="CE74" s="36" t="n"/>
      <c r="CF74" s="36" t="n"/>
    </row>
    <row r="75" outlineLevel="1">
      <c r="A75" s="11" t="inlineStr">
        <is>
          <t>HU-008</t>
        </is>
      </c>
      <c r="B75" s="42" t="inlineStr">
        <is>
          <t>Consultar productos, stock y clientes</t>
        </is>
      </c>
      <c r="C75" s="11" t="inlineStr">
        <is>
          <t>Historia</t>
        </is>
      </c>
      <c r="D75" s="11" t="inlineStr">
        <is>
          <t>Alexssander y Millaray</t>
        </is>
      </c>
      <c r="E75" s="43">
        <f>Historias!J14</f>
        <v/>
      </c>
      <c r="F75" s="43">
        <f>Historias!K14</f>
        <v/>
      </c>
      <c r="G75" s="11">
        <f>NETWORKDAYS(E75,F75,Feriados)</f>
        <v/>
      </c>
      <c r="H75" s="13">
        <f>Historias!N14</f>
        <v/>
      </c>
      <c r="I75" s="11">
        <f>Historias!P14</f>
        <v/>
      </c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6" t="n"/>
      <c r="BH75" s="36" t="n"/>
      <c r="BI75" s="36" t="n"/>
      <c r="BJ75" s="36" t="n"/>
      <c r="BK75" s="36" t="n"/>
      <c r="BL75" s="36" t="n"/>
      <c r="BM75" s="36" t="n"/>
      <c r="BN75" s="36" t="n"/>
      <c r="BO75" s="36" t="n"/>
      <c r="BP75" s="36" t="n"/>
      <c r="BQ75" s="36" t="n"/>
      <c r="BR75" s="36" t="n"/>
      <c r="BS75" s="36" t="n"/>
      <c r="BT75" s="36" t="n"/>
      <c r="BU75" s="36" t="n"/>
      <c r="BV75" s="36" t="n"/>
      <c r="BW75" s="36" t="n"/>
      <c r="BX75" s="36" t="n"/>
      <c r="BY75" s="36" t="n"/>
      <c r="BZ75" s="36" t="n"/>
      <c r="CA75" s="36" t="n"/>
      <c r="CB75" s="36" t="n"/>
      <c r="CC75" s="36" t="n"/>
      <c r="CD75" s="36" t="n"/>
      <c r="CE75" s="36" t="n"/>
      <c r="CF75" s="36" t="n"/>
    </row>
    <row r="76" hidden="1" outlineLevel="2">
      <c r="A76" s="44" t="inlineStr">
        <is>
          <t>T-3.07</t>
        </is>
      </c>
      <c r="B76" s="45" t="inlineStr">
        <is>
          <t>Cliente de la API en la plataforma para productos, stock y clientes de la empresa activa</t>
        </is>
      </c>
      <c r="C76" s="44" t="inlineStr">
        <is>
          <t>Tarea</t>
        </is>
      </c>
      <c r="D76" s="44" t="inlineStr">
        <is>
          <t>Alexssander</t>
        </is>
      </c>
      <c r="E76" s="46">
        <f>Tareas!H55</f>
        <v/>
      </c>
      <c r="F76" s="46">
        <f>Tareas!I55</f>
        <v/>
      </c>
      <c r="G76" s="44">
        <f>NETWORKDAYS(E76,F76,Feriados)</f>
        <v/>
      </c>
      <c r="H76" s="47">
        <f>Tareas!K55</f>
        <v/>
      </c>
      <c r="I76" s="44">
        <f>Tareas!J55</f>
        <v/>
      </c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36" t="n"/>
      <c r="BY76" s="36" t="n"/>
      <c r="BZ76" s="36" t="n"/>
      <c r="CA76" s="36" t="n"/>
      <c r="CB76" s="36" t="n"/>
      <c r="CC76" s="36" t="n"/>
      <c r="CD76" s="36" t="n"/>
      <c r="CE76" s="36" t="n"/>
      <c r="CF76" s="36" t="n"/>
    </row>
    <row r="77" hidden="1" outlineLevel="2">
      <c r="A77" s="44" t="inlineStr">
        <is>
          <t>T-3.08</t>
        </is>
      </c>
      <c r="B77" s="45" t="inlineStr">
        <is>
          <t>Pantallas de consulta de productos y stock</t>
        </is>
      </c>
      <c r="C77" s="44" t="inlineStr">
        <is>
          <t>Tarea</t>
        </is>
      </c>
      <c r="D77" s="44" t="inlineStr">
        <is>
          <t>Millaray</t>
        </is>
      </c>
      <c r="E77" s="46">
        <f>Tareas!H56</f>
        <v/>
      </c>
      <c r="F77" s="46">
        <f>Tareas!I56</f>
        <v/>
      </c>
      <c r="G77" s="44">
        <f>NETWORKDAYS(E77,F77,Feriados)</f>
        <v/>
      </c>
      <c r="H77" s="47">
        <f>Tareas!K56</f>
        <v/>
      </c>
      <c r="I77" s="44">
        <f>Tareas!J56</f>
        <v/>
      </c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36" t="n"/>
      <c r="BE77" s="36" t="n"/>
      <c r="BF77" s="36" t="n"/>
      <c r="BG77" s="36" t="n"/>
      <c r="BH77" s="36" t="n"/>
      <c r="BI77" s="36" t="n"/>
      <c r="BJ77" s="36" t="n"/>
      <c r="BK77" s="36" t="n"/>
      <c r="BL77" s="36" t="n"/>
      <c r="BM77" s="36" t="n"/>
      <c r="BN77" s="36" t="n"/>
      <c r="BO77" s="36" t="n"/>
      <c r="BP77" s="36" t="n"/>
      <c r="BQ77" s="36" t="n"/>
      <c r="BR77" s="36" t="n"/>
      <c r="BS77" s="36" t="n"/>
      <c r="BT77" s="36" t="n"/>
      <c r="BU77" s="36" t="n"/>
      <c r="BV77" s="36" t="n"/>
      <c r="BW77" s="36" t="n"/>
      <c r="BX77" s="36" t="n"/>
      <c r="BY77" s="36" t="n"/>
      <c r="BZ77" s="36" t="n"/>
      <c r="CA77" s="36" t="n"/>
      <c r="CB77" s="36" t="n"/>
      <c r="CC77" s="36" t="n"/>
      <c r="CD77" s="36" t="n"/>
      <c r="CE77" s="36" t="n"/>
      <c r="CF77" s="36" t="n"/>
    </row>
    <row r="78" hidden="1" outlineLevel="2">
      <c r="A78" s="44" t="inlineStr">
        <is>
          <t>T-3.09</t>
        </is>
      </c>
      <c r="B78" s="45" t="inlineStr">
        <is>
          <t>Consulta de clientes con crédito y bloqueo, según la cartera del vendedor o asistente</t>
        </is>
      </c>
      <c r="C78" s="44" t="inlineStr">
        <is>
          <t>Tarea</t>
        </is>
      </c>
      <c r="D78" s="44" t="inlineStr">
        <is>
          <t>Millaray</t>
        </is>
      </c>
      <c r="E78" s="46">
        <f>Tareas!H57</f>
        <v/>
      </c>
      <c r="F78" s="46">
        <f>Tareas!I57</f>
        <v/>
      </c>
      <c r="G78" s="44">
        <f>NETWORKDAYS(E78,F78,Feriados)</f>
        <v/>
      </c>
      <c r="H78" s="47">
        <f>Tareas!K57</f>
        <v/>
      </c>
      <c r="I78" s="44">
        <f>Tareas!J57</f>
        <v/>
      </c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36" t="n"/>
      <c r="CA78" s="36" t="n"/>
      <c r="CB78" s="36" t="n"/>
      <c r="CC78" s="36" t="n"/>
      <c r="CD78" s="36" t="n"/>
      <c r="CE78" s="36" t="n"/>
      <c r="CF78" s="36" t="n"/>
    </row>
    <row r="79" hidden="1" outlineLevel="2">
      <c r="A79" s="44" t="inlineStr">
        <is>
          <t>T-3.10</t>
        </is>
      </c>
      <c r="B79" s="45" t="inlineStr">
        <is>
          <t>Indicador visible de cliente bloqueado</t>
        </is>
      </c>
      <c r="C79" s="44" t="inlineStr">
        <is>
          <t>Tarea</t>
        </is>
      </c>
      <c r="D79" s="44" t="inlineStr">
        <is>
          <t>Millaray</t>
        </is>
      </c>
      <c r="E79" s="46">
        <f>Tareas!H58</f>
        <v/>
      </c>
      <c r="F79" s="46">
        <f>Tareas!I58</f>
        <v/>
      </c>
      <c r="G79" s="44">
        <f>NETWORKDAYS(E79,F79,Feriados)</f>
        <v/>
      </c>
      <c r="H79" s="47">
        <f>Tareas!K58</f>
        <v/>
      </c>
      <c r="I79" s="44">
        <f>Tareas!J58</f>
        <v/>
      </c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36" t="n"/>
      <c r="BY79" s="36" t="n"/>
      <c r="BZ79" s="36" t="n"/>
      <c r="CA79" s="36" t="n"/>
      <c r="CB79" s="36" t="n"/>
      <c r="CC79" s="36" t="n"/>
      <c r="CD79" s="36" t="n"/>
      <c r="CE79" s="36" t="n"/>
      <c r="CF79" s="36" t="n"/>
    </row>
    <row r="80" hidden="1" outlineLevel="2">
      <c r="A80" s="44" t="inlineStr">
        <is>
          <t>T-3.11</t>
        </is>
      </c>
      <c r="B80" s="45" t="inlineStr">
        <is>
          <t>Pruebas automatizadas y ejecución de CP-027 a CP-030</t>
        </is>
      </c>
      <c r="C80" s="44" t="inlineStr">
        <is>
          <t>Tarea</t>
        </is>
      </c>
      <c r="D80" s="44" t="inlineStr">
        <is>
          <t>Matías</t>
        </is>
      </c>
      <c r="E80" s="46">
        <f>Tareas!H59</f>
        <v/>
      </c>
      <c r="F80" s="46">
        <f>Tareas!I59</f>
        <v/>
      </c>
      <c r="G80" s="44">
        <f>NETWORKDAYS(E80,F80,Feriados)</f>
        <v/>
      </c>
      <c r="H80" s="47">
        <f>Tareas!K59</f>
        <v/>
      </c>
      <c r="I80" s="44">
        <f>Tareas!J59</f>
        <v/>
      </c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36" t="n"/>
      <c r="BE80" s="36" t="n"/>
      <c r="BF80" s="36" t="n"/>
      <c r="BG80" s="36" t="n"/>
      <c r="BH80" s="36" t="n"/>
      <c r="BI80" s="36" t="n"/>
      <c r="BJ80" s="36" t="n"/>
      <c r="BK80" s="36" t="n"/>
      <c r="BL80" s="36" t="n"/>
      <c r="BM80" s="36" t="n"/>
      <c r="BN80" s="36" t="n"/>
      <c r="BO80" s="36" t="n"/>
      <c r="BP80" s="36" t="n"/>
      <c r="BQ80" s="36" t="n"/>
      <c r="BR80" s="36" t="n"/>
      <c r="BS80" s="36" t="n"/>
      <c r="BT80" s="36" t="n"/>
      <c r="BU80" s="36" t="n"/>
      <c r="BV80" s="36" t="n"/>
      <c r="BW80" s="36" t="n"/>
      <c r="BX80" s="36" t="n"/>
      <c r="BY80" s="36" t="n"/>
      <c r="BZ80" s="36" t="n"/>
      <c r="CA80" s="36" t="n"/>
      <c r="CB80" s="36" t="n"/>
      <c r="CC80" s="36" t="n"/>
      <c r="CD80" s="36" t="n"/>
      <c r="CE80" s="36" t="n"/>
      <c r="CF80" s="36" t="n"/>
    </row>
    <row r="81" outlineLevel="1">
      <c r="A81" s="11" t="inlineStr">
        <is>
          <t>HU-009</t>
        </is>
      </c>
      <c r="B81" s="42" t="inlineStr">
        <is>
          <t>Crear y administrar cotizaciones</t>
        </is>
      </c>
      <c r="C81" s="11" t="inlineStr">
        <is>
          <t>Historia</t>
        </is>
      </c>
      <c r="D81" s="11" t="inlineStr">
        <is>
          <t>Millaray y Alexssander</t>
        </is>
      </c>
      <c r="E81" s="43">
        <f>Historias!J15</f>
        <v/>
      </c>
      <c r="F81" s="43">
        <f>Historias!K15</f>
        <v/>
      </c>
      <c r="G81" s="11">
        <f>NETWORKDAYS(E81,F81,Feriados)</f>
        <v/>
      </c>
      <c r="H81" s="13">
        <f>Historias!N15</f>
        <v/>
      </c>
      <c r="I81" s="11">
        <f>Historias!P15</f>
        <v/>
      </c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36" t="n"/>
      <c r="BE81" s="36" t="n"/>
      <c r="BF81" s="36" t="n"/>
      <c r="BG81" s="36" t="n"/>
      <c r="BH81" s="36" t="n"/>
      <c r="BI81" s="36" t="n"/>
      <c r="BJ81" s="36" t="n"/>
      <c r="BK81" s="36" t="n"/>
      <c r="BL81" s="36" t="n"/>
      <c r="BM81" s="36" t="n"/>
      <c r="BN81" s="36" t="n"/>
      <c r="BO81" s="36" t="n"/>
      <c r="BP81" s="36" t="n"/>
      <c r="BQ81" s="36" t="n"/>
      <c r="BR81" s="36" t="n"/>
      <c r="BS81" s="36" t="n"/>
      <c r="BT81" s="36" t="n"/>
      <c r="BU81" s="36" t="n"/>
      <c r="BV81" s="36" t="n"/>
      <c r="BW81" s="36" t="n"/>
      <c r="BX81" s="36" t="n"/>
      <c r="BY81" s="36" t="n"/>
      <c r="BZ81" s="36" t="n"/>
      <c r="CA81" s="36" t="n"/>
      <c r="CB81" s="36" t="n"/>
      <c r="CC81" s="36" t="n"/>
      <c r="CD81" s="36" t="n"/>
      <c r="CE81" s="36" t="n"/>
      <c r="CF81" s="36" t="n"/>
    </row>
    <row r="82" hidden="1" outlineLevel="2">
      <c r="A82" s="44" t="inlineStr">
        <is>
          <t>T-3.12</t>
        </is>
      </c>
      <c r="B82" s="45" t="inlineStr">
        <is>
          <t>Modelos de cotización y líneas, con sus migraciones</t>
        </is>
      </c>
      <c r="C82" s="44" t="inlineStr">
        <is>
          <t>Tarea</t>
        </is>
      </c>
      <c r="D82" s="44" t="inlineStr">
        <is>
          <t>Alexssander</t>
        </is>
      </c>
      <c r="E82" s="46">
        <f>Tareas!H60</f>
        <v/>
      </c>
      <c r="F82" s="46">
        <f>Tareas!I60</f>
        <v/>
      </c>
      <c r="G82" s="44">
        <f>NETWORKDAYS(E82,F82,Feriados)</f>
        <v/>
      </c>
      <c r="H82" s="47">
        <f>Tareas!K60</f>
        <v/>
      </c>
      <c r="I82" s="44">
        <f>Tareas!J60</f>
        <v/>
      </c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36" t="n"/>
      <c r="BZ82" s="36" t="n"/>
      <c r="CA82" s="36" t="n"/>
      <c r="CB82" s="36" t="n"/>
      <c r="CC82" s="36" t="n"/>
      <c r="CD82" s="36" t="n"/>
      <c r="CE82" s="36" t="n"/>
      <c r="CF82" s="36" t="n"/>
    </row>
    <row r="83" hidden="1" outlineLevel="2">
      <c r="A83" s="44" t="inlineStr">
        <is>
          <t>T-3.13</t>
        </is>
      </c>
      <c r="B83" s="45" t="inlineStr">
        <is>
          <t>Formulario de cotización con validación de cliente y líneas</t>
        </is>
      </c>
      <c r="C83" s="44" t="inlineStr">
        <is>
          <t>Tarea</t>
        </is>
      </c>
      <c r="D83" s="44" t="inlineStr">
        <is>
          <t>Millaray</t>
        </is>
      </c>
      <c r="E83" s="46">
        <f>Tareas!H61</f>
        <v/>
      </c>
      <c r="F83" s="46">
        <f>Tareas!I61</f>
        <v/>
      </c>
      <c r="G83" s="44">
        <f>NETWORKDAYS(E83,F83,Feriados)</f>
        <v/>
      </c>
      <c r="H83" s="47">
        <f>Tareas!K61</f>
        <v/>
      </c>
      <c r="I83" s="44">
        <f>Tareas!J61</f>
        <v/>
      </c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36" t="n"/>
      <c r="BE83" s="36" t="n"/>
      <c r="BF83" s="36" t="n"/>
      <c r="BG83" s="36" t="n"/>
      <c r="BH83" s="36" t="n"/>
      <c r="BI83" s="36" t="n"/>
      <c r="BJ83" s="36" t="n"/>
      <c r="BK83" s="36" t="n"/>
      <c r="BL83" s="36" t="n"/>
      <c r="BM83" s="36" t="n"/>
      <c r="BN83" s="36" t="n"/>
      <c r="BO83" s="36" t="n"/>
      <c r="BP83" s="36" t="n"/>
      <c r="BQ83" s="36" t="n"/>
      <c r="BR83" s="36" t="n"/>
      <c r="BS83" s="36" t="n"/>
      <c r="BT83" s="36" t="n"/>
      <c r="BU83" s="36" t="n"/>
      <c r="BV83" s="36" t="n"/>
      <c r="BW83" s="36" t="n"/>
      <c r="BX83" s="36" t="n"/>
      <c r="BY83" s="36" t="n"/>
      <c r="BZ83" s="36" t="n"/>
      <c r="CA83" s="36" t="n"/>
      <c r="CB83" s="36" t="n"/>
      <c r="CC83" s="36" t="n"/>
      <c r="CD83" s="36" t="n"/>
      <c r="CE83" s="36" t="n"/>
      <c r="CF83" s="36" t="n"/>
    </row>
    <row r="84" hidden="1" outlineLevel="2">
      <c r="A84" s="44" t="inlineStr">
        <is>
          <t>T-3.14</t>
        </is>
      </c>
      <c r="B84" s="45" t="inlineStr">
        <is>
          <t>Selección de SlpCode por el asistente y registro de creador y vendedor</t>
        </is>
      </c>
      <c r="C84" s="44" t="inlineStr">
        <is>
          <t>Tarea</t>
        </is>
      </c>
      <c r="D84" s="44" t="inlineStr">
        <is>
          <t>Alexssander</t>
        </is>
      </c>
      <c r="E84" s="46">
        <f>Tareas!H62</f>
        <v/>
      </c>
      <c r="F84" s="46">
        <f>Tareas!I62</f>
        <v/>
      </c>
      <c r="G84" s="44">
        <f>NETWORKDAYS(E84,F84,Feriados)</f>
        <v/>
      </c>
      <c r="H84" s="47">
        <f>Tareas!K62</f>
        <v/>
      </c>
      <c r="I84" s="44">
        <f>Tareas!J62</f>
        <v/>
      </c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36" t="n"/>
      <c r="BE84" s="36" t="n"/>
      <c r="BF84" s="36" t="n"/>
      <c r="BG84" s="36" t="n"/>
      <c r="BH84" s="36" t="n"/>
      <c r="BI84" s="36" t="n"/>
      <c r="BJ84" s="36" t="n"/>
      <c r="BK84" s="36" t="n"/>
      <c r="BL84" s="36" t="n"/>
      <c r="BM84" s="36" t="n"/>
      <c r="BN84" s="36" t="n"/>
      <c r="BO84" s="36" t="n"/>
      <c r="BP84" s="36" t="n"/>
      <c r="BQ84" s="36" t="n"/>
      <c r="BR84" s="36" t="n"/>
      <c r="BS84" s="36" t="n"/>
      <c r="BT84" s="36" t="n"/>
      <c r="BU84" s="36" t="n"/>
      <c r="BV84" s="36" t="n"/>
      <c r="BW84" s="36" t="n"/>
      <c r="BX84" s="36" t="n"/>
      <c r="BY84" s="36" t="n"/>
      <c r="BZ84" s="36" t="n"/>
      <c r="CA84" s="36" t="n"/>
      <c r="CB84" s="36" t="n"/>
      <c r="CC84" s="36" t="n"/>
      <c r="CD84" s="36" t="n"/>
      <c r="CE84" s="36" t="n"/>
      <c r="CF84" s="36" t="n"/>
    </row>
    <row r="85" hidden="1" outlineLevel="2">
      <c r="A85" s="44" t="inlineStr">
        <is>
          <t>T-3.15</t>
        </is>
      </c>
      <c r="B85" s="45" t="inlineStr">
        <is>
          <t>Cálculo de la comisión con la escala del vendedor o la predeterminada</t>
        </is>
      </c>
      <c r="C85" s="44" t="inlineStr">
        <is>
          <t>Tarea</t>
        </is>
      </c>
      <c r="D85" s="44" t="inlineStr">
        <is>
          <t>Alexssander</t>
        </is>
      </c>
      <c r="E85" s="46">
        <f>Tareas!H63</f>
        <v/>
      </c>
      <c r="F85" s="46">
        <f>Tareas!I63</f>
        <v/>
      </c>
      <c r="G85" s="44">
        <f>NETWORKDAYS(E85,F85,Feriados)</f>
        <v/>
      </c>
      <c r="H85" s="47">
        <f>Tareas!K63</f>
        <v/>
      </c>
      <c r="I85" s="44">
        <f>Tareas!J63</f>
        <v/>
      </c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6" t="n"/>
      <c r="BH85" s="36" t="n"/>
      <c r="BI85" s="36" t="n"/>
      <c r="BJ85" s="36" t="n"/>
      <c r="BK85" s="36" t="n"/>
      <c r="BL85" s="36" t="n"/>
      <c r="BM85" s="36" t="n"/>
      <c r="BN85" s="36" t="n"/>
      <c r="BO85" s="36" t="n"/>
      <c r="BP85" s="36" t="n"/>
      <c r="BQ85" s="36" t="n"/>
      <c r="BR85" s="36" t="n"/>
      <c r="BS85" s="36" t="n"/>
      <c r="BT85" s="36" t="n"/>
      <c r="BU85" s="36" t="n"/>
      <c r="BV85" s="36" t="n"/>
      <c r="BW85" s="36" t="n"/>
      <c r="BX85" s="36" t="n"/>
      <c r="BY85" s="36" t="n"/>
      <c r="BZ85" s="36" t="n"/>
      <c r="CA85" s="36" t="n"/>
      <c r="CB85" s="36" t="n"/>
      <c r="CC85" s="36" t="n"/>
      <c r="CD85" s="36" t="n"/>
      <c r="CE85" s="36" t="n"/>
      <c r="CF85" s="36" t="n"/>
    </row>
    <row r="86" hidden="1" outlineLevel="2">
      <c r="A86" s="44" t="inlineStr">
        <is>
          <t>T-3.16</t>
        </is>
      </c>
      <c r="B86" s="45" t="inlineStr">
        <is>
          <t>Pruebas automatizadas y ejecución de CP-031 a CP-034</t>
        </is>
      </c>
      <c r="C86" s="44" t="inlineStr">
        <is>
          <t>Tarea</t>
        </is>
      </c>
      <c r="D86" s="44" t="inlineStr">
        <is>
          <t>Matías</t>
        </is>
      </c>
      <c r="E86" s="46">
        <f>Tareas!H64</f>
        <v/>
      </c>
      <c r="F86" s="46">
        <f>Tareas!I64</f>
        <v/>
      </c>
      <c r="G86" s="44">
        <f>NETWORKDAYS(E86,F86,Feriados)</f>
        <v/>
      </c>
      <c r="H86" s="47">
        <f>Tareas!K64</f>
        <v/>
      </c>
      <c r="I86" s="44">
        <f>Tareas!J64</f>
        <v/>
      </c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6" t="n"/>
      <c r="AZ86" s="36" t="n"/>
      <c r="BA86" s="36" t="n"/>
      <c r="BB86" s="36" t="n"/>
      <c r="BC86" s="36" t="n"/>
      <c r="BD86" s="36" t="n"/>
      <c r="BE86" s="36" t="n"/>
      <c r="BF86" s="36" t="n"/>
      <c r="BG86" s="36" t="n"/>
      <c r="BH86" s="36" t="n"/>
      <c r="BI86" s="36" t="n"/>
      <c r="BJ86" s="36" t="n"/>
      <c r="BK86" s="36" t="n"/>
      <c r="BL86" s="36" t="n"/>
      <c r="BM86" s="36" t="n"/>
      <c r="BN86" s="36" t="n"/>
      <c r="BO86" s="36" t="n"/>
      <c r="BP86" s="36" t="n"/>
      <c r="BQ86" s="36" t="n"/>
      <c r="BR86" s="36" t="n"/>
      <c r="BS86" s="36" t="n"/>
      <c r="BT86" s="36" t="n"/>
      <c r="BU86" s="36" t="n"/>
      <c r="BV86" s="36" t="n"/>
      <c r="BW86" s="36" t="n"/>
      <c r="BX86" s="36" t="n"/>
      <c r="BY86" s="36" t="n"/>
      <c r="BZ86" s="36" t="n"/>
      <c r="CA86" s="36" t="n"/>
      <c r="CB86" s="36" t="n"/>
      <c r="CC86" s="36" t="n"/>
      <c r="CD86" s="36" t="n"/>
      <c r="CE86" s="36" t="n"/>
      <c r="CF86" s="36" t="n"/>
    </row>
    <row r="87" outlineLevel="1">
      <c r="A87" s="11" t="inlineStr">
        <is>
          <t>HU-013</t>
        </is>
      </c>
      <c r="B87" s="42" t="inlineStr">
        <is>
          <t>Informar cambios de estado al solicitante</t>
        </is>
      </c>
      <c r="C87" s="11" t="inlineStr">
        <is>
          <t>Historia</t>
        </is>
      </c>
      <c r="D87" s="11" t="inlineStr">
        <is>
          <t>Millaray y Matías</t>
        </is>
      </c>
      <c r="E87" s="43">
        <f>Historias!J16</f>
        <v/>
      </c>
      <c r="F87" s="43">
        <f>Historias!K16</f>
        <v/>
      </c>
      <c r="G87" s="11">
        <f>NETWORKDAYS(E87,F87,Feriados)</f>
        <v/>
      </c>
      <c r="H87" s="13">
        <f>Historias!N16</f>
        <v/>
      </c>
      <c r="I87" s="11">
        <f>Historias!P16</f>
        <v/>
      </c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6" t="n"/>
      <c r="BZ87" s="36" t="n"/>
      <c r="CA87" s="36" t="n"/>
      <c r="CB87" s="36" t="n"/>
      <c r="CC87" s="36" t="n"/>
      <c r="CD87" s="36" t="n"/>
      <c r="CE87" s="36" t="n"/>
      <c r="CF87" s="36" t="n"/>
    </row>
    <row r="88" hidden="1" outlineLevel="2">
      <c r="A88" s="44" t="inlineStr">
        <is>
          <t>T-3.17</t>
        </is>
      </c>
      <c r="B88" s="45" t="inlineStr">
        <is>
          <t>Notificaciones al participante ante aprobaciones, rechazos, observaciones y cambios de estado</t>
        </is>
      </c>
      <c r="C88" s="44" t="inlineStr">
        <is>
          <t>Tarea</t>
        </is>
      </c>
      <c r="D88" s="44" t="inlineStr">
        <is>
          <t>Matías</t>
        </is>
      </c>
      <c r="E88" s="46">
        <f>Tareas!H65</f>
        <v/>
      </c>
      <c r="F88" s="46">
        <f>Tareas!I65</f>
        <v/>
      </c>
      <c r="G88" s="44">
        <f>NETWORKDAYS(E88,F88,Feriados)</f>
        <v/>
      </c>
      <c r="H88" s="47">
        <f>Tareas!K65</f>
        <v/>
      </c>
      <c r="I88" s="44">
        <f>Tareas!J65</f>
        <v/>
      </c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36" t="n"/>
      <c r="BE88" s="36" t="n"/>
      <c r="BF88" s="36" t="n"/>
      <c r="BG88" s="36" t="n"/>
      <c r="BH88" s="36" t="n"/>
      <c r="BI88" s="36" t="n"/>
      <c r="BJ88" s="36" t="n"/>
      <c r="BK88" s="36" t="n"/>
      <c r="BL88" s="36" t="n"/>
      <c r="BM88" s="36" t="n"/>
      <c r="BN88" s="36" t="n"/>
      <c r="BO88" s="36" t="n"/>
      <c r="BP88" s="36" t="n"/>
      <c r="BQ88" s="36" t="n"/>
      <c r="BR88" s="36" t="n"/>
      <c r="BS88" s="36" t="n"/>
      <c r="BT88" s="36" t="n"/>
      <c r="BU88" s="36" t="n"/>
      <c r="BV88" s="36" t="n"/>
      <c r="BW88" s="36" t="n"/>
      <c r="BX88" s="36" t="n"/>
      <c r="BY88" s="36" t="n"/>
      <c r="BZ88" s="36" t="n"/>
      <c r="CA88" s="36" t="n"/>
      <c r="CB88" s="36" t="n"/>
      <c r="CC88" s="36" t="n"/>
      <c r="CD88" s="36" t="n"/>
      <c r="CE88" s="36" t="n"/>
      <c r="CF88" s="36" t="n"/>
    </row>
    <row r="89" hidden="1" outlineLevel="2">
      <c r="A89" s="44" t="inlineStr">
        <is>
          <t>T-3.18</t>
        </is>
      </c>
      <c r="B89" s="45" t="inlineStr">
        <is>
          <t>Campana de autorizaciones de órdenes de venta</t>
        </is>
      </c>
      <c r="C89" s="44" t="inlineStr">
        <is>
          <t>Tarea</t>
        </is>
      </c>
      <c r="D89" s="44" t="inlineStr">
        <is>
          <t>Millaray</t>
        </is>
      </c>
      <c r="E89" s="46">
        <f>Tareas!H66</f>
        <v/>
      </c>
      <c r="F89" s="46">
        <f>Tareas!I66</f>
        <v/>
      </c>
      <c r="G89" s="44">
        <f>NETWORKDAYS(E89,F89,Feriados)</f>
        <v/>
      </c>
      <c r="H89" s="47">
        <f>Tareas!K66</f>
        <v/>
      </c>
      <c r="I89" s="44">
        <f>Tareas!J66</f>
        <v/>
      </c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36" t="n"/>
      <c r="BE89" s="36" t="n"/>
      <c r="BF89" s="36" t="n"/>
      <c r="BG89" s="36" t="n"/>
      <c r="BH89" s="36" t="n"/>
      <c r="BI89" s="36" t="n"/>
      <c r="BJ89" s="36" t="n"/>
      <c r="BK89" s="36" t="n"/>
      <c r="BL89" s="36" t="n"/>
      <c r="BM89" s="36" t="n"/>
      <c r="BN89" s="36" t="n"/>
      <c r="BO89" s="36" t="n"/>
      <c r="BP89" s="36" t="n"/>
      <c r="BQ89" s="36" t="n"/>
      <c r="BR89" s="36" t="n"/>
      <c r="BS89" s="36" t="n"/>
      <c r="BT89" s="36" t="n"/>
      <c r="BU89" s="36" t="n"/>
      <c r="BV89" s="36" t="n"/>
      <c r="BW89" s="36" t="n"/>
      <c r="BX89" s="36" t="n"/>
      <c r="BY89" s="36" t="n"/>
      <c r="BZ89" s="36" t="n"/>
      <c r="CA89" s="36" t="n"/>
      <c r="CB89" s="36" t="n"/>
      <c r="CC89" s="36" t="n"/>
      <c r="CD89" s="36" t="n"/>
      <c r="CE89" s="36" t="n"/>
      <c r="CF89" s="36" t="n"/>
    </row>
    <row r="90" hidden="1" outlineLevel="2">
      <c r="A90" s="44" t="inlineStr">
        <is>
          <t>T-3.19</t>
        </is>
      </c>
      <c r="B90" s="45" t="inlineStr">
        <is>
          <t>Página de notificaciones: abrir, marcar como leída, marcar todas y eliminar, con fecha de lectura</t>
        </is>
      </c>
      <c r="C90" s="44" t="inlineStr">
        <is>
          <t>Tarea</t>
        </is>
      </c>
      <c r="D90" s="44" t="inlineStr">
        <is>
          <t>Millaray</t>
        </is>
      </c>
      <c r="E90" s="46">
        <f>Tareas!H67</f>
        <v/>
      </c>
      <c r="F90" s="46">
        <f>Tareas!I67</f>
        <v/>
      </c>
      <c r="G90" s="44">
        <f>NETWORKDAYS(E90,F90,Feriados)</f>
        <v/>
      </c>
      <c r="H90" s="47">
        <f>Tareas!K67</f>
        <v/>
      </c>
      <c r="I90" s="44">
        <f>Tareas!J67</f>
        <v/>
      </c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6" t="n"/>
      <c r="AZ90" s="36" t="n"/>
      <c r="BA90" s="36" t="n"/>
      <c r="BB90" s="36" t="n"/>
      <c r="BC90" s="36" t="n"/>
      <c r="BD90" s="36" t="n"/>
      <c r="BE90" s="36" t="n"/>
      <c r="BF90" s="36" t="n"/>
      <c r="BG90" s="36" t="n"/>
      <c r="BH90" s="36" t="n"/>
      <c r="BI90" s="36" t="n"/>
      <c r="BJ90" s="36" t="n"/>
      <c r="BK90" s="36" t="n"/>
      <c r="BL90" s="36" t="n"/>
      <c r="BM90" s="36" t="n"/>
      <c r="BN90" s="36" t="n"/>
      <c r="BO90" s="36" t="n"/>
      <c r="BP90" s="36" t="n"/>
      <c r="BQ90" s="36" t="n"/>
      <c r="BR90" s="36" t="n"/>
      <c r="BS90" s="36" t="n"/>
      <c r="BT90" s="36" t="n"/>
      <c r="BU90" s="36" t="n"/>
      <c r="BV90" s="36" t="n"/>
      <c r="BW90" s="36" t="n"/>
      <c r="BX90" s="36" t="n"/>
      <c r="BY90" s="36" t="n"/>
      <c r="BZ90" s="36" t="n"/>
      <c r="CA90" s="36" t="n"/>
      <c r="CB90" s="36" t="n"/>
      <c r="CC90" s="36" t="n"/>
      <c r="CD90" s="36" t="n"/>
      <c r="CE90" s="36" t="n"/>
      <c r="CF90" s="36" t="n"/>
    </row>
    <row r="91" hidden="1" outlineLevel="2">
      <c r="A91" s="44" t="inlineStr">
        <is>
          <t>T-3.20</t>
        </is>
      </c>
      <c r="B91" s="45" t="inlineStr">
        <is>
          <t>Pruebas automatizadas y ejecución de CP-047 a CP-050</t>
        </is>
      </c>
      <c r="C91" s="44" t="inlineStr">
        <is>
          <t>Tarea</t>
        </is>
      </c>
      <c r="D91" s="44" t="inlineStr">
        <is>
          <t>Alexssander</t>
        </is>
      </c>
      <c r="E91" s="46">
        <f>Tareas!H68</f>
        <v/>
      </c>
      <c r="F91" s="46">
        <f>Tareas!I68</f>
        <v/>
      </c>
      <c r="G91" s="44">
        <f>NETWORKDAYS(E91,F91,Feriados)</f>
        <v/>
      </c>
      <c r="H91" s="47">
        <f>Tareas!K68</f>
        <v/>
      </c>
      <c r="I91" s="44">
        <f>Tareas!J68</f>
        <v/>
      </c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6" t="n"/>
      <c r="AZ91" s="36" t="n"/>
      <c r="BA91" s="36" t="n"/>
      <c r="BB91" s="36" t="n"/>
      <c r="BC91" s="36" t="n"/>
      <c r="BD91" s="36" t="n"/>
      <c r="BE91" s="36" t="n"/>
      <c r="BF91" s="36" t="n"/>
      <c r="BG91" s="36" t="n"/>
      <c r="BH91" s="36" t="n"/>
      <c r="BI91" s="36" t="n"/>
      <c r="BJ91" s="36" t="n"/>
      <c r="BK91" s="36" t="n"/>
      <c r="BL91" s="36" t="n"/>
      <c r="BM91" s="36" t="n"/>
      <c r="BN91" s="36" t="n"/>
      <c r="BO91" s="36" t="n"/>
      <c r="BP91" s="36" t="n"/>
      <c r="BQ91" s="36" t="n"/>
      <c r="BR91" s="36" t="n"/>
      <c r="BS91" s="36" t="n"/>
      <c r="BT91" s="36" t="n"/>
      <c r="BU91" s="36" t="n"/>
      <c r="BV91" s="36" t="n"/>
      <c r="BW91" s="36" t="n"/>
      <c r="BX91" s="36" t="n"/>
      <c r="BY91" s="36" t="n"/>
      <c r="BZ91" s="36" t="n"/>
      <c r="CA91" s="36" t="n"/>
      <c r="CB91" s="36" t="n"/>
      <c r="CC91" s="36" t="n"/>
      <c r="CD91" s="36" t="n"/>
      <c r="CE91" s="36" t="n"/>
      <c r="CF91" s="36" t="n"/>
    </row>
    <row r="92" outlineLevel="1">
      <c r="A92" s="11" t="inlineStr"/>
      <c r="B92" s="42" t="inlineStr">
        <is>
          <t>Tareas transversales del sprint</t>
        </is>
      </c>
      <c r="C92" s="11" t="inlineStr">
        <is>
          <t>Historia</t>
        </is>
      </c>
      <c r="D92" s="11" t="inlineStr">
        <is>
          <t>Scrum Team</t>
        </is>
      </c>
      <c r="E92" s="43">
        <f>_xlfn.MINIFS(Tareas!$H:$H,Tareas!$B:$B,"Sprint 3",Tareas!$C:$C,"Transversal")</f>
        <v/>
      </c>
      <c r="F92" s="43">
        <f>_xlfn.MAXIFS(Tareas!$I:$I,Tareas!$B:$B,"Sprint 3",Tareas!$C:$C,"Transversal")</f>
        <v/>
      </c>
      <c r="G92" s="11">
        <f>NETWORKDAYS(E92,F92,Feriados)</f>
        <v/>
      </c>
      <c r="H92" s="13">
        <f>IFERROR(SUMIFS(Tareas!$L:$L,Tareas!$B:$B,"Sprint 3",Tareas!$C:$C,"Transversal")/SUMIFS(Tareas!$F:$F,Tareas!$B:$B,"Sprint 3",Tareas!$C:$C,"Transversal"),0)</f>
        <v/>
      </c>
      <c r="I92" s="11" t="inlineStr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36" t="n"/>
      <c r="BE92" s="36" t="n"/>
      <c r="BF92" s="36" t="n"/>
      <c r="BG92" s="36" t="n"/>
      <c r="BH92" s="36" t="n"/>
      <c r="BI92" s="36" t="n"/>
      <c r="BJ92" s="36" t="n"/>
      <c r="BK92" s="36" t="n"/>
      <c r="BL92" s="36" t="n"/>
      <c r="BM92" s="36" t="n"/>
      <c r="BN92" s="36" t="n"/>
      <c r="BO92" s="36" t="n"/>
      <c r="BP92" s="36" t="n"/>
      <c r="BQ92" s="36" t="n"/>
      <c r="BR92" s="36" t="n"/>
      <c r="BS92" s="36" t="n"/>
      <c r="BT92" s="36" t="n"/>
      <c r="BU92" s="36" t="n"/>
      <c r="BV92" s="36" t="n"/>
      <c r="BW92" s="36" t="n"/>
      <c r="BX92" s="36" t="n"/>
      <c r="BY92" s="36" t="n"/>
      <c r="BZ92" s="36" t="n"/>
      <c r="CA92" s="36" t="n"/>
      <c r="CB92" s="36" t="n"/>
      <c r="CC92" s="36" t="n"/>
      <c r="CD92" s="36" t="n"/>
      <c r="CE92" s="36" t="n"/>
      <c r="CF92" s="36" t="n"/>
    </row>
    <row r="93" hidden="1" outlineLevel="2">
      <c r="A93" s="44" t="inlineStr">
        <is>
          <t>T-3.21</t>
        </is>
      </c>
      <c r="B93" s="45" t="inlineStr">
        <is>
          <t>Pruebas de regresión de los módulos de usuarios y solicitudes</t>
        </is>
      </c>
      <c r="C93" s="44" t="inlineStr">
        <is>
          <t>Tarea</t>
        </is>
      </c>
      <c r="D93" s="44" t="inlineStr">
        <is>
          <t>Matías</t>
        </is>
      </c>
      <c r="E93" s="46">
        <f>Tareas!H69</f>
        <v/>
      </c>
      <c r="F93" s="46">
        <f>Tareas!I69</f>
        <v/>
      </c>
      <c r="G93" s="44">
        <f>NETWORKDAYS(E93,F93,Feriados)</f>
        <v/>
      </c>
      <c r="H93" s="47">
        <f>Tareas!K69</f>
        <v/>
      </c>
      <c r="I93" s="44">
        <f>Tareas!J69</f>
        <v/>
      </c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36" t="n"/>
      <c r="BE93" s="36" t="n"/>
      <c r="BF93" s="36" t="n"/>
      <c r="BG93" s="36" t="n"/>
      <c r="BH93" s="36" t="n"/>
      <c r="BI93" s="36" t="n"/>
      <c r="BJ93" s="36" t="n"/>
      <c r="BK93" s="36" t="n"/>
      <c r="BL93" s="36" t="n"/>
      <c r="BM93" s="36" t="n"/>
      <c r="BN93" s="36" t="n"/>
      <c r="BO93" s="36" t="n"/>
      <c r="BP93" s="36" t="n"/>
      <c r="BQ93" s="36" t="n"/>
      <c r="BR93" s="36" t="n"/>
      <c r="BS93" s="36" t="n"/>
      <c r="BT93" s="36" t="n"/>
      <c r="BU93" s="36" t="n"/>
      <c r="BV93" s="36" t="n"/>
      <c r="BW93" s="36" t="n"/>
      <c r="BX93" s="36" t="n"/>
      <c r="BY93" s="36" t="n"/>
      <c r="BZ93" s="36" t="n"/>
      <c r="CA93" s="36" t="n"/>
      <c r="CB93" s="36" t="n"/>
      <c r="CC93" s="36" t="n"/>
      <c r="CD93" s="36" t="n"/>
      <c r="CE93" s="36" t="n"/>
      <c r="CF93" s="36" t="n"/>
    </row>
    <row r="94" hidden="1" outlineLevel="2">
      <c r="A94" s="44" t="inlineStr">
        <is>
          <t>T-3.22</t>
        </is>
      </c>
      <c r="B94" s="45" t="inlineStr">
        <is>
          <t>Validar consultas y cotizaciones con la Jefatura Comercial y los ejecutivos comerciales</t>
        </is>
      </c>
      <c r="C94" s="44" t="inlineStr">
        <is>
          <t>Tarea</t>
        </is>
      </c>
      <c r="D94" s="44" t="inlineStr">
        <is>
          <t>Alexssander</t>
        </is>
      </c>
      <c r="E94" s="46">
        <f>Tareas!H70</f>
        <v/>
      </c>
      <c r="F94" s="46">
        <f>Tareas!I70</f>
        <v/>
      </c>
      <c r="G94" s="44">
        <f>NETWORKDAYS(E94,F94,Feriados)</f>
        <v/>
      </c>
      <c r="H94" s="47">
        <f>Tareas!K70</f>
        <v/>
      </c>
      <c r="I94" s="44">
        <f>Tareas!J70</f>
        <v/>
      </c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36" t="n"/>
      <c r="BE94" s="36" t="n"/>
      <c r="BF94" s="36" t="n"/>
      <c r="BG94" s="36" t="n"/>
      <c r="BH94" s="36" t="n"/>
      <c r="BI94" s="36" t="n"/>
      <c r="BJ94" s="36" t="n"/>
      <c r="BK94" s="36" t="n"/>
      <c r="BL94" s="36" t="n"/>
      <c r="BM94" s="36" t="n"/>
      <c r="BN94" s="36" t="n"/>
      <c r="BO94" s="36" t="n"/>
      <c r="BP94" s="36" t="n"/>
      <c r="BQ94" s="36" t="n"/>
      <c r="BR94" s="36" t="n"/>
      <c r="BS94" s="36" t="n"/>
      <c r="BT94" s="36" t="n"/>
      <c r="BU94" s="36" t="n"/>
      <c r="BV94" s="36" t="n"/>
      <c r="BW94" s="36" t="n"/>
      <c r="BX94" s="36" t="n"/>
      <c r="BY94" s="36" t="n"/>
      <c r="BZ94" s="36" t="n"/>
      <c r="CA94" s="36" t="n"/>
      <c r="CB94" s="36" t="n"/>
      <c r="CC94" s="36" t="n"/>
      <c r="CD94" s="36" t="n"/>
      <c r="CE94" s="36" t="n"/>
      <c r="CF94" s="36" t="n"/>
    </row>
    <row r="95" hidden="1" outlineLevel="2">
      <c r="A95" s="44" t="inlineStr">
        <is>
          <t>T-3.23</t>
        </is>
      </c>
      <c r="B95" s="45" t="inlineStr">
        <is>
          <t>Integrar develop en main, etiquetar v0.3.0 y preparar la demostración</t>
        </is>
      </c>
      <c r="C95" s="44" t="inlineStr">
        <is>
          <t>Tarea</t>
        </is>
      </c>
      <c r="D95" s="44" t="inlineStr">
        <is>
          <t>Millaray</t>
        </is>
      </c>
      <c r="E95" s="46">
        <f>Tareas!H71</f>
        <v/>
      </c>
      <c r="F95" s="46">
        <f>Tareas!I71</f>
        <v/>
      </c>
      <c r="G95" s="44">
        <f>NETWORKDAYS(E95,F95,Feriados)</f>
        <v/>
      </c>
      <c r="H95" s="47">
        <f>Tareas!K71</f>
        <v/>
      </c>
      <c r="I95" s="44">
        <f>Tareas!J71</f>
        <v/>
      </c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6" t="n"/>
      <c r="BH95" s="36" t="n"/>
      <c r="BI95" s="36" t="n"/>
      <c r="BJ95" s="36" t="n"/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36" t="n"/>
      <c r="BZ95" s="36" t="n"/>
      <c r="CA95" s="36" t="n"/>
      <c r="CB95" s="36" t="n"/>
      <c r="CC95" s="36" t="n"/>
      <c r="CD95" s="36" t="n"/>
      <c r="CE95" s="36" t="n"/>
      <c r="CF95" s="36" t="n"/>
    </row>
    <row r="96" hidden="1" outlineLevel="2">
      <c r="A96" s="44" t="inlineStr">
        <is>
          <t>T-3.24</t>
        </is>
      </c>
      <c r="B96" s="45" t="inlineStr">
        <is>
          <t>Actualizar la matriz de trazabilidad y el Expediente de Sprint</t>
        </is>
      </c>
      <c r="C96" s="44" t="inlineStr">
        <is>
          <t>Tarea</t>
        </is>
      </c>
      <c r="D96" s="44" t="inlineStr">
        <is>
          <t>Matías</t>
        </is>
      </c>
      <c r="E96" s="46">
        <f>Tareas!H72</f>
        <v/>
      </c>
      <c r="F96" s="46">
        <f>Tareas!I72</f>
        <v/>
      </c>
      <c r="G96" s="44">
        <f>NETWORKDAYS(E96,F96,Feriados)</f>
        <v/>
      </c>
      <c r="H96" s="47">
        <f>Tareas!K72</f>
        <v/>
      </c>
      <c r="I96" s="44">
        <f>Tareas!J72</f>
        <v/>
      </c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6" t="n"/>
      <c r="AZ96" s="36" t="n"/>
      <c r="BA96" s="36" t="n"/>
      <c r="BB96" s="36" t="n"/>
      <c r="BC96" s="36" t="n"/>
      <c r="BD96" s="36" t="n"/>
      <c r="BE96" s="36" t="n"/>
      <c r="BF96" s="36" t="n"/>
      <c r="BG96" s="36" t="n"/>
      <c r="BH96" s="36" t="n"/>
      <c r="BI96" s="36" t="n"/>
      <c r="BJ96" s="36" t="n"/>
      <c r="BK96" s="36" t="n"/>
      <c r="BL96" s="36" t="n"/>
      <c r="BM96" s="36" t="n"/>
      <c r="BN96" s="36" t="n"/>
      <c r="BO96" s="36" t="n"/>
      <c r="BP96" s="36" t="n"/>
      <c r="BQ96" s="36" t="n"/>
      <c r="BR96" s="36" t="n"/>
      <c r="BS96" s="36" t="n"/>
      <c r="BT96" s="36" t="n"/>
      <c r="BU96" s="36" t="n"/>
      <c r="BV96" s="36" t="n"/>
      <c r="BW96" s="36" t="n"/>
      <c r="BX96" s="36" t="n"/>
      <c r="BY96" s="36" t="n"/>
      <c r="BZ96" s="36" t="n"/>
      <c r="CA96" s="36" t="n"/>
      <c r="CB96" s="36" t="n"/>
      <c r="CC96" s="36" t="n"/>
      <c r="CD96" s="36" t="n"/>
      <c r="CE96" s="36" t="n"/>
      <c r="CF96" s="36" t="n"/>
    </row>
    <row r="97">
      <c r="A97" s="9" t="inlineStr">
        <is>
          <t>S4</t>
        </is>
      </c>
      <c r="B97" s="34" t="inlineStr">
        <is>
          <t>Sprint 4 · Órdenes de venta e integración SAP</t>
        </is>
      </c>
      <c r="C97" s="9" t="inlineStr">
        <is>
          <t>Sprint</t>
        </is>
      </c>
      <c r="D97" s="9" t="inlineStr">
        <is>
          <t>PO: Matías · SM: Millaray</t>
        </is>
      </c>
      <c r="E97" s="35">
        <f>Resumen!C11</f>
        <v/>
      </c>
      <c r="F97" s="35">
        <f>Resumen!D11</f>
        <v/>
      </c>
      <c r="G97" s="9">
        <f>NETWORKDAYS(E97,F97,Feriados)</f>
        <v/>
      </c>
      <c r="H97" s="16">
        <f>Resumen!L11</f>
        <v/>
      </c>
      <c r="I97" s="9">
        <f>Resumen!Q11</f>
        <v/>
      </c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36" t="n"/>
      <c r="BE97" s="36" t="n"/>
      <c r="BF97" s="36" t="n"/>
      <c r="BG97" s="36" t="n"/>
      <c r="BH97" s="36" t="n"/>
      <c r="BI97" s="36" t="n"/>
      <c r="BJ97" s="36" t="n"/>
      <c r="BK97" s="36" t="n"/>
      <c r="BL97" s="36" t="n"/>
      <c r="BM97" s="36" t="n"/>
      <c r="BN97" s="36" t="n"/>
      <c r="BO97" s="36" t="n"/>
      <c r="BP97" s="36" t="n"/>
      <c r="BQ97" s="36" t="n"/>
      <c r="BR97" s="36" t="n"/>
      <c r="BS97" s="36" t="n"/>
      <c r="BT97" s="36" t="n"/>
      <c r="BU97" s="36" t="n"/>
      <c r="BV97" s="36" t="n"/>
      <c r="BW97" s="36" t="n"/>
      <c r="BX97" s="36" t="n"/>
      <c r="BY97" s="36" t="n"/>
      <c r="BZ97" s="36" t="n"/>
      <c r="CA97" s="36" t="n"/>
      <c r="CB97" s="36" t="n"/>
      <c r="CC97" s="36" t="n"/>
      <c r="CD97" s="36" t="n"/>
      <c r="CE97" s="36" t="n"/>
      <c r="CF97" s="36" t="n"/>
    </row>
    <row r="98" outlineLevel="1">
      <c r="A98" s="37" t="inlineStr"/>
      <c r="B98" s="38" t="inlineStr">
        <is>
          <t>Eventos Scrum</t>
        </is>
      </c>
      <c r="C98" s="37" t="inlineStr">
        <is>
          <t>Eventos</t>
        </is>
      </c>
      <c r="D98" s="37" t="inlineStr">
        <is>
          <t>Scrum Team</t>
        </is>
      </c>
      <c r="E98" s="39" t="inlineStr"/>
      <c r="F98" s="39" t="inlineStr"/>
      <c r="G98" s="37" t="inlineStr"/>
      <c r="H98" s="40" t="inlineStr"/>
      <c r="I98" s="37" t="inlineStr"/>
      <c r="J98" s="41">
        <f>IF(J$6=Eventos!$C$21,"F",IF(J$6=Eventos!$C$20,"P",IF(J$6=Eventos!$C$22,"C",IF(J$6=Eventos!$C$23,"R",""))))</f>
        <v/>
      </c>
      <c r="K98" s="41">
        <f>IF(K$6=Eventos!$C$21,"F",IF(K$6=Eventos!$C$20,"P",IF(K$6=Eventos!$C$22,"C",IF(K$6=Eventos!$C$23,"R",""))))</f>
        <v/>
      </c>
      <c r="L98" s="41">
        <f>IF(L$6=Eventos!$C$21,"F",IF(L$6=Eventos!$C$20,"P",IF(L$6=Eventos!$C$22,"C",IF(L$6=Eventos!$C$23,"R",""))))</f>
        <v/>
      </c>
      <c r="M98" s="41">
        <f>IF(M$6=Eventos!$C$21,"F",IF(M$6=Eventos!$C$20,"P",IF(M$6=Eventos!$C$22,"C",IF(M$6=Eventos!$C$23,"R",""))))</f>
        <v/>
      </c>
      <c r="N98" s="41">
        <f>IF(N$6=Eventos!$C$21,"F",IF(N$6=Eventos!$C$20,"P",IF(N$6=Eventos!$C$22,"C",IF(N$6=Eventos!$C$23,"R",""))))</f>
        <v/>
      </c>
      <c r="O98" s="41">
        <f>IF(O$6=Eventos!$C$21,"F",IF(O$6=Eventos!$C$20,"P",IF(O$6=Eventos!$C$22,"C",IF(O$6=Eventos!$C$23,"R",""))))</f>
        <v/>
      </c>
      <c r="P98" s="41">
        <f>IF(P$6=Eventos!$C$21,"F",IF(P$6=Eventos!$C$20,"P",IF(P$6=Eventos!$C$22,"C",IF(P$6=Eventos!$C$23,"R",""))))</f>
        <v/>
      </c>
      <c r="Q98" s="41">
        <f>IF(Q$6=Eventos!$C$21,"F",IF(Q$6=Eventos!$C$20,"P",IF(Q$6=Eventos!$C$22,"C",IF(Q$6=Eventos!$C$23,"R",""))))</f>
        <v/>
      </c>
      <c r="R98" s="41">
        <f>IF(R$6=Eventos!$C$21,"F",IF(R$6=Eventos!$C$20,"P",IF(R$6=Eventos!$C$22,"C",IF(R$6=Eventos!$C$23,"R",""))))</f>
        <v/>
      </c>
      <c r="S98" s="41">
        <f>IF(S$6=Eventos!$C$21,"F",IF(S$6=Eventos!$C$20,"P",IF(S$6=Eventos!$C$22,"C",IF(S$6=Eventos!$C$23,"R",""))))</f>
        <v/>
      </c>
      <c r="T98" s="41">
        <f>IF(T$6=Eventos!$C$21,"F",IF(T$6=Eventos!$C$20,"P",IF(T$6=Eventos!$C$22,"C",IF(T$6=Eventos!$C$23,"R",""))))</f>
        <v/>
      </c>
      <c r="U98" s="41">
        <f>IF(U$6=Eventos!$C$21,"F",IF(U$6=Eventos!$C$20,"P",IF(U$6=Eventos!$C$22,"C",IF(U$6=Eventos!$C$23,"R",""))))</f>
        <v/>
      </c>
      <c r="V98" s="41">
        <f>IF(V$6=Eventos!$C$21,"F",IF(V$6=Eventos!$C$20,"P",IF(V$6=Eventos!$C$22,"C",IF(V$6=Eventos!$C$23,"R",""))))</f>
        <v/>
      </c>
      <c r="W98" s="41">
        <f>IF(W$6=Eventos!$C$21,"F",IF(W$6=Eventos!$C$20,"P",IF(W$6=Eventos!$C$22,"C",IF(W$6=Eventos!$C$23,"R",""))))</f>
        <v/>
      </c>
      <c r="X98" s="41">
        <f>IF(X$6=Eventos!$C$21,"F",IF(X$6=Eventos!$C$20,"P",IF(X$6=Eventos!$C$22,"C",IF(X$6=Eventos!$C$23,"R",""))))</f>
        <v/>
      </c>
      <c r="Y98" s="41">
        <f>IF(Y$6=Eventos!$C$21,"F",IF(Y$6=Eventos!$C$20,"P",IF(Y$6=Eventos!$C$22,"C",IF(Y$6=Eventos!$C$23,"R",""))))</f>
        <v/>
      </c>
      <c r="Z98" s="41">
        <f>IF(Z$6=Eventos!$C$21,"F",IF(Z$6=Eventos!$C$20,"P",IF(Z$6=Eventos!$C$22,"C",IF(Z$6=Eventos!$C$23,"R",""))))</f>
        <v/>
      </c>
      <c r="AA98" s="41">
        <f>IF(AA$6=Eventos!$C$21,"F",IF(AA$6=Eventos!$C$20,"P",IF(AA$6=Eventos!$C$22,"C",IF(AA$6=Eventos!$C$23,"R",""))))</f>
        <v/>
      </c>
      <c r="AB98" s="41">
        <f>IF(AB$6=Eventos!$C$21,"F",IF(AB$6=Eventos!$C$20,"P",IF(AB$6=Eventos!$C$22,"C",IF(AB$6=Eventos!$C$23,"R",""))))</f>
        <v/>
      </c>
      <c r="AC98" s="41">
        <f>IF(AC$6=Eventos!$C$21,"F",IF(AC$6=Eventos!$C$20,"P",IF(AC$6=Eventos!$C$22,"C",IF(AC$6=Eventos!$C$23,"R",""))))</f>
        <v/>
      </c>
      <c r="AD98" s="41">
        <f>IF(AD$6=Eventos!$C$21,"F",IF(AD$6=Eventos!$C$20,"P",IF(AD$6=Eventos!$C$22,"C",IF(AD$6=Eventos!$C$23,"R",""))))</f>
        <v/>
      </c>
      <c r="AE98" s="41">
        <f>IF(AE$6=Eventos!$C$21,"F",IF(AE$6=Eventos!$C$20,"P",IF(AE$6=Eventos!$C$22,"C",IF(AE$6=Eventos!$C$23,"R",""))))</f>
        <v/>
      </c>
      <c r="AF98" s="41">
        <f>IF(AF$6=Eventos!$C$21,"F",IF(AF$6=Eventos!$C$20,"P",IF(AF$6=Eventos!$C$22,"C",IF(AF$6=Eventos!$C$23,"R",""))))</f>
        <v/>
      </c>
      <c r="AG98" s="41">
        <f>IF(AG$6=Eventos!$C$21,"F",IF(AG$6=Eventos!$C$20,"P",IF(AG$6=Eventos!$C$22,"C",IF(AG$6=Eventos!$C$23,"R",""))))</f>
        <v/>
      </c>
      <c r="AH98" s="41">
        <f>IF(AH$6=Eventos!$C$21,"F",IF(AH$6=Eventos!$C$20,"P",IF(AH$6=Eventos!$C$22,"C",IF(AH$6=Eventos!$C$23,"R",""))))</f>
        <v/>
      </c>
      <c r="AI98" s="41">
        <f>IF(AI$6=Eventos!$C$21,"F",IF(AI$6=Eventos!$C$20,"P",IF(AI$6=Eventos!$C$22,"C",IF(AI$6=Eventos!$C$23,"R",""))))</f>
        <v/>
      </c>
      <c r="AJ98" s="41">
        <f>IF(AJ$6=Eventos!$C$21,"F",IF(AJ$6=Eventos!$C$20,"P",IF(AJ$6=Eventos!$C$22,"C",IF(AJ$6=Eventos!$C$23,"R",""))))</f>
        <v/>
      </c>
      <c r="AK98" s="41">
        <f>IF(AK$6=Eventos!$C$21,"F",IF(AK$6=Eventos!$C$20,"P",IF(AK$6=Eventos!$C$22,"C",IF(AK$6=Eventos!$C$23,"R",""))))</f>
        <v/>
      </c>
      <c r="AL98" s="41">
        <f>IF(AL$6=Eventos!$C$21,"F",IF(AL$6=Eventos!$C$20,"P",IF(AL$6=Eventos!$C$22,"C",IF(AL$6=Eventos!$C$23,"R",""))))</f>
        <v/>
      </c>
      <c r="AM98" s="41">
        <f>IF(AM$6=Eventos!$C$21,"F",IF(AM$6=Eventos!$C$20,"P",IF(AM$6=Eventos!$C$22,"C",IF(AM$6=Eventos!$C$23,"R",""))))</f>
        <v/>
      </c>
      <c r="AN98" s="41">
        <f>IF(AN$6=Eventos!$C$21,"F",IF(AN$6=Eventos!$C$20,"P",IF(AN$6=Eventos!$C$22,"C",IF(AN$6=Eventos!$C$23,"R",""))))</f>
        <v/>
      </c>
      <c r="AO98" s="41">
        <f>IF(AO$6=Eventos!$C$21,"F",IF(AO$6=Eventos!$C$20,"P",IF(AO$6=Eventos!$C$22,"C",IF(AO$6=Eventos!$C$23,"R",""))))</f>
        <v/>
      </c>
      <c r="AP98" s="41">
        <f>IF(AP$6=Eventos!$C$21,"F",IF(AP$6=Eventos!$C$20,"P",IF(AP$6=Eventos!$C$22,"C",IF(AP$6=Eventos!$C$23,"R",""))))</f>
        <v/>
      </c>
      <c r="AQ98" s="41">
        <f>IF(AQ$6=Eventos!$C$21,"F",IF(AQ$6=Eventos!$C$20,"P",IF(AQ$6=Eventos!$C$22,"C",IF(AQ$6=Eventos!$C$23,"R",""))))</f>
        <v/>
      </c>
      <c r="AR98" s="41">
        <f>IF(AR$6=Eventos!$C$21,"F",IF(AR$6=Eventos!$C$20,"P",IF(AR$6=Eventos!$C$22,"C",IF(AR$6=Eventos!$C$23,"R",""))))</f>
        <v/>
      </c>
      <c r="AS98" s="41">
        <f>IF(AS$6=Eventos!$C$21,"F",IF(AS$6=Eventos!$C$20,"P",IF(AS$6=Eventos!$C$22,"C",IF(AS$6=Eventos!$C$23,"R",""))))</f>
        <v/>
      </c>
      <c r="AT98" s="41">
        <f>IF(AT$6=Eventos!$C$21,"F",IF(AT$6=Eventos!$C$20,"P",IF(AT$6=Eventos!$C$22,"C",IF(AT$6=Eventos!$C$23,"R",""))))</f>
        <v/>
      </c>
      <c r="AU98" s="41">
        <f>IF(AU$6=Eventos!$C$21,"F",IF(AU$6=Eventos!$C$20,"P",IF(AU$6=Eventos!$C$22,"C",IF(AU$6=Eventos!$C$23,"R",""))))</f>
        <v/>
      </c>
      <c r="AV98" s="41">
        <f>IF(AV$6=Eventos!$C$21,"F",IF(AV$6=Eventos!$C$20,"P",IF(AV$6=Eventos!$C$22,"C",IF(AV$6=Eventos!$C$23,"R",""))))</f>
        <v/>
      </c>
      <c r="AW98" s="41">
        <f>IF(AW$6=Eventos!$C$21,"F",IF(AW$6=Eventos!$C$20,"P",IF(AW$6=Eventos!$C$22,"C",IF(AW$6=Eventos!$C$23,"R",""))))</f>
        <v/>
      </c>
      <c r="AX98" s="41">
        <f>IF(AX$6=Eventos!$C$21,"F",IF(AX$6=Eventos!$C$20,"P",IF(AX$6=Eventos!$C$22,"C",IF(AX$6=Eventos!$C$23,"R",""))))</f>
        <v/>
      </c>
      <c r="AY98" s="41">
        <f>IF(AY$6=Eventos!$C$21,"F",IF(AY$6=Eventos!$C$20,"P",IF(AY$6=Eventos!$C$22,"C",IF(AY$6=Eventos!$C$23,"R",""))))</f>
        <v/>
      </c>
      <c r="AZ98" s="41">
        <f>IF(AZ$6=Eventos!$C$21,"F",IF(AZ$6=Eventos!$C$20,"P",IF(AZ$6=Eventos!$C$22,"C",IF(AZ$6=Eventos!$C$23,"R",""))))</f>
        <v/>
      </c>
      <c r="BA98" s="41">
        <f>IF(BA$6=Eventos!$C$21,"F",IF(BA$6=Eventos!$C$20,"P",IF(BA$6=Eventos!$C$22,"C",IF(BA$6=Eventos!$C$23,"R",""))))</f>
        <v/>
      </c>
      <c r="BB98" s="41">
        <f>IF(BB$6=Eventos!$C$21,"F",IF(BB$6=Eventos!$C$20,"P",IF(BB$6=Eventos!$C$22,"C",IF(BB$6=Eventos!$C$23,"R",""))))</f>
        <v/>
      </c>
      <c r="BC98" s="41">
        <f>IF(BC$6=Eventos!$C$21,"F",IF(BC$6=Eventos!$C$20,"P",IF(BC$6=Eventos!$C$22,"C",IF(BC$6=Eventos!$C$23,"R",""))))</f>
        <v/>
      </c>
      <c r="BD98" s="41">
        <f>IF(BD$6=Eventos!$C$21,"F",IF(BD$6=Eventos!$C$20,"P",IF(BD$6=Eventos!$C$22,"C",IF(BD$6=Eventos!$C$23,"R",""))))</f>
        <v/>
      </c>
      <c r="BE98" s="41">
        <f>IF(BE$6=Eventos!$C$21,"F",IF(BE$6=Eventos!$C$20,"P",IF(BE$6=Eventos!$C$22,"C",IF(BE$6=Eventos!$C$23,"R",""))))</f>
        <v/>
      </c>
      <c r="BF98" s="41">
        <f>IF(BF$6=Eventos!$C$21,"F",IF(BF$6=Eventos!$C$20,"P",IF(BF$6=Eventos!$C$22,"C",IF(BF$6=Eventos!$C$23,"R",""))))</f>
        <v/>
      </c>
      <c r="BG98" s="41">
        <f>IF(BG$6=Eventos!$C$21,"F",IF(BG$6=Eventos!$C$20,"P",IF(BG$6=Eventos!$C$22,"C",IF(BG$6=Eventos!$C$23,"R",""))))</f>
        <v/>
      </c>
      <c r="BH98" s="41">
        <f>IF(BH$6=Eventos!$C$21,"F",IF(BH$6=Eventos!$C$20,"P",IF(BH$6=Eventos!$C$22,"C",IF(BH$6=Eventos!$C$23,"R",""))))</f>
        <v/>
      </c>
      <c r="BI98" s="41">
        <f>IF(BI$6=Eventos!$C$21,"F",IF(BI$6=Eventos!$C$20,"P",IF(BI$6=Eventos!$C$22,"C",IF(BI$6=Eventos!$C$23,"R",""))))</f>
        <v/>
      </c>
      <c r="BJ98" s="41">
        <f>IF(BJ$6=Eventos!$C$21,"F",IF(BJ$6=Eventos!$C$20,"P",IF(BJ$6=Eventos!$C$22,"C",IF(BJ$6=Eventos!$C$23,"R",""))))</f>
        <v/>
      </c>
      <c r="BK98" s="41">
        <f>IF(BK$6=Eventos!$C$21,"F",IF(BK$6=Eventos!$C$20,"P",IF(BK$6=Eventos!$C$22,"C",IF(BK$6=Eventos!$C$23,"R",""))))</f>
        <v/>
      </c>
      <c r="BL98" s="41">
        <f>IF(BL$6=Eventos!$C$21,"F",IF(BL$6=Eventos!$C$20,"P",IF(BL$6=Eventos!$C$22,"C",IF(BL$6=Eventos!$C$23,"R",""))))</f>
        <v/>
      </c>
      <c r="BM98" s="41">
        <f>IF(BM$6=Eventos!$C$21,"F",IF(BM$6=Eventos!$C$20,"P",IF(BM$6=Eventos!$C$22,"C",IF(BM$6=Eventos!$C$23,"R",""))))</f>
        <v/>
      </c>
      <c r="BN98" s="41">
        <f>IF(BN$6=Eventos!$C$21,"F",IF(BN$6=Eventos!$C$20,"P",IF(BN$6=Eventos!$C$22,"C",IF(BN$6=Eventos!$C$23,"R",""))))</f>
        <v/>
      </c>
      <c r="BO98" s="41">
        <f>IF(BO$6=Eventos!$C$21,"F",IF(BO$6=Eventos!$C$20,"P",IF(BO$6=Eventos!$C$22,"C",IF(BO$6=Eventos!$C$23,"R",""))))</f>
        <v/>
      </c>
      <c r="BP98" s="41">
        <f>IF(BP$6=Eventos!$C$21,"F",IF(BP$6=Eventos!$C$20,"P",IF(BP$6=Eventos!$C$22,"C",IF(BP$6=Eventos!$C$23,"R",""))))</f>
        <v/>
      </c>
      <c r="BQ98" s="41">
        <f>IF(BQ$6=Eventos!$C$21,"F",IF(BQ$6=Eventos!$C$20,"P",IF(BQ$6=Eventos!$C$22,"C",IF(BQ$6=Eventos!$C$23,"R",""))))</f>
        <v/>
      </c>
      <c r="BR98" s="41">
        <f>IF(BR$6=Eventos!$C$21,"F",IF(BR$6=Eventos!$C$20,"P",IF(BR$6=Eventos!$C$22,"C",IF(BR$6=Eventos!$C$23,"R",""))))</f>
        <v/>
      </c>
      <c r="BS98" s="41">
        <f>IF(BS$6=Eventos!$C$21,"F",IF(BS$6=Eventos!$C$20,"P",IF(BS$6=Eventos!$C$22,"C",IF(BS$6=Eventos!$C$23,"R",""))))</f>
        <v/>
      </c>
      <c r="BT98" s="41">
        <f>IF(BT$6=Eventos!$C$21,"F",IF(BT$6=Eventos!$C$20,"P",IF(BT$6=Eventos!$C$22,"C",IF(BT$6=Eventos!$C$23,"R",""))))</f>
        <v/>
      </c>
      <c r="BU98" s="41">
        <f>IF(BU$6=Eventos!$C$21,"F",IF(BU$6=Eventos!$C$20,"P",IF(BU$6=Eventos!$C$22,"C",IF(BU$6=Eventos!$C$23,"R",""))))</f>
        <v/>
      </c>
      <c r="BV98" s="41">
        <f>IF(BV$6=Eventos!$C$21,"F",IF(BV$6=Eventos!$C$20,"P",IF(BV$6=Eventos!$C$22,"C",IF(BV$6=Eventos!$C$23,"R",""))))</f>
        <v/>
      </c>
      <c r="BW98" s="41">
        <f>IF(BW$6=Eventos!$C$21,"F",IF(BW$6=Eventos!$C$20,"P",IF(BW$6=Eventos!$C$22,"C",IF(BW$6=Eventos!$C$23,"R",""))))</f>
        <v/>
      </c>
      <c r="BX98" s="41">
        <f>IF(BX$6=Eventos!$C$21,"F",IF(BX$6=Eventos!$C$20,"P",IF(BX$6=Eventos!$C$22,"C",IF(BX$6=Eventos!$C$23,"R",""))))</f>
        <v/>
      </c>
      <c r="BY98" s="41">
        <f>IF(BY$6=Eventos!$C$21,"F",IF(BY$6=Eventos!$C$20,"P",IF(BY$6=Eventos!$C$22,"C",IF(BY$6=Eventos!$C$23,"R",""))))</f>
        <v/>
      </c>
      <c r="BZ98" s="41">
        <f>IF(BZ$6=Eventos!$C$21,"F",IF(BZ$6=Eventos!$C$20,"P",IF(BZ$6=Eventos!$C$22,"C",IF(BZ$6=Eventos!$C$23,"R",""))))</f>
        <v/>
      </c>
      <c r="CA98" s="41">
        <f>IF(CA$6=Eventos!$C$21,"F",IF(CA$6=Eventos!$C$20,"P",IF(CA$6=Eventos!$C$22,"C",IF(CA$6=Eventos!$C$23,"R",""))))</f>
        <v/>
      </c>
      <c r="CB98" s="41">
        <f>IF(CB$6=Eventos!$C$21,"F",IF(CB$6=Eventos!$C$20,"P",IF(CB$6=Eventos!$C$22,"C",IF(CB$6=Eventos!$C$23,"R",""))))</f>
        <v/>
      </c>
      <c r="CC98" s="41">
        <f>IF(CC$6=Eventos!$C$21,"F",IF(CC$6=Eventos!$C$20,"P",IF(CC$6=Eventos!$C$22,"C",IF(CC$6=Eventos!$C$23,"R",""))))</f>
        <v/>
      </c>
      <c r="CD98" s="41">
        <f>IF(CD$6=Eventos!$C$21,"F",IF(CD$6=Eventos!$C$20,"P",IF(CD$6=Eventos!$C$22,"C",IF(CD$6=Eventos!$C$23,"R",""))))</f>
        <v/>
      </c>
      <c r="CE98" s="41">
        <f>IF(CE$6=Eventos!$C$21,"F",IF(CE$6=Eventos!$C$20,"P",IF(CE$6=Eventos!$C$22,"C",IF(CE$6=Eventos!$C$23,"R",""))))</f>
        <v/>
      </c>
      <c r="CF98" s="41">
        <f>IF(CF$6=Eventos!$C$21,"F",IF(CF$6=Eventos!$C$20,"P",IF(CF$6=Eventos!$C$22,"C",IF(CF$6=Eventos!$C$23,"R",""))))</f>
        <v/>
      </c>
    </row>
    <row r="99" outlineLevel="1">
      <c r="A99" s="11" t="inlineStr">
        <is>
          <t>HU-010</t>
        </is>
      </c>
      <c r="B99" s="42" t="inlineStr">
        <is>
          <t>Emitir la cotización y solicitar la orden de venta</t>
        </is>
      </c>
      <c r="C99" s="11" t="inlineStr">
        <is>
          <t>Historia</t>
        </is>
      </c>
      <c r="D99" s="11" t="inlineStr">
        <is>
          <t>Millaray y Alexssander</t>
        </is>
      </c>
      <c r="E99" s="43">
        <f>Historias!J17</f>
        <v/>
      </c>
      <c r="F99" s="43">
        <f>Historias!K17</f>
        <v/>
      </c>
      <c r="G99" s="11">
        <f>NETWORKDAYS(E99,F99,Feriados)</f>
        <v/>
      </c>
      <c r="H99" s="13">
        <f>Historias!N17</f>
        <v/>
      </c>
      <c r="I99" s="11">
        <f>Historias!P17</f>
        <v/>
      </c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6" t="n"/>
      <c r="AZ99" s="36" t="n"/>
      <c r="BA99" s="36" t="n"/>
      <c r="BB99" s="36" t="n"/>
      <c r="BC99" s="36" t="n"/>
      <c r="BD99" s="36" t="n"/>
      <c r="BE99" s="36" t="n"/>
      <c r="BF99" s="36" t="n"/>
      <c r="BG99" s="36" t="n"/>
      <c r="BH99" s="36" t="n"/>
      <c r="BI99" s="36" t="n"/>
      <c r="BJ99" s="36" t="n"/>
      <c r="BK99" s="36" t="n"/>
      <c r="BL99" s="36" t="n"/>
      <c r="BM99" s="36" t="n"/>
      <c r="BN99" s="36" t="n"/>
      <c r="BO99" s="36" t="n"/>
      <c r="BP99" s="36" t="n"/>
      <c r="BQ99" s="36" t="n"/>
      <c r="BR99" s="36" t="n"/>
      <c r="BS99" s="36" t="n"/>
      <c r="BT99" s="36" t="n"/>
      <c r="BU99" s="36" t="n"/>
      <c r="BV99" s="36" t="n"/>
      <c r="BW99" s="36" t="n"/>
      <c r="BX99" s="36" t="n"/>
      <c r="BY99" s="36" t="n"/>
      <c r="BZ99" s="36" t="n"/>
      <c r="CA99" s="36" t="n"/>
      <c r="CB99" s="36" t="n"/>
      <c r="CC99" s="36" t="n"/>
      <c r="CD99" s="36" t="n"/>
      <c r="CE99" s="36" t="n"/>
      <c r="CF99" s="36" t="n"/>
    </row>
    <row r="100" hidden="1" outlineLevel="2">
      <c r="A100" s="44" t="inlineStr">
        <is>
          <t>T-4.01</t>
        </is>
      </c>
      <c r="B100" s="45" t="inlineStr">
        <is>
          <t>Generación de la cotización en formato imprimible o descargable</t>
        </is>
      </c>
      <c r="C100" s="44" t="inlineStr">
        <is>
          <t>Tarea</t>
        </is>
      </c>
      <c r="D100" s="44" t="inlineStr">
        <is>
          <t>Millaray</t>
        </is>
      </c>
      <c r="E100" s="46">
        <f>Tareas!H73</f>
        <v/>
      </c>
      <c r="F100" s="46">
        <f>Tareas!I73</f>
        <v/>
      </c>
      <c r="G100" s="44">
        <f>NETWORKDAYS(E100,F100,Feriados)</f>
        <v/>
      </c>
      <c r="H100" s="47">
        <f>Tareas!K73</f>
        <v/>
      </c>
      <c r="I100" s="44">
        <f>Tareas!J73</f>
        <v/>
      </c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6" t="n"/>
      <c r="AZ100" s="36" t="n"/>
      <c r="BA100" s="36" t="n"/>
      <c r="BB100" s="36" t="n"/>
      <c r="BC100" s="36" t="n"/>
      <c r="BD100" s="36" t="n"/>
      <c r="BE100" s="36" t="n"/>
      <c r="BF100" s="36" t="n"/>
      <c r="BG100" s="36" t="n"/>
      <c r="BH100" s="36" t="n"/>
      <c r="BI100" s="36" t="n"/>
      <c r="BJ100" s="36" t="n"/>
      <c r="BK100" s="36" t="n"/>
      <c r="BL100" s="36" t="n"/>
      <c r="BM100" s="36" t="n"/>
      <c r="BN100" s="36" t="n"/>
      <c r="BO100" s="36" t="n"/>
      <c r="BP100" s="36" t="n"/>
      <c r="BQ100" s="36" t="n"/>
      <c r="BR100" s="36" t="n"/>
      <c r="BS100" s="36" t="n"/>
      <c r="BT100" s="36" t="n"/>
      <c r="BU100" s="36" t="n"/>
      <c r="BV100" s="36" t="n"/>
      <c r="BW100" s="36" t="n"/>
      <c r="BX100" s="36" t="n"/>
      <c r="BY100" s="36" t="n"/>
      <c r="BZ100" s="36" t="n"/>
      <c r="CA100" s="36" t="n"/>
      <c r="CB100" s="36" t="n"/>
      <c r="CC100" s="36" t="n"/>
      <c r="CD100" s="36" t="n"/>
      <c r="CE100" s="36" t="n"/>
      <c r="CF100" s="36" t="n"/>
    </row>
    <row r="101" hidden="1" outlineLevel="2">
      <c r="A101" s="44" t="inlineStr">
        <is>
          <t>T-4.02</t>
        </is>
      </c>
      <c r="B101" s="45" t="inlineStr">
        <is>
          <t>Conversión de la cotización aceptada en solicitud de orden de venta, con su vínculo</t>
        </is>
      </c>
      <c r="C101" s="44" t="inlineStr">
        <is>
          <t>Tarea</t>
        </is>
      </c>
      <c r="D101" s="44" t="inlineStr">
        <is>
          <t>Alexssander</t>
        </is>
      </c>
      <c r="E101" s="46">
        <f>Tareas!H74</f>
        <v/>
      </c>
      <c r="F101" s="46">
        <f>Tareas!I74</f>
        <v/>
      </c>
      <c r="G101" s="44">
        <f>NETWORKDAYS(E101,F101,Feriados)</f>
        <v/>
      </c>
      <c r="H101" s="47">
        <f>Tareas!K74</f>
        <v/>
      </c>
      <c r="I101" s="44">
        <f>Tareas!J74</f>
        <v/>
      </c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6" t="n"/>
      <c r="AZ101" s="36" t="n"/>
      <c r="BA101" s="36" t="n"/>
      <c r="BB101" s="36" t="n"/>
      <c r="BC101" s="36" t="n"/>
      <c r="BD101" s="36" t="n"/>
      <c r="BE101" s="36" t="n"/>
      <c r="BF101" s="36" t="n"/>
      <c r="BG101" s="36" t="n"/>
      <c r="BH101" s="36" t="n"/>
      <c r="BI101" s="36" t="n"/>
      <c r="BJ101" s="36" t="n"/>
      <c r="BK101" s="36" t="n"/>
      <c r="BL101" s="36" t="n"/>
      <c r="BM101" s="36" t="n"/>
      <c r="BN101" s="36" t="n"/>
      <c r="BO101" s="36" t="n"/>
      <c r="BP101" s="36" t="n"/>
      <c r="BQ101" s="36" t="n"/>
      <c r="BR101" s="36" t="n"/>
      <c r="BS101" s="36" t="n"/>
      <c r="BT101" s="36" t="n"/>
      <c r="BU101" s="36" t="n"/>
      <c r="BV101" s="36" t="n"/>
      <c r="BW101" s="36" t="n"/>
      <c r="BX101" s="36" t="n"/>
      <c r="BY101" s="36" t="n"/>
      <c r="BZ101" s="36" t="n"/>
      <c r="CA101" s="36" t="n"/>
      <c r="CB101" s="36" t="n"/>
      <c r="CC101" s="36" t="n"/>
      <c r="CD101" s="36" t="n"/>
      <c r="CE101" s="36" t="n"/>
      <c r="CF101" s="36" t="n"/>
    </row>
    <row r="102" hidden="1" outlineLevel="2">
      <c r="A102" s="44" t="inlineStr">
        <is>
          <t>T-4.03</t>
        </is>
      </c>
      <c r="B102" s="45" t="inlineStr">
        <is>
          <t>Validación de cotización abierta y aceptada, y bloqueo por cliente bloqueado</t>
        </is>
      </c>
      <c r="C102" s="44" t="inlineStr">
        <is>
          <t>Tarea</t>
        </is>
      </c>
      <c r="D102" s="44" t="inlineStr">
        <is>
          <t>Alexssander</t>
        </is>
      </c>
      <c r="E102" s="46">
        <f>Tareas!H75</f>
        <v/>
      </c>
      <c r="F102" s="46">
        <f>Tareas!I75</f>
        <v/>
      </c>
      <c r="G102" s="44">
        <f>NETWORKDAYS(E102,F102,Feriados)</f>
        <v/>
      </c>
      <c r="H102" s="47">
        <f>Tareas!K75</f>
        <v/>
      </c>
      <c r="I102" s="44">
        <f>Tareas!J75</f>
        <v/>
      </c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6" t="n"/>
      <c r="AZ102" s="36" t="n"/>
      <c r="BA102" s="36" t="n"/>
      <c r="BB102" s="36" t="n"/>
      <c r="BC102" s="36" t="n"/>
      <c r="BD102" s="36" t="n"/>
      <c r="BE102" s="36" t="n"/>
      <c r="BF102" s="36" t="n"/>
      <c r="BG102" s="36" t="n"/>
      <c r="BH102" s="36" t="n"/>
      <c r="BI102" s="36" t="n"/>
      <c r="BJ102" s="36" t="n"/>
      <c r="BK102" s="36" t="n"/>
      <c r="BL102" s="36" t="n"/>
      <c r="BM102" s="36" t="n"/>
      <c r="BN102" s="36" t="n"/>
      <c r="BO102" s="36" t="n"/>
      <c r="BP102" s="36" t="n"/>
      <c r="BQ102" s="36" t="n"/>
      <c r="BR102" s="36" t="n"/>
      <c r="BS102" s="36" t="n"/>
      <c r="BT102" s="36" t="n"/>
      <c r="BU102" s="36" t="n"/>
      <c r="BV102" s="36" t="n"/>
      <c r="BW102" s="36" t="n"/>
      <c r="BX102" s="36" t="n"/>
      <c r="BY102" s="36" t="n"/>
      <c r="BZ102" s="36" t="n"/>
      <c r="CA102" s="36" t="n"/>
      <c r="CB102" s="36" t="n"/>
      <c r="CC102" s="36" t="n"/>
      <c r="CD102" s="36" t="n"/>
      <c r="CE102" s="36" t="n"/>
      <c r="CF102" s="36" t="n"/>
    </row>
    <row r="103" hidden="1" outlineLevel="2">
      <c r="A103" s="44" t="inlineStr">
        <is>
          <t>T-4.04</t>
        </is>
      </c>
      <c r="B103" s="45" t="inlineStr">
        <is>
          <t>Pruebas automatizadas y ejecución de CP-035 a CP-038</t>
        </is>
      </c>
      <c r="C103" s="44" t="inlineStr">
        <is>
          <t>Tarea</t>
        </is>
      </c>
      <c r="D103" s="44" t="inlineStr">
        <is>
          <t>Matías</t>
        </is>
      </c>
      <c r="E103" s="46">
        <f>Tareas!H76</f>
        <v/>
      </c>
      <c r="F103" s="46">
        <f>Tareas!I76</f>
        <v/>
      </c>
      <c r="G103" s="44">
        <f>NETWORKDAYS(E103,F103,Feriados)</f>
        <v/>
      </c>
      <c r="H103" s="47">
        <f>Tareas!K76</f>
        <v/>
      </c>
      <c r="I103" s="44">
        <f>Tareas!J76</f>
        <v/>
      </c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  <c r="AV103" s="36" t="n"/>
      <c r="AW103" s="36" t="n"/>
      <c r="AX103" s="36" t="n"/>
      <c r="AY103" s="36" t="n"/>
      <c r="AZ103" s="36" t="n"/>
      <c r="BA103" s="36" t="n"/>
      <c r="BB103" s="36" t="n"/>
      <c r="BC103" s="36" t="n"/>
      <c r="BD103" s="36" t="n"/>
      <c r="BE103" s="36" t="n"/>
      <c r="BF103" s="36" t="n"/>
      <c r="BG103" s="36" t="n"/>
      <c r="BH103" s="36" t="n"/>
      <c r="BI103" s="36" t="n"/>
      <c r="BJ103" s="36" t="n"/>
      <c r="BK103" s="36" t="n"/>
      <c r="BL103" s="36" t="n"/>
      <c r="BM103" s="36" t="n"/>
      <c r="BN103" s="36" t="n"/>
      <c r="BO103" s="36" t="n"/>
      <c r="BP103" s="36" t="n"/>
      <c r="BQ103" s="36" t="n"/>
      <c r="BR103" s="36" t="n"/>
      <c r="BS103" s="36" t="n"/>
      <c r="BT103" s="36" t="n"/>
      <c r="BU103" s="36" t="n"/>
      <c r="BV103" s="36" t="n"/>
      <c r="BW103" s="36" t="n"/>
      <c r="BX103" s="36" t="n"/>
      <c r="BY103" s="36" t="n"/>
      <c r="BZ103" s="36" t="n"/>
      <c r="CA103" s="36" t="n"/>
      <c r="CB103" s="36" t="n"/>
      <c r="CC103" s="36" t="n"/>
      <c r="CD103" s="36" t="n"/>
      <c r="CE103" s="36" t="n"/>
      <c r="CF103" s="36" t="n"/>
    </row>
    <row r="104" outlineLevel="1">
      <c r="A104" s="11" t="inlineStr">
        <is>
          <t>HU-016</t>
        </is>
      </c>
      <c r="B104" s="42" t="inlineStr">
        <is>
          <t>Crear documentos mediante Service Layer</t>
        </is>
      </c>
      <c r="C104" s="11" t="inlineStr">
        <is>
          <t>Historia</t>
        </is>
      </c>
      <c r="D104" s="11" t="inlineStr">
        <is>
          <t>Alexssander y Matías</t>
        </is>
      </c>
      <c r="E104" s="43">
        <f>Historias!J18</f>
        <v/>
      </c>
      <c r="F104" s="43">
        <f>Historias!K18</f>
        <v/>
      </c>
      <c r="G104" s="11">
        <f>NETWORKDAYS(E104,F104,Feriados)</f>
        <v/>
      </c>
      <c r="H104" s="13">
        <f>Historias!N18</f>
        <v/>
      </c>
      <c r="I104" s="11">
        <f>Historias!P18</f>
        <v/>
      </c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36" t="n"/>
      <c r="BE104" s="36" t="n"/>
      <c r="BF104" s="36" t="n"/>
      <c r="BG104" s="36" t="n"/>
      <c r="BH104" s="36" t="n"/>
      <c r="BI104" s="36" t="n"/>
      <c r="BJ104" s="36" t="n"/>
      <c r="BK104" s="36" t="n"/>
      <c r="BL104" s="36" t="n"/>
      <c r="BM104" s="36" t="n"/>
      <c r="BN104" s="36" t="n"/>
      <c r="BO104" s="36" t="n"/>
      <c r="BP104" s="36" t="n"/>
      <c r="BQ104" s="36" t="n"/>
      <c r="BR104" s="36" t="n"/>
      <c r="BS104" s="36" t="n"/>
      <c r="BT104" s="36" t="n"/>
      <c r="BU104" s="36" t="n"/>
      <c r="BV104" s="36" t="n"/>
      <c r="BW104" s="36" t="n"/>
      <c r="BX104" s="36" t="n"/>
      <c r="BY104" s="36" t="n"/>
      <c r="BZ104" s="36" t="n"/>
      <c r="CA104" s="36" t="n"/>
      <c r="CB104" s="36" t="n"/>
      <c r="CC104" s="36" t="n"/>
      <c r="CD104" s="36" t="n"/>
      <c r="CE104" s="36" t="n"/>
      <c r="CF104" s="36" t="n"/>
    </row>
    <row r="105" hidden="1" outlineLevel="2">
      <c r="A105" s="44" t="inlineStr">
        <is>
          <t>T-4.05</t>
        </is>
      </c>
      <c r="B105" s="45" t="inlineStr">
        <is>
          <t>Cliente de Service Layer y servicio simulado equivalente</t>
        </is>
      </c>
      <c r="C105" s="44" t="inlineStr">
        <is>
          <t>Tarea</t>
        </is>
      </c>
      <c r="D105" s="44" t="inlineStr">
        <is>
          <t>Alexssander</t>
        </is>
      </c>
      <c r="E105" s="46">
        <f>Tareas!H77</f>
        <v/>
      </c>
      <c r="F105" s="46">
        <f>Tareas!I77</f>
        <v/>
      </c>
      <c r="G105" s="44">
        <f>NETWORKDAYS(E105,F105,Feriados)</f>
        <v/>
      </c>
      <c r="H105" s="47">
        <f>Tareas!K77</f>
        <v/>
      </c>
      <c r="I105" s="44">
        <f>Tareas!J77</f>
        <v/>
      </c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36" t="n"/>
      <c r="BE105" s="36" t="n"/>
      <c r="BF105" s="36" t="n"/>
      <c r="BG105" s="36" t="n"/>
      <c r="BH105" s="36" t="n"/>
      <c r="BI105" s="36" t="n"/>
      <c r="BJ105" s="36" t="n"/>
      <c r="BK105" s="36" t="n"/>
      <c r="BL105" s="36" t="n"/>
      <c r="BM105" s="36" t="n"/>
      <c r="BN105" s="36" t="n"/>
      <c r="BO105" s="36" t="n"/>
      <c r="BP105" s="36" t="n"/>
      <c r="BQ105" s="36" t="n"/>
      <c r="BR105" s="36" t="n"/>
      <c r="BS105" s="36" t="n"/>
      <c r="BT105" s="36" t="n"/>
      <c r="BU105" s="36" t="n"/>
      <c r="BV105" s="36" t="n"/>
      <c r="BW105" s="36" t="n"/>
      <c r="BX105" s="36" t="n"/>
      <c r="BY105" s="36" t="n"/>
      <c r="BZ105" s="36" t="n"/>
      <c r="CA105" s="36" t="n"/>
      <c r="CB105" s="36" t="n"/>
      <c r="CC105" s="36" t="n"/>
      <c r="CD105" s="36" t="n"/>
      <c r="CE105" s="36" t="n"/>
      <c r="CF105" s="36" t="n"/>
    </row>
    <row r="106" hidden="1" outlineLevel="2">
      <c r="A106" s="44" t="inlineStr">
        <is>
          <t>T-4.06</t>
        </is>
      </c>
      <c r="B106" s="45" t="inlineStr">
        <is>
          <t>Validación de autorización registrada antes de cada envío</t>
        </is>
      </c>
      <c r="C106" s="44" t="inlineStr">
        <is>
          <t>Tarea</t>
        </is>
      </c>
      <c r="D106" s="44" t="inlineStr">
        <is>
          <t>Matías</t>
        </is>
      </c>
      <c r="E106" s="46">
        <f>Tareas!H78</f>
        <v/>
      </c>
      <c r="F106" s="46">
        <f>Tareas!I78</f>
        <v/>
      </c>
      <c r="G106" s="44">
        <f>NETWORKDAYS(E106,F106,Feriados)</f>
        <v/>
      </c>
      <c r="H106" s="47">
        <f>Tareas!K78</f>
        <v/>
      </c>
      <c r="I106" s="44">
        <f>Tareas!J78</f>
        <v/>
      </c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6" t="n"/>
      <c r="AZ106" s="36" t="n"/>
      <c r="BA106" s="36" t="n"/>
      <c r="BB106" s="36" t="n"/>
      <c r="BC106" s="36" t="n"/>
      <c r="BD106" s="36" t="n"/>
      <c r="BE106" s="36" t="n"/>
      <c r="BF106" s="36" t="n"/>
      <c r="BG106" s="36" t="n"/>
      <c r="BH106" s="36" t="n"/>
      <c r="BI106" s="36" t="n"/>
      <c r="BJ106" s="36" t="n"/>
      <c r="BK106" s="36" t="n"/>
      <c r="BL106" s="36" t="n"/>
      <c r="BM106" s="36" t="n"/>
      <c r="BN106" s="36" t="n"/>
      <c r="BO106" s="36" t="n"/>
      <c r="BP106" s="36" t="n"/>
      <c r="BQ106" s="36" t="n"/>
      <c r="BR106" s="36" t="n"/>
      <c r="BS106" s="36" t="n"/>
      <c r="BT106" s="36" t="n"/>
      <c r="BU106" s="36" t="n"/>
      <c r="BV106" s="36" t="n"/>
      <c r="BW106" s="36" t="n"/>
      <c r="BX106" s="36" t="n"/>
      <c r="BY106" s="36" t="n"/>
      <c r="BZ106" s="36" t="n"/>
      <c r="CA106" s="36" t="n"/>
      <c r="CB106" s="36" t="n"/>
      <c r="CC106" s="36" t="n"/>
      <c r="CD106" s="36" t="n"/>
      <c r="CE106" s="36" t="n"/>
      <c r="CF106" s="36" t="n"/>
    </row>
    <row r="107" hidden="1" outlineLevel="2">
      <c r="A107" s="44" t="inlineStr">
        <is>
          <t>T-4.07</t>
        </is>
      </c>
      <c r="B107" s="45" t="inlineStr">
        <is>
          <t>Conservación inmutable del documento autorizado para su envío</t>
        </is>
      </c>
      <c r="C107" s="44" t="inlineStr">
        <is>
          <t>Tarea</t>
        </is>
      </c>
      <c r="D107" s="44" t="inlineStr">
        <is>
          <t>Matías</t>
        </is>
      </c>
      <c r="E107" s="46">
        <f>Tareas!H79</f>
        <v/>
      </c>
      <c r="F107" s="46">
        <f>Tareas!I79</f>
        <v/>
      </c>
      <c r="G107" s="44">
        <f>NETWORKDAYS(E107,F107,Feriados)</f>
        <v/>
      </c>
      <c r="H107" s="47">
        <f>Tareas!K79</f>
        <v/>
      </c>
      <c r="I107" s="44">
        <f>Tareas!J79</f>
        <v/>
      </c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6" t="n"/>
      <c r="AZ107" s="36" t="n"/>
      <c r="BA107" s="36" t="n"/>
      <c r="BB107" s="36" t="n"/>
      <c r="BC107" s="36" t="n"/>
      <c r="BD107" s="36" t="n"/>
      <c r="BE107" s="36" t="n"/>
      <c r="BF107" s="36" t="n"/>
      <c r="BG107" s="36" t="n"/>
      <c r="BH107" s="36" t="n"/>
      <c r="BI107" s="36" t="n"/>
      <c r="BJ107" s="36" t="n"/>
      <c r="BK107" s="36" t="n"/>
      <c r="BL107" s="36" t="n"/>
      <c r="BM107" s="36" t="n"/>
      <c r="BN107" s="36" t="n"/>
      <c r="BO107" s="36" t="n"/>
      <c r="BP107" s="36" t="n"/>
      <c r="BQ107" s="36" t="n"/>
      <c r="BR107" s="36" t="n"/>
      <c r="BS107" s="36" t="n"/>
      <c r="BT107" s="36" t="n"/>
      <c r="BU107" s="36" t="n"/>
      <c r="BV107" s="36" t="n"/>
      <c r="BW107" s="36" t="n"/>
      <c r="BX107" s="36" t="n"/>
      <c r="BY107" s="36" t="n"/>
      <c r="BZ107" s="36" t="n"/>
      <c r="CA107" s="36" t="n"/>
      <c r="CB107" s="36" t="n"/>
      <c r="CC107" s="36" t="n"/>
      <c r="CD107" s="36" t="n"/>
      <c r="CE107" s="36" t="n"/>
      <c r="CF107" s="36" t="n"/>
    </row>
    <row r="108" hidden="1" outlineLevel="2">
      <c r="A108" s="44" t="inlineStr">
        <is>
          <t>T-4.08</t>
        </is>
      </c>
      <c r="B108" s="45" t="inlineStr">
        <is>
          <t>Registro del resultado devuelto por Service Layer</t>
        </is>
      </c>
      <c r="C108" s="44" t="inlineStr">
        <is>
          <t>Tarea</t>
        </is>
      </c>
      <c r="D108" s="44" t="inlineStr">
        <is>
          <t>Alexssander</t>
        </is>
      </c>
      <c r="E108" s="46">
        <f>Tareas!H80</f>
        <v/>
      </c>
      <c r="F108" s="46">
        <f>Tareas!I80</f>
        <v/>
      </c>
      <c r="G108" s="44">
        <f>NETWORKDAYS(E108,F108,Feriados)</f>
        <v/>
      </c>
      <c r="H108" s="47">
        <f>Tareas!K80</f>
        <v/>
      </c>
      <c r="I108" s="44">
        <f>Tareas!J80</f>
        <v/>
      </c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36" t="n"/>
      <c r="BE108" s="36" t="n"/>
      <c r="BF108" s="36" t="n"/>
      <c r="BG108" s="36" t="n"/>
      <c r="BH108" s="36" t="n"/>
      <c r="BI108" s="36" t="n"/>
      <c r="BJ108" s="36" t="n"/>
      <c r="BK108" s="36" t="n"/>
      <c r="BL108" s="36" t="n"/>
      <c r="BM108" s="36" t="n"/>
      <c r="BN108" s="36" t="n"/>
      <c r="BO108" s="36" t="n"/>
      <c r="BP108" s="36" t="n"/>
      <c r="BQ108" s="36" t="n"/>
      <c r="BR108" s="36" t="n"/>
      <c r="BS108" s="36" t="n"/>
      <c r="BT108" s="36" t="n"/>
      <c r="BU108" s="36" t="n"/>
      <c r="BV108" s="36" t="n"/>
      <c r="BW108" s="36" t="n"/>
      <c r="BX108" s="36" t="n"/>
      <c r="BY108" s="36" t="n"/>
      <c r="BZ108" s="36" t="n"/>
      <c r="CA108" s="36" t="n"/>
      <c r="CB108" s="36" t="n"/>
      <c r="CC108" s="36" t="n"/>
      <c r="CD108" s="36" t="n"/>
      <c r="CE108" s="36" t="n"/>
      <c r="CF108" s="36" t="n"/>
    </row>
    <row r="109" hidden="1" outlineLevel="2">
      <c r="A109" s="44" t="inlineStr">
        <is>
          <t>T-4.09</t>
        </is>
      </c>
      <c r="B109" s="45" t="inlineStr">
        <is>
          <t>Pruebas automatizadas y ejecución de CP-059 a CP-062</t>
        </is>
      </c>
      <c r="C109" s="44" t="inlineStr">
        <is>
          <t>Tarea</t>
        </is>
      </c>
      <c r="D109" s="44" t="inlineStr">
        <is>
          <t>Millaray</t>
        </is>
      </c>
      <c r="E109" s="46">
        <f>Tareas!H81</f>
        <v/>
      </c>
      <c r="F109" s="46">
        <f>Tareas!I81</f>
        <v/>
      </c>
      <c r="G109" s="44">
        <f>NETWORKDAYS(E109,F109,Feriados)</f>
        <v/>
      </c>
      <c r="H109" s="47">
        <f>Tareas!K81</f>
        <v/>
      </c>
      <c r="I109" s="44">
        <f>Tareas!J81</f>
        <v/>
      </c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6" t="n"/>
      <c r="AZ109" s="36" t="n"/>
      <c r="BA109" s="36" t="n"/>
      <c r="BB109" s="36" t="n"/>
      <c r="BC109" s="36" t="n"/>
      <c r="BD109" s="36" t="n"/>
      <c r="BE109" s="36" t="n"/>
      <c r="BF109" s="36" t="n"/>
      <c r="BG109" s="36" t="n"/>
      <c r="BH109" s="36" t="n"/>
      <c r="BI109" s="36" t="n"/>
      <c r="BJ109" s="36" t="n"/>
      <c r="BK109" s="36" t="n"/>
      <c r="BL109" s="36" t="n"/>
      <c r="BM109" s="36" t="n"/>
      <c r="BN109" s="36" t="n"/>
      <c r="BO109" s="36" t="n"/>
      <c r="BP109" s="36" t="n"/>
      <c r="BQ109" s="36" t="n"/>
      <c r="BR109" s="36" t="n"/>
      <c r="BS109" s="36" t="n"/>
      <c r="BT109" s="36" t="n"/>
      <c r="BU109" s="36" t="n"/>
      <c r="BV109" s="36" t="n"/>
      <c r="BW109" s="36" t="n"/>
      <c r="BX109" s="36" t="n"/>
      <c r="BY109" s="36" t="n"/>
      <c r="BZ109" s="36" t="n"/>
      <c r="CA109" s="36" t="n"/>
      <c r="CB109" s="36" t="n"/>
      <c r="CC109" s="36" t="n"/>
      <c r="CD109" s="36" t="n"/>
      <c r="CE109" s="36" t="n"/>
      <c r="CF109" s="36" t="n"/>
    </row>
    <row r="110" outlineLevel="1">
      <c r="A110" s="11" t="inlineStr">
        <is>
          <t>HU-017</t>
        </is>
      </c>
      <c r="B110" s="42" t="inlineStr">
        <is>
          <t>Registrar y reintentar operaciones fallidas</t>
        </is>
      </c>
      <c r="C110" s="11" t="inlineStr">
        <is>
          <t>Historia</t>
        </is>
      </c>
      <c r="D110" s="11" t="inlineStr">
        <is>
          <t>Alexssander y Matías</t>
        </is>
      </c>
      <c r="E110" s="43">
        <f>Historias!J19</f>
        <v/>
      </c>
      <c r="F110" s="43">
        <f>Historias!K19</f>
        <v/>
      </c>
      <c r="G110" s="11">
        <f>NETWORKDAYS(E110,F110,Feriados)</f>
        <v/>
      </c>
      <c r="H110" s="13">
        <f>Historias!N19</f>
        <v/>
      </c>
      <c r="I110" s="11">
        <f>Historias!P19</f>
        <v/>
      </c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  <c r="AV110" s="36" t="n"/>
      <c r="AW110" s="36" t="n"/>
      <c r="AX110" s="36" t="n"/>
      <c r="AY110" s="36" t="n"/>
      <c r="AZ110" s="36" t="n"/>
      <c r="BA110" s="36" t="n"/>
      <c r="BB110" s="36" t="n"/>
      <c r="BC110" s="36" t="n"/>
      <c r="BD110" s="36" t="n"/>
      <c r="BE110" s="36" t="n"/>
      <c r="BF110" s="36" t="n"/>
      <c r="BG110" s="36" t="n"/>
      <c r="BH110" s="36" t="n"/>
      <c r="BI110" s="36" t="n"/>
      <c r="BJ110" s="36" t="n"/>
      <c r="BK110" s="36" t="n"/>
      <c r="BL110" s="36" t="n"/>
      <c r="BM110" s="36" t="n"/>
      <c r="BN110" s="36" t="n"/>
      <c r="BO110" s="36" t="n"/>
      <c r="BP110" s="36" t="n"/>
      <c r="BQ110" s="36" t="n"/>
      <c r="BR110" s="36" t="n"/>
      <c r="BS110" s="36" t="n"/>
      <c r="BT110" s="36" t="n"/>
      <c r="BU110" s="36" t="n"/>
      <c r="BV110" s="36" t="n"/>
      <c r="BW110" s="36" t="n"/>
      <c r="BX110" s="36" t="n"/>
      <c r="BY110" s="36" t="n"/>
      <c r="BZ110" s="36" t="n"/>
      <c r="CA110" s="36" t="n"/>
      <c r="CB110" s="36" t="n"/>
      <c r="CC110" s="36" t="n"/>
      <c r="CD110" s="36" t="n"/>
      <c r="CE110" s="36" t="n"/>
      <c r="CF110" s="36" t="n"/>
    </row>
    <row r="111" hidden="1" outlineLevel="2">
      <c r="A111" s="44" t="inlineStr">
        <is>
          <t>T-4.10</t>
        </is>
      </c>
      <c r="B111" s="45" t="inlineStr">
        <is>
          <t>Registro de operaciones (documento, resultado, identificador y error) y pantalla de consulta</t>
        </is>
      </c>
      <c r="C111" s="44" t="inlineStr">
        <is>
          <t>Tarea</t>
        </is>
      </c>
      <c r="D111" s="44" t="inlineStr">
        <is>
          <t>Matías</t>
        </is>
      </c>
      <c r="E111" s="46">
        <f>Tareas!H82</f>
        <v/>
      </c>
      <c r="F111" s="46">
        <f>Tareas!I82</f>
        <v/>
      </c>
      <c r="G111" s="44">
        <f>NETWORKDAYS(E111,F111,Feriados)</f>
        <v/>
      </c>
      <c r="H111" s="47">
        <f>Tareas!K82</f>
        <v/>
      </c>
      <c r="I111" s="44">
        <f>Tareas!J82</f>
        <v/>
      </c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6" t="n"/>
      <c r="AZ111" s="36" t="n"/>
      <c r="BA111" s="36" t="n"/>
      <c r="BB111" s="36" t="n"/>
      <c r="BC111" s="36" t="n"/>
      <c r="BD111" s="36" t="n"/>
      <c r="BE111" s="36" t="n"/>
      <c r="BF111" s="36" t="n"/>
      <c r="BG111" s="36" t="n"/>
      <c r="BH111" s="36" t="n"/>
      <c r="BI111" s="36" t="n"/>
      <c r="BJ111" s="36" t="n"/>
      <c r="BK111" s="36" t="n"/>
      <c r="BL111" s="36" t="n"/>
      <c r="BM111" s="36" t="n"/>
      <c r="BN111" s="36" t="n"/>
      <c r="BO111" s="36" t="n"/>
      <c r="BP111" s="36" t="n"/>
      <c r="BQ111" s="36" t="n"/>
      <c r="BR111" s="36" t="n"/>
      <c r="BS111" s="36" t="n"/>
      <c r="BT111" s="36" t="n"/>
      <c r="BU111" s="36" t="n"/>
      <c r="BV111" s="36" t="n"/>
      <c r="BW111" s="36" t="n"/>
      <c r="BX111" s="36" t="n"/>
      <c r="BY111" s="36" t="n"/>
      <c r="BZ111" s="36" t="n"/>
      <c r="CA111" s="36" t="n"/>
      <c r="CB111" s="36" t="n"/>
      <c r="CC111" s="36" t="n"/>
      <c r="CD111" s="36" t="n"/>
      <c r="CE111" s="36" t="n"/>
      <c r="CF111" s="36" t="n"/>
    </row>
    <row r="112" hidden="1" outlineLevel="2">
      <c r="A112" s="44" t="inlineStr">
        <is>
          <t>T-4.11</t>
        </is>
      </c>
      <c r="B112" s="45" t="inlineStr">
        <is>
          <t>Mensajes de error comprensibles para el usuario</t>
        </is>
      </c>
      <c r="C112" s="44" t="inlineStr">
        <is>
          <t>Tarea</t>
        </is>
      </c>
      <c r="D112" s="44" t="inlineStr">
        <is>
          <t>Millaray</t>
        </is>
      </c>
      <c r="E112" s="46">
        <f>Tareas!H83</f>
        <v/>
      </c>
      <c r="F112" s="46">
        <f>Tareas!I83</f>
        <v/>
      </c>
      <c r="G112" s="44">
        <f>NETWORKDAYS(E112,F112,Feriados)</f>
        <v/>
      </c>
      <c r="H112" s="47">
        <f>Tareas!K83</f>
        <v/>
      </c>
      <c r="I112" s="44">
        <f>Tareas!J83</f>
        <v/>
      </c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36" t="n"/>
      <c r="BE112" s="36" t="n"/>
      <c r="BF112" s="36" t="n"/>
      <c r="BG112" s="36" t="n"/>
      <c r="BH112" s="36" t="n"/>
      <c r="BI112" s="36" t="n"/>
      <c r="BJ112" s="36" t="n"/>
      <c r="BK112" s="36" t="n"/>
      <c r="BL112" s="36" t="n"/>
      <c r="BM112" s="36" t="n"/>
      <c r="BN112" s="36" t="n"/>
      <c r="BO112" s="36" t="n"/>
      <c r="BP112" s="36" t="n"/>
      <c r="BQ112" s="36" t="n"/>
      <c r="BR112" s="36" t="n"/>
      <c r="BS112" s="36" t="n"/>
      <c r="BT112" s="36" t="n"/>
      <c r="BU112" s="36" t="n"/>
      <c r="BV112" s="36" t="n"/>
      <c r="BW112" s="36" t="n"/>
      <c r="BX112" s="36" t="n"/>
      <c r="BY112" s="36" t="n"/>
      <c r="BZ112" s="36" t="n"/>
      <c r="CA112" s="36" t="n"/>
      <c r="CB112" s="36" t="n"/>
      <c r="CC112" s="36" t="n"/>
      <c r="CD112" s="36" t="n"/>
      <c r="CE112" s="36" t="n"/>
      <c r="CF112" s="36" t="n"/>
    </row>
    <row r="113" hidden="1" outlineLevel="2">
      <c r="A113" s="44" t="inlineStr">
        <is>
          <t>T-4.12</t>
        </is>
      </c>
      <c r="B113" s="45" t="inlineStr">
        <is>
          <t>Reintento seguro que reutiliza el documento autorizado sin duplicar líneas</t>
        </is>
      </c>
      <c r="C113" s="44" t="inlineStr">
        <is>
          <t>Tarea</t>
        </is>
      </c>
      <c r="D113" s="44" t="inlineStr">
        <is>
          <t>Alexssander</t>
        </is>
      </c>
      <c r="E113" s="46">
        <f>Tareas!H84</f>
        <v/>
      </c>
      <c r="F113" s="46">
        <f>Tareas!I84</f>
        <v/>
      </c>
      <c r="G113" s="44">
        <f>NETWORKDAYS(E113,F113,Feriados)</f>
        <v/>
      </c>
      <c r="H113" s="47">
        <f>Tareas!K84</f>
        <v/>
      </c>
      <c r="I113" s="44">
        <f>Tareas!J84</f>
        <v/>
      </c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36" t="n"/>
      <c r="BE113" s="36" t="n"/>
      <c r="BF113" s="36" t="n"/>
      <c r="BG113" s="36" t="n"/>
      <c r="BH113" s="36" t="n"/>
      <c r="BI113" s="36" t="n"/>
      <c r="BJ113" s="36" t="n"/>
      <c r="BK113" s="36" t="n"/>
      <c r="BL113" s="36" t="n"/>
      <c r="BM113" s="36" t="n"/>
      <c r="BN113" s="36" t="n"/>
      <c r="BO113" s="36" t="n"/>
      <c r="BP113" s="36" t="n"/>
      <c r="BQ113" s="36" t="n"/>
      <c r="BR113" s="36" t="n"/>
      <c r="BS113" s="36" t="n"/>
      <c r="BT113" s="36" t="n"/>
      <c r="BU113" s="36" t="n"/>
      <c r="BV113" s="36" t="n"/>
      <c r="BW113" s="36" t="n"/>
      <c r="BX113" s="36" t="n"/>
      <c r="BY113" s="36" t="n"/>
      <c r="BZ113" s="36" t="n"/>
      <c r="CA113" s="36" t="n"/>
      <c r="CB113" s="36" t="n"/>
      <c r="CC113" s="36" t="n"/>
      <c r="CD113" s="36" t="n"/>
      <c r="CE113" s="36" t="n"/>
      <c r="CF113" s="36" t="n"/>
    </row>
    <row r="114" hidden="1" outlineLevel="2">
      <c r="A114" s="44" t="inlineStr">
        <is>
          <t>T-4.13</t>
        </is>
      </c>
      <c r="B114" s="45" t="inlineStr">
        <is>
          <t>Operaciones atómicas ante errores</t>
        </is>
      </c>
      <c r="C114" s="44" t="inlineStr">
        <is>
          <t>Tarea</t>
        </is>
      </c>
      <c r="D114" s="44" t="inlineStr">
        <is>
          <t>Matías</t>
        </is>
      </c>
      <c r="E114" s="46">
        <f>Tareas!H85</f>
        <v/>
      </c>
      <c r="F114" s="46">
        <f>Tareas!I85</f>
        <v/>
      </c>
      <c r="G114" s="44">
        <f>NETWORKDAYS(E114,F114,Feriados)</f>
        <v/>
      </c>
      <c r="H114" s="47">
        <f>Tareas!K85</f>
        <v/>
      </c>
      <c r="I114" s="44">
        <f>Tareas!J85</f>
        <v/>
      </c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36" t="n"/>
      <c r="BE114" s="36" t="n"/>
      <c r="BF114" s="36" t="n"/>
      <c r="BG114" s="36" t="n"/>
      <c r="BH114" s="36" t="n"/>
      <c r="BI114" s="36" t="n"/>
      <c r="BJ114" s="36" t="n"/>
      <c r="BK114" s="36" t="n"/>
      <c r="BL114" s="36" t="n"/>
      <c r="BM114" s="36" t="n"/>
      <c r="BN114" s="36" t="n"/>
      <c r="BO114" s="36" t="n"/>
      <c r="BP114" s="36" t="n"/>
      <c r="BQ114" s="36" t="n"/>
      <c r="BR114" s="36" t="n"/>
      <c r="BS114" s="36" t="n"/>
      <c r="BT114" s="36" t="n"/>
      <c r="BU114" s="36" t="n"/>
      <c r="BV114" s="36" t="n"/>
      <c r="BW114" s="36" t="n"/>
      <c r="BX114" s="36" t="n"/>
      <c r="BY114" s="36" t="n"/>
      <c r="BZ114" s="36" t="n"/>
      <c r="CA114" s="36" t="n"/>
      <c r="CB114" s="36" t="n"/>
      <c r="CC114" s="36" t="n"/>
      <c r="CD114" s="36" t="n"/>
      <c r="CE114" s="36" t="n"/>
      <c r="CF114" s="36" t="n"/>
    </row>
    <row r="115" hidden="1" outlineLevel="2">
      <c r="A115" s="44" t="inlineStr">
        <is>
          <t>T-4.14</t>
        </is>
      </c>
      <c r="B115" s="45" t="inlineStr">
        <is>
          <t>Pruebas automatizadas y ejecución de CP-063 a CP-066</t>
        </is>
      </c>
      <c r="C115" s="44" t="inlineStr">
        <is>
          <t>Tarea</t>
        </is>
      </c>
      <c r="D115" s="44" t="inlineStr">
        <is>
          <t>Millaray</t>
        </is>
      </c>
      <c r="E115" s="46">
        <f>Tareas!H86</f>
        <v/>
      </c>
      <c r="F115" s="46">
        <f>Tareas!I86</f>
        <v/>
      </c>
      <c r="G115" s="44">
        <f>NETWORKDAYS(E115,F115,Feriados)</f>
        <v/>
      </c>
      <c r="H115" s="47">
        <f>Tareas!K86</f>
        <v/>
      </c>
      <c r="I115" s="44">
        <f>Tareas!J86</f>
        <v/>
      </c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  <c r="AV115" s="36" t="n"/>
      <c r="AW115" s="36" t="n"/>
      <c r="AX115" s="36" t="n"/>
      <c r="AY115" s="36" t="n"/>
      <c r="AZ115" s="36" t="n"/>
      <c r="BA115" s="36" t="n"/>
      <c r="BB115" s="36" t="n"/>
      <c r="BC115" s="36" t="n"/>
      <c r="BD115" s="36" t="n"/>
      <c r="BE115" s="36" t="n"/>
      <c r="BF115" s="36" t="n"/>
      <c r="BG115" s="36" t="n"/>
      <c r="BH115" s="36" t="n"/>
      <c r="BI115" s="36" t="n"/>
      <c r="BJ115" s="36" t="n"/>
      <c r="BK115" s="36" t="n"/>
      <c r="BL115" s="36" t="n"/>
      <c r="BM115" s="36" t="n"/>
      <c r="BN115" s="36" t="n"/>
      <c r="BO115" s="36" t="n"/>
      <c r="BP115" s="36" t="n"/>
      <c r="BQ115" s="36" t="n"/>
      <c r="BR115" s="36" t="n"/>
      <c r="BS115" s="36" t="n"/>
      <c r="BT115" s="36" t="n"/>
      <c r="BU115" s="36" t="n"/>
      <c r="BV115" s="36" t="n"/>
      <c r="BW115" s="36" t="n"/>
      <c r="BX115" s="36" t="n"/>
      <c r="BY115" s="36" t="n"/>
      <c r="BZ115" s="36" t="n"/>
      <c r="CA115" s="36" t="n"/>
      <c r="CB115" s="36" t="n"/>
      <c r="CC115" s="36" t="n"/>
      <c r="CD115" s="36" t="n"/>
      <c r="CE115" s="36" t="n"/>
      <c r="CF115" s="36" t="n"/>
    </row>
    <row r="116" outlineLevel="1">
      <c r="A116" s="11" t="inlineStr">
        <is>
          <t>HU-011</t>
        </is>
      </c>
      <c r="B116" s="42" t="inlineStr">
        <is>
          <t>Autorizar, enviar y seguir órdenes de venta</t>
        </is>
      </c>
      <c r="C116" s="11" t="inlineStr">
        <is>
          <t>Historia</t>
        </is>
      </c>
      <c r="D116" s="11" t="inlineStr">
        <is>
          <t>Alexssander y Matías</t>
        </is>
      </c>
      <c r="E116" s="43">
        <f>Historias!J20</f>
        <v/>
      </c>
      <c r="F116" s="43">
        <f>Historias!K20</f>
        <v/>
      </c>
      <c r="G116" s="11">
        <f>NETWORKDAYS(E116,F116,Feriados)</f>
        <v/>
      </c>
      <c r="H116" s="13">
        <f>Historias!N20</f>
        <v/>
      </c>
      <c r="I116" s="11">
        <f>Historias!P20</f>
        <v/>
      </c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6" t="n"/>
      <c r="AZ116" s="36" t="n"/>
      <c r="BA116" s="36" t="n"/>
      <c r="BB116" s="36" t="n"/>
      <c r="BC116" s="36" t="n"/>
      <c r="BD116" s="36" t="n"/>
      <c r="BE116" s="36" t="n"/>
      <c r="BF116" s="36" t="n"/>
      <c r="BG116" s="36" t="n"/>
      <c r="BH116" s="36" t="n"/>
      <c r="BI116" s="36" t="n"/>
      <c r="BJ116" s="36" t="n"/>
      <c r="BK116" s="36" t="n"/>
      <c r="BL116" s="36" t="n"/>
      <c r="BM116" s="36" t="n"/>
      <c r="BN116" s="36" t="n"/>
      <c r="BO116" s="36" t="n"/>
      <c r="BP116" s="36" t="n"/>
      <c r="BQ116" s="36" t="n"/>
      <c r="BR116" s="36" t="n"/>
      <c r="BS116" s="36" t="n"/>
      <c r="BT116" s="36" t="n"/>
      <c r="BU116" s="36" t="n"/>
      <c r="BV116" s="36" t="n"/>
      <c r="BW116" s="36" t="n"/>
      <c r="BX116" s="36" t="n"/>
      <c r="BY116" s="36" t="n"/>
      <c r="BZ116" s="36" t="n"/>
      <c r="CA116" s="36" t="n"/>
      <c r="CB116" s="36" t="n"/>
      <c r="CC116" s="36" t="n"/>
      <c r="CD116" s="36" t="n"/>
      <c r="CE116" s="36" t="n"/>
      <c r="CF116" s="36" t="n"/>
    </row>
    <row r="117" hidden="1" outlineLevel="2">
      <c r="A117" s="44" t="inlineStr">
        <is>
          <t>T-4.15</t>
        </is>
      </c>
      <c r="B117" s="45" t="inlineStr">
        <is>
          <t>Regla de límites de autorización y estado pendiente de autorización</t>
        </is>
      </c>
      <c r="C117" s="44" t="inlineStr">
        <is>
          <t>Tarea</t>
        </is>
      </c>
      <c r="D117" s="44" t="inlineStr">
        <is>
          <t>Matías</t>
        </is>
      </c>
      <c r="E117" s="46">
        <f>Tareas!H87</f>
        <v/>
      </c>
      <c r="F117" s="46">
        <f>Tareas!I87</f>
        <v/>
      </c>
      <c r="G117" s="44">
        <f>NETWORKDAYS(E117,F117,Feriados)</f>
        <v/>
      </c>
      <c r="H117" s="47">
        <f>Tareas!K87</f>
        <v/>
      </c>
      <c r="I117" s="44">
        <f>Tareas!J87</f>
        <v/>
      </c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6" t="n"/>
      <c r="AZ117" s="36" t="n"/>
      <c r="BA117" s="36" t="n"/>
      <c r="BB117" s="36" t="n"/>
      <c r="BC117" s="36" t="n"/>
      <c r="BD117" s="36" t="n"/>
      <c r="BE117" s="36" t="n"/>
      <c r="BF117" s="36" t="n"/>
      <c r="BG117" s="36" t="n"/>
      <c r="BH117" s="36" t="n"/>
      <c r="BI117" s="36" t="n"/>
      <c r="BJ117" s="36" t="n"/>
      <c r="BK117" s="36" t="n"/>
      <c r="BL117" s="36" t="n"/>
      <c r="BM117" s="36" t="n"/>
      <c r="BN117" s="36" t="n"/>
      <c r="BO117" s="36" t="n"/>
      <c r="BP117" s="36" t="n"/>
      <c r="BQ117" s="36" t="n"/>
      <c r="BR117" s="36" t="n"/>
      <c r="BS117" s="36" t="n"/>
      <c r="BT117" s="36" t="n"/>
      <c r="BU117" s="36" t="n"/>
      <c r="BV117" s="36" t="n"/>
      <c r="BW117" s="36" t="n"/>
      <c r="BX117" s="36" t="n"/>
      <c r="BY117" s="36" t="n"/>
      <c r="BZ117" s="36" t="n"/>
      <c r="CA117" s="36" t="n"/>
      <c r="CB117" s="36" t="n"/>
      <c r="CC117" s="36" t="n"/>
      <c r="CD117" s="36" t="n"/>
      <c r="CE117" s="36" t="n"/>
      <c r="CF117" s="36" t="n"/>
    </row>
    <row r="118" hidden="1" outlineLevel="2">
      <c r="A118" s="44" t="inlineStr">
        <is>
          <t>T-4.16</t>
        </is>
      </c>
      <c r="B118" s="45" t="inlineStr">
        <is>
          <t>Bandeja y aprobación del autorizador comercial</t>
        </is>
      </c>
      <c r="C118" s="44" t="inlineStr">
        <is>
          <t>Tarea</t>
        </is>
      </c>
      <c r="D118" s="44" t="inlineStr">
        <is>
          <t>Millaray</t>
        </is>
      </c>
      <c r="E118" s="46">
        <f>Tareas!H88</f>
        <v/>
      </c>
      <c r="F118" s="46">
        <f>Tareas!I88</f>
        <v/>
      </c>
      <c r="G118" s="44">
        <f>NETWORKDAYS(E118,F118,Feriados)</f>
        <v/>
      </c>
      <c r="H118" s="47">
        <f>Tareas!K88</f>
        <v/>
      </c>
      <c r="I118" s="44">
        <f>Tareas!J88</f>
        <v/>
      </c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36" t="n"/>
      <c r="BE118" s="36" t="n"/>
      <c r="BF118" s="36" t="n"/>
      <c r="BG118" s="36" t="n"/>
      <c r="BH118" s="36" t="n"/>
      <c r="BI118" s="36" t="n"/>
      <c r="BJ118" s="36" t="n"/>
      <c r="BK118" s="36" t="n"/>
      <c r="BL118" s="36" t="n"/>
      <c r="BM118" s="36" t="n"/>
      <c r="BN118" s="36" t="n"/>
      <c r="BO118" s="36" t="n"/>
      <c r="BP118" s="36" t="n"/>
      <c r="BQ118" s="36" t="n"/>
      <c r="BR118" s="36" t="n"/>
      <c r="BS118" s="36" t="n"/>
      <c r="BT118" s="36" t="n"/>
      <c r="BU118" s="36" t="n"/>
      <c r="BV118" s="36" t="n"/>
      <c r="BW118" s="36" t="n"/>
      <c r="BX118" s="36" t="n"/>
      <c r="BY118" s="36" t="n"/>
      <c r="BZ118" s="36" t="n"/>
      <c r="CA118" s="36" t="n"/>
      <c r="CB118" s="36" t="n"/>
      <c r="CC118" s="36" t="n"/>
      <c r="CD118" s="36" t="n"/>
      <c r="CE118" s="36" t="n"/>
      <c r="CF118" s="36" t="n"/>
    </row>
    <row r="119" hidden="1" outlineLevel="2">
      <c r="A119" s="44" t="inlineStr">
        <is>
          <t>T-4.17</t>
        </is>
      </c>
      <c r="B119" s="45" t="inlineStr">
        <is>
          <t>Envío de la orden autorizada por Service Layer y registro del identificador</t>
        </is>
      </c>
      <c r="C119" s="44" t="inlineStr">
        <is>
          <t>Tarea</t>
        </is>
      </c>
      <c r="D119" s="44" t="inlineStr">
        <is>
          <t>Alexssander</t>
        </is>
      </c>
      <c r="E119" s="46">
        <f>Tareas!H89</f>
        <v/>
      </c>
      <c r="F119" s="46">
        <f>Tareas!I89</f>
        <v/>
      </c>
      <c r="G119" s="44">
        <f>NETWORKDAYS(E119,F119,Feriados)</f>
        <v/>
      </c>
      <c r="H119" s="47">
        <f>Tareas!K89</f>
        <v/>
      </c>
      <c r="I119" s="44">
        <f>Tareas!J89</f>
        <v/>
      </c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  <c r="AV119" s="36" t="n"/>
      <c r="AW119" s="36" t="n"/>
      <c r="AX119" s="36" t="n"/>
      <c r="AY119" s="36" t="n"/>
      <c r="AZ119" s="36" t="n"/>
      <c r="BA119" s="36" t="n"/>
      <c r="BB119" s="36" t="n"/>
      <c r="BC119" s="36" t="n"/>
      <c r="BD119" s="36" t="n"/>
      <c r="BE119" s="36" t="n"/>
      <c r="BF119" s="36" t="n"/>
      <c r="BG119" s="36" t="n"/>
      <c r="BH119" s="36" t="n"/>
      <c r="BI119" s="36" t="n"/>
      <c r="BJ119" s="36" t="n"/>
      <c r="BK119" s="36" t="n"/>
      <c r="BL119" s="36" t="n"/>
      <c r="BM119" s="36" t="n"/>
      <c r="BN119" s="36" t="n"/>
      <c r="BO119" s="36" t="n"/>
      <c r="BP119" s="36" t="n"/>
      <c r="BQ119" s="36" t="n"/>
      <c r="BR119" s="36" t="n"/>
      <c r="BS119" s="36" t="n"/>
      <c r="BT119" s="36" t="n"/>
      <c r="BU119" s="36" t="n"/>
      <c r="BV119" s="36" t="n"/>
      <c r="BW119" s="36" t="n"/>
      <c r="BX119" s="36" t="n"/>
      <c r="BY119" s="36" t="n"/>
      <c r="BZ119" s="36" t="n"/>
      <c r="CA119" s="36" t="n"/>
      <c r="CB119" s="36" t="n"/>
      <c r="CC119" s="36" t="n"/>
      <c r="CD119" s="36" t="n"/>
      <c r="CE119" s="36" t="n"/>
      <c r="CF119" s="36" t="n"/>
    </row>
    <row r="120" hidden="1" outlineLevel="2">
      <c r="A120" s="44" t="inlineStr">
        <is>
          <t>T-4.18</t>
        </is>
      </c>
      <c r="B120" s="45" t="inlineStr">
        <is>
          <t>Consulta del estado, vínculo y trazabilidad del documento</t>
        </is>
      </c>
      <c r="C120" s="44" t="inlineStr">
        <is>
          <t>Tarea</t>
        </is>
      </c>
      <c r="D120" s="44" t="inlineStr">
        <is>
          <t>Millaray</t>
        </is>
      </c>
      <c r="E120" s="46">
        <f>Tareas!H90</f>
        <v/>
      </c>
      <c r="F120" s="46">
        <f>Tareas!I90</f>
        <v/>
      </c>
      <c r="G120" s="44">
        <f>NETWORKDAYS(E120,F120,Feriados)</f>
        <v/>
      </c>
      <c r="H120" s="47">
        <f>Tareas!K90</f>
        <v/>
      </c>
      <c r="I120" s="44">
        <f>Tareas!J90</f>
        <v/>
      </c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6" t="n"/>
      <c r="AZ120" s="36" t="n"/>
      <c r="BA120" s="36" t="n"/>
      <c r="BB120" s="36" t="n"/>
      <c r="BC120" s="36" t="n"/>
      <c r="BD120" s="36" t="n"/>
      <c r="BE120" s="36" t="n"/>
      <c r="BF120" s="36" t="n"/>
      <c r="BG120" s="36" t="n"/>
      <c r="BH120" s="36" t="n"/>
      <c r="BI120" s="36" t="n"/>
      <c r="BJ120" s="36" t="n"/>
      <c r="BK120" s="36" t="n"/>
      <c r="BL120" s="36" t="n"/>
      <c r="BM120" s="36" t="n"/>
      <c r="BN120" s="36" t="n"/>
      <c r="BO120" s="36" t="n"/>
      <c r="BP120" s="36" t="n"/>
      <c r="BQ120" s="36" t="n"/>
      <c r="BR120" s="36" t="n"/>
      <c r="BS120" s="36" t="n"/>
      <c r="BT120" s="36" t="n"/>
      <c r="BU120" s="36" t="n"/>
      <c r="BV120" s="36" t="n"/>
      <c r="BW120" s="36" t="n"/>
      <c r="BX120" s="36" t="n"/>
      <c r="BY120" s="36" t="n"/>
      <c r="BZ120" s="36" t="n"/>
      <c r="CA120" s="36" t="n"/>
      <c r="CB120" s="36" t="n"/>
      <c r="CC120" s="36" t="n"/>
      <c r="CD120" s="36" t="n"/>
      <c r="CE120" s="36" t="n"/>
      <c r="CF120" s="36" t="n"/>
    </row>
    <row r="121" hidden="1" outlineLevel="2">
      <c r="A121" s="44" t="inlineStr">
        <is>
          <t>T-4.19</t>
        </is>
      </c>
      <c r="B121" s="45" t="inlineStr">
        <is>
          <t>Pruebas automatizadas y ejecución de CP-039 a CP-042</t>
        </is>
      </c>
      <c r="C121" s="44" t="inlineStr">
        <is>
          <t>Tarea</t>
        </is>
      </c>
      <c r="D121" s="44" t="inlineStr">
        <is>
          <t>Matías</t>
        </is>
      </c>
      <c r="E121" s="46">
        <f>Tareas!H91</f>
        <v/>
      </c>
      <c r="F121" s="46">
        <f>Tareas!I91</f>
        <v/>
      </c>
      <c r="G121" s="44">
        <f>NETWORKDAYS(E121,F121,Feriados)</f>
        <v/>
      </c>
      <c r="H121" s="47">
        <f>Tareas!K91</f>
        <v/>
      </c>
      <c r="I121" s="44">
        <f>Tareas!J91</f>
        <v/>
      </c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6" t="n"/>
      <c r="AZ121" s="36" t="n"/>
      <c r="BA121" s="36" t="n"/>
      <c r="BB121" s="36" t="n"/>
      <c r="BC121" s="36" t="n"/>
      <c r="BD121" s="36" t="n"/>
      <c r="BE121" s="36" t="n"/>
      <c r="BF121" s="36" t="n"/>
      <c r="BG121" s="36" t="n"/>
      <c r="BH121" s="36" t="n"/>
      <c r="BI121" s="36" t="n"/>
      <c r="BJ121" s="36" t="n"/>
      <c r="BK121" s="36" t="n"/>
      <c r="BL121" s="36" t="n"/>
      <c r="BM121" s="36" t="n"/>
      <c r="BN121" s="36" t="n"/>
      <c r="BO121" s="36" t="n"/>
      <c r="BP121" s="36" t="n"/>
      <c r="BQ121" s="36" t="n"/>
      <c r="BR121" s="36" t="n"/>
      <c r="BS121" s="36" t="n"/>
      <c r="BT121" s="36" t="n"/>
      <c r="BU121" s="36" t="n"/>
      <c r="BV121" s="36" t="n"/>
      <c r="BW121" s="36" t="n"/>
      <c r="BX121" s="36" t="n"/>
      <c r="BY121" s="36" t="n"/>
      <c r="BZ121" s="36" t="n"/>
      <c r="CA121" s="36" t="n"/>
      <c r="CB121" s="36" t="n"/>
      <c r="CC121" s="36" t="n"/>
      <c r="CD121" s="36" t="n"/>
      <c r="CE121" s="36" t="n"/>
      <c r="CF121" s="36" t="n"/>
    </row>
    <row r="122" outlineLevel="1">
      <c r="A122" s="11" t="inlineStr"/>
      <c r="B122" s="42" t="inlineStr">
        <is>
          <t>Tareas transversales del sprint</t>
        </is>
      </c>
      <c r="C122" s="11" t="inlineStr">
        <is>
          <t>Historia</t>
        </is>
      </c>
      <c r="D122" s="11" t="inlineStr">
        <is>
          <t>Scrum Team</t>
        </is>
      </c>
      <c r="E122" s="43">
        <f>_xlfn.MINIFS(Tareas!$H:$H,Tareas!$B:$B,"Sprint 4",Tareas!$C:$C,"Transversal")</f>
        <v/>
      </c>
      <c r="F122" s="43">
        <f>_xlfn.MAXIFS(Tareas!$I:$I,Tareas!$B:$B,"Sprint 4",Tareas!$C:$C,"Transversal")</f>
        <v/>
      </c>
      <c r="G122" s="11">
        <f>NETWORKDAYS(E122,F122,Feriados)</f>
        <v/>
      </c>
      <c r="H122" s="13">
        <f>IFERROR(SUMIFS(Tareas!$L:$L,Tareas!$B:$B,"Sprint 4",Tareas!$C:$C,"Transversal")/SUMIFS(Tareas!$F:$F,Tareas!$B:$B,"Sprint 4",Tareas!$C:$C,"Transversal"),0)</f>
        <v/>
      </c>
      <c r="I122" s="11" t="inlineStr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  <c r="AV122" s="36" t="n"/>
      <c r="AW122" s="36" t="n"/>
      <c r="AX122" s="36" t="n"/>
      <c r="AY122" s="36" t="n"/>
      <c r="AZ122" s="36" t="n"/>
      <c r="BA122" s="36" t="n"/>
      <c r="BB122" s="36" t="n"/>
      <c r="BC122" s="36" t="n"/>
      <c r="BD122" s="36" t="n"/>
      <c r="BE122" s="36" t="n"/>
      <c r="BF122" s="36" t="n"/>
      <c r="BG122" s="36" t="n"/>
      <c r="BH122" s="36" t="n"/>
      <c r="BI122" s="36" t="n"/>
      <c r="BJ122" s="36" t="n"/>
      <c r="BK122" s="36" t="n"/>
      <c r="BL122" s="36" t="n"/>
      <c r="BM122" s="36" t="n"/>
      <c r="BN122" s="36" t="n"/>
      <c r="BO122" s="36" t="n"/>
      <c r="BP122" s="36" t="n"/>
      <c r="BQ122" s="36" t="n"/>
      <c r="BR122" s="36" t="n"/>
      <c r="BS122" s="36" t="n"/>
      <c r="BT122" s="36" t="n"/>
      <c r="BU122" s="36" t="n"/>
      <c r="BV122" s="36" t="n"/>
      <c r="BW122" s="36" t="n"/>
      <c r="BX122" s="36" t="n"/>
      <c r="BY122" s="36" t="n"/>
      <c r="BZ122" s="36" t="n"/>
      <c r="CA122" s="36" t="n"/>
      <c r="CB122" s="36" t="n"/>
      <c r="CC122" s="36" t="n"/>
      <c r="CD122" s="36" t="n"/>
      <c r="CE122" s="36" t="n"/>
      <c r="CF122" s="36" t="n"/>
    </row>
    <row r="123" hidden="1" outlineLevel="2">
      <c r="A123" s="44" t="inlineStr">
        <is>
          <t>T-4.20</t>
        </is>
      </c>
      <c r="B123" s="45" t="inlineStr">
        <is>
          <t>Validar el flujo comercial completo con la Jefatura Comercial y el Administrador de SAP</t>
        </is>
      </c>
      <c r="C123" s="44" t="inlineStr">
        <is>
          <t>Tarea</t>
        </is>
      </c>
      <c r="D123" s="44" t="inlineStr">
        <is>
          <t>Matías</t>
        </is>
      </c>
      <c r="E123" s="46">
        <f>Tareas!H92</f>
        <v/>
      </c>
      <c r="F123" s="46">
        <f>Tareas!I92</f>
        <v/>
      </c>
      <c r="G123" s="44">
        <f>NETWORKDAYS(E123,F123,Feriados)</f>
        <v/>
      </c>
      <c r="H123" s="47">
        <f>Tareas!K92</f>
        <v/>
      </c>
      <c r="I123" s="44">
        <f>Tareas!J92</f>
        <v/>
      </c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36" t="n"/>
      <c r="BE123" s="36" t="n"/>
      <c r="BF123" s="36" t="n"/>
      <c r="BG123" s="36" t="n"/>
      <c r="BH123" s="36" t="n"/>
      <c r="BI123" s="36" t="n"/>
      <c r="BJ123" s="36" t="n"/>
      <c r="BK123" s="36" t="n"/>
      <c r="BL123" s="36" t="n"/>
      <c r="BM123" s="36" t="n"/>
      <c r="BN123" s="36" t="n"/>
      <c r="BO123" s="36" t="n"/>
      <c r="BP123" s="36" t="n"/>
      <c r="BQ123" s="36" t="n"/>
      <c r="BR123" s="36" t="n"/>
      <c r="BS123" s="36" t="n"/>
      <c r="BT123" s="36" t="n"/>
      <c r="BU123" s="36" t="n"/>
      <c r="BV123" s="36" t="n"/>
      <c r="BW123" s="36" t="n"/>
      <c r="BX123" s="36" t="n"/>
      <c r="BY123" s="36" t="n"/>
      <c r="BZ123" s="36" t="n"/>
      <c r="CA123" s="36" t="n"/>
      <c r="CB123" s="36" t="n"/>
      <c r="CC123" s="36" t="n"/>
      <c r="CD123" s="36" t="n"/>
      <c r="CE123" s="36" t="n"/>
      <c r="CF123" s="36" t="n"/>
    </row>
    <row r="124" hidden="1" outlineLevel="2">
      <c r="A124" s="44" t="inlineStr">
        <is>
          <t>T-4.21</t>
        </is>
      </c>
      <c r="B124" s="45" t="inlineStr">
        <is>
          <t>Integrar develop en main, etiquetar v0.4.0 y preparar la demostración</t>
        </is>
      </c>
      <c r="C124" s="44" t="inlineStr">
        <is>
          <t>Tarea</t>
        </is>
      </c>
      <c r="D124" s="44" t="inlineStr">
        <is>
          <t>Alexssander</t>
        </is>
      </c>
      <c r="E124" s="46">
        <f>Tareas!H93</f>
        <v/>
      </c>
      <c r="F124" s="46">
        <f>Tareas!I93</f>
        <v/>
      </c>
      <c r="G124" s="44">
        <f>NETWORKDAYS(E124,F124,Feriados)</f>
        <v/>
      </c>
      <c r="H124" s="47">
        <f>Tareas!K93</f>
        <v/>
      </c>
      <c r="I124" s="44">
        <f>Tareas!J93</f>
        <v/>
      </c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6" t="n"/>
      <c r="AZ124" s="36" t="n"/>
      <c r="BA124" s="36" t="n"/>
      <c r="BB124" s="36" t="n"/>
      <c r="BC124" s="36" t="n"/>
      <c r="BD124" s="36" t="n"/>
      <c r="BE124" s="36" t="n"/>
      <c r="BF124" s="36" t="n"/>
      <c r="BG124" s="36" t="n"/>
      <c r="BH124" s="36" t="n"/>
      <c r="BI124" s="36" t="n"/>
      <c r="BJ124" s="36" t="n"/>
      <c r="BK124" s="36" t="n"/>
      <c r="BL124" s="36" t="n"/>
      <c r="BM124" s="36" t="n"/>
      <c r="BN124" s="36" t="n"/>
      <c r="BO124" s="36" t="n"/>
      <c r="BP124" s="36" t="n"/>
      <c r="BQ124" s="36" t="n"/>
      <c r="BR124" s="36" t="n"/>
      <c r="BS124" s="36" t="n"/>
      <c r="BT124" s="36" t="n"/>
      <c r="BU124" s="36" t="n"/>
      <c r="BV124" s="36" t="n"/>
      <c r="BW124" s="36" t="n"/>
      <c r="BX124" s="36" t="n"/>
      <c r="BY124" s="36" t="n"/>
      <c r="BZ124" s="36" t="n"/>
      <c r="CA124" s="36" t="n"/>
      <c r="CB124" s="36" t="n"/>
      <c r="CC124" s="36" t="n"/>
      <c r="CD124" s="36" t="n"/>
      <c r="CE124" s="36" t="n"/>
      <c r="CF124" s="36" t="n"/>
    </row>
    <row r="125" hidden="1" outlineLevel="2">
      <c r="A125" s="44" t="inlineStr">
        <is>
          <t>T-4.22</t>
        </is>
      </c>
      <c r="B125" s="45" t="inlineStr">
        <is>
          <t>Actualizar la matriz de trazabilidad y el Expediente de Sprint</t>
        </is>
      </c>
      <c r="C125" s="44" t="inlineStr">
        <is>
          <t>Tarea</t>
        </is>
      </c>
      <c r="D125" s="44" t="inlineStr">
        <is>
          <t>Millaray</t>
        </is>
      </c>
      <c r="E125" s="46">
        <f>Tareas!H94</f>
        <v/>
      </c>
      <c r="F125" s="46">
        <f>Tareas!I94</f>
        <v/>
      </c>
      <c r="G125" s="44">
        <f>NETWORKDAYS(E125,F125,Feriados)</f>
        <v/>
      </c>
      <c r="H125" s="47">
        <f>Tareas!K94</f>
        <v/>
      </c>
      <c r="I125" s="44">
        <f>Tareas!J94</f>
        <v/>
      </c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6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36" t="n"/>
      <c r="BS125" s="36" t="n"/>
      <c r="BT125" s="36" t="n"/>
      <c r="BU125" s="36" t="n"/>
      <c r="BV125" s="36" t="n"/>
      <c r="BW125" s="36" t="n"/>
      <c r="BX125" s="36" t="n"/>
      <c r="BY125" s="36" t="n"/>
      <c r="BZ125" s="36" t="n"/>
      <c r="CA125" s="36" t="n"/>
      <c r="CB125" s="36" t="n"/>
      <c r="CC125" s="36" t="n"/>
      <c r="CD125" s="36" t="n"/>
      <c r="CE125" s="36" t="n"/>
      <c r="CF125" s="36" t="n"/>
    </row>
    <row r="126">
      <c r="A126" s="9" t="inlineStr">
        <is>
          <t>S5</t>
        </is>
      </c>
      <c r="B126" s="34" t="inlineStr">
        <is>
          <t>Sprint 5 · Posventa y trazabilidad</t>
        </is>
      </c>
      <c r="C126" s="9" t="inlineStr">
        <is>
          <t>Sprint</t>
        </is>
      </c>
      <c r="D126" s="9" t="inlineStr">
        <is>
          <t>PO: Millaray · SM: Alexssander</t>
        </is>
      </c>
      <c r="E126" s="35">
        <f>Resumen!C12</f>
        <v/>
      </c>
      <c r="F126" s="35">
        <f>Resumen!D12</f>
        <v/>
      </c>
      <c r="G126" s="9">
        <f>NETWORKDAYS(E126,F126,Feriados)</f>
        <v/>
      </c>
      <c r="H126" s="16">
        <f>Resumen!L12</f>
        <v/>
      </c>
      <c r="I126" s="9">
        <f>Resumen!Q12</f>
        <v/>
      </c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6" t="n"/>
      <c r="AZ126" s="36" t="n"/>
      <c r="BA126" s="36" t="n"/>
      <c r="BB126" s="36" t="n"/>
      <c r="BC126" s="36" t="n"/>
      <c r="BD126" s="36" t="n"/>
      <c r="BE126" s="36" t="n"/>
      <c r="BF126" s="36" t="n"/>
      <c r="BG126" s="36" t="n"/>
      <c r="BH126" s="36" t="n"/>
      <c r="BI126" s="36" t="n"/>
      <c r="BJ126" s="36" t="n"/>
      <c r="BK126" s="36" t="n"/>
      <c r="BL126" s="36" t="n"/>
      <c r="BM126" s="36" t="n"/>
      <c r="BN126" s="36" t="n"/>
      <c r="BO126" s="36" t="n"/>
      <c r="BP126" s="36" t="n"/>
      <c r="BQ126" s="36" t="n"/>
      <c r="BR126" s="36" t="n"/>
      <c r="BS126" s="36" t="n"/>
      <c r="BT126" s="36" t="n"/>
      <c r="BU126" s="36" t="n"/>
      <c r="BV126" s="36" t="n"/>
      <c r="BW126" s="36" t="n"/>
      <c r="BX126" s="36" t="n"/>
      <c r="BY126" s="36" t="n"/>
      <c r="BZ126" s="36" t="n"/>
      <c r="CA126" s="36" t="n"/>
      <c r="CB126" s="36" t="n"/>
      <c r="CC126" s="36" t="n"/>
      <c r="CD126" s="36" t="n"/>
      <c r="CE126" s="36" t="n"/>
      <c r="CF126" s="36" t="n"/>
    </row>
    <row r="127" outlineLevel="1">
      <c r="A127" s="37" t="inlineStr"/>
      <c r="B127" s="38" t="inlineStr">
        <is>
          <t>Eventos Scrum</t>
        </is>
      </c>
      <c r="C127" s="37" t="inlineStr">
        <is>
          <t>Eventos</t>
        </is>
      </c>
      <c r="D127" s="37" t="inlineStr">
        <is>
          <t>Scrum Team</t>
        </is>
      </c>
      <c r="E127" s="39" t="inlineStr"/>
      <c r="F127" s="39" t="inlineStr"/>
      <c r="G127" s="37" t="inlineStr"/>
      <c r="H127" s="40" t="inlineStr"/>
      <c r="I127" s="37" t="inlineStr"/>
      <c r="J127" s="41">
        <f>IF(J$6=Eventos!$C$26,"F",IF(J$6=Eventos!$C$25,"P",IF(J$6=Eventos!$C$27,"C",IF(J$6=Eventos!$C$28,"R",""))))</f>
        <v/>
      </c>
      <c r="K127" s="41">
        <f>IF(K$6=Eventos!$C$26,"F",IF(K$6=Eventos!$C$25,"P",IF(K$6=Eventos!$C$27,"C",IF(K$6=Eventos!$C$28,"R",""))))</f>
        <v/>
      </c>
      <c r="L127" s="41">
        <f>IF(L$6=Eventos!$C$26,"F",IF(L$6=Eventos!$C$25,"P",IF(L$6=Eventos!$C$27,"C",IF(L$6=Eventos!$C$28,"R",""))))</f>
        <v/>
      </c>
      <c r="M127" s="41">
        <f>IF(M$6=Eventos!$C$26,"F",IF(M$6=Eventos!$C$25,"P",IF(M$6=Eventos!$C$27,"C",IF(M$6=Eventos!$C$28,"R",""))))</f>
        <v/>
      </c>
      <c r="N127" s="41">
        <f>IF(N$6=Eventos!$C$26,"F",IF(N$6=Eventos!$C$25,"P",IF(N$6=Eventos!$C$27,"C",IF(N$6=Eventos!$C$28,"R",""))))</f>
        <v/>
      </c>
      <c r="O127" s="41">
        <f>IF(O$6=Eventos!$C$26,"F",IF(O$6=Eventos!$C$25,"P",IF(O$6=Eventos!$C$27,"C",IF(O$6=Eventos!$C$28,"R",""))))</f>
        <v/>
      </c>
      <c r="P127" s="41">
        <f>IF(P$6=Eventos!$C$26,"F",IF(P$6=Eventos!$C$25,"P",IF(P$6=Eventos!$C$27,"C",IF(P$6=Eventos!$C$28,"R",""))))</f>
        <v/>
      </c>
      <c r="Q127" s="41">
        <f>IF(Q$6=Eventos!$C$26,"F",IF(Q$6=Eventos!$C$25,"P",IF(Q$6=Eventos!$C$27,"C",IF(Q$6=Eventos!$C$28,"R",""))))</f>
        <v/>
      </c>
      <c r="R127" s="41">
        <f>IF(R$6=Eventos!$C$26,"F",IF(R$6=Eventos!$C$25,"P",IF(R$6=Eventos!$C$27,"C",IF(R$6=Eventos!$C$28,"R",""))))</f>
        <v/>
      </c>
      <c r="S127" s="41">
        <f>IF(S$6=Eventos!$C$26,"F",IF(S$6=Eventos!$C$25,"P",IF(S$6=Eventos!$C$27,"C",IF(S$6=Eventos!$C$28,"R",""))))</f>
        <v/>
      </c>
      <c r="T127" s="41">
        <f>IF(T$6=Eventos!$C$26,"F",IF(T$6=Eventos!$C$25,"P",IF(T$6=Eventos!$C$27,"C",IF(T$6=Eventos!$C$28,"R",""))))</f>
        <v/>
      </c>
      <c r="U127" s="41">
        <f>IF(U$6=Eventos!$C$26,"F",IF(U$6=Eventos!$C$25,"P",IF(U$6=Eventos!$C$27,"C",IF(U$6=Eventos!$C$28,"R",""))))</f>
        <v/>
      </c>
      <c r="V127" s="41">
        <f>IF(V$6=Eventos!$C$26,"F",IF(V$6=Eventos!$C$25,"P",IF(V$6=Eventos!$C$27,"C",IF(V$6=Eventos!$C$28,"R",""))))</f>
        <v/>
      </c>
      <c r="W127" s="41">
        <f>IF(W$6=Eventos!$C$26,"F",IF(W$6=Eventos!$C$25,"P",IF(W$6=Eventos!$C$27,"C",IF(W$6=Eventos!$C$28,"R",""))))</f>
        <v/>
      </c>
      <c r="X127" s="41">
        <f>IF(X$6=Eventos!$C$26,"F",IF(X$6=Eventos!$C$25,"P",IF(X$6=Eventos!$C$27,"C",IF(X$6=Eventos!$C$28,"R",""))))</f>
        <v/>
      </c>
      <c r="Y127" s="41">
        <f>IF(Y$6=Eventos!$C$26,"F",IF(Y$6=Eventos!$C$25,"P",IF(Y$6=Eventos!$C$27,"C",IF(Y$6=Eventos!$C$28,"R",""))))</f>
        <v/>
      </c>
      <c r="Z127" s="41">
        <f>IF(Z$6=Eventos!$C$26,"F",IF(Z$6=Eventos!$C$25,"P",IF(Z$6=Eventos!$C$27,"C",IF(Z$6=Eventos!$C$28,"R",""))))</f>
        <v/>
      </c>
      <c r="AA127" s="41">
        <f>IF(AA$6=Eventos!$C$26,"F",IF(AA$6=Eventos!$C$25,"P",IF(AA$6=Eventos!$C$27,"C",IF(AA$6=Eventos!$C$28,"R",""))))</f>
        <v/>
      </c>
      <c r="AB127" s="41">
        <f>IF(AB$6=Eventos!$C$26,"F",IF(AB$6=Eventos!$C$25,"P",IF(AB$6=Eventos!$C$27,"C",IF(AB$6=Eventos!$C$28,"R",""))))</f>
        <v/>
      </c>
      <c r="AC127" s="41">
        <f>IF(AC$6=Eventos!$C$26,"F",IF(AC$6=Eventos!$C$25,"P",IF(AC$6=Eventos!$C$27,"C",IF(AC$6=Eventos!$C$28,"R",""))))</f>
        <v/>
      </c>
      <c r="AD127" s="41">
        <f>IF(AD$6=Eventos!$C$26,"F",IF(AD$6=Eventos!$C$25,"P",IF(AD$6=Eventos!$C$27,"C",IF(AD$6=Eventos!$C$28,"R",""))))</f>
        <v/>
      </c>
      <c r="AE127" s="41">
        <f>IF(AE$6=Eventos!$C$26,"F",IF(AE$6=Eventos!$C$25,"P",IF(AE$6=Eventos!$C$27,"C",IF(AE$6=Eventos!$C$28,"R",""))))</f>
        <v/>
      </c>
      <c r="AF127" s="41">
        <f>IF(AF$6=Eventos!$C$26,"F",IF(AF$6=Eventos!$C$25,"P",IF(AF$6=Eventos!$C$27,"C",IF(AF$6=Eventos!$C$28,"R",""))))</f>
        <v/>
      </c>
      <c r="AG127" s="41">
        <f>IF(AG$6=Eventos!$C$26,"F",IF(AG$6=Eventos!$C$25,"P",IF(AG$6=Eventos!$C$27,"C",IF(AG$6=Eventos!$C$28,"R",""))))</f>
        <v/>
      </c>
      <c r="AH127" s="41">
        <f>IF(AH$6=Eventos!$C$26,"F",IF(AH$6=Eventos!$C$25,"P",IF(AH$6=Eventos!$C$27,"C",IF(AH$6=Eventos!$C$28,"R",""))))</f>
        <v/>
      </c>
      <c r="AI127" s="41">
        <f>IF(AI$6=Eventos!$C$26,"F",IF(AI$6=Eventos!$C$25,"P",IF(AI$6=Eventos!$C$27,"C",IF(AI$6=Eventos!$C$28,"R",""))))</f>
        <v/>
      </c>
      <c r="AJ127" s="41">
        <f>IF(AJ$6=Eventos!$C$26,"F",IF(AJ$6=Eventos!$C$25,"P",IF(AJ$6=Eventos!$C$27,"C",IF(AJ$6=Eventos!$C$28,"R",""))))</f>
        <v/>
      </c>
      <c r="AK127" s="41">
        <f>IF(AK$6=Eventos!$C$26,"F",IF(AK$6=Eventos!$C$25,"P",IF(AK$6=Eventos!$C$27,"C",IF(AK$6=Eventos!$C$28,"R",""))))</f>
        <v/>
      </c>
      <c r="AL127" s="41">
        <f>IF(AL$6=Eventos!$C$26,"F",IF(AL$6=Eventos!$C$25,"P",IF(AL$6=Eventos!$C$27,"C",IF(AL$6=Eventos!$C$28,"R",""))))</f>
        <v/>
      </c>
      <c r="AM127" s="41">
        <f>IF(AM$6=Eventos!$C$26,"F",IF(AM$6=Eventos!$C$25,"P",IF(AM$6=Eventos!$C$27,"C",IF(AM$6=Eventos!$C$28,"R",""))))</f>
        <v/>
      </c>
      <c r="AN127" s="41">
        <f>IF(AN$6=Eventos!$C$26,"F",IF(AN$6=Eventos!$C$25,"P",IF(AN$6=Eventos!$C$27,"C",IF(AN$6=Eventos!$C$28,"R",""))))</f>
        <v/>
      </c>
      <c r="AO127" s="41">
        <f>IF(AO$6=Eventos!$C$26,"F",IF(AO$6=Eventos!$C$25,"P",IF(AO$6=Eventos!$C$27,"C",IF(AO$6=Eventos!$C$28,"R",""))))</f>
        <v/>
      </c>
      <c r="AP127" s="41">
        <f>IF(AP$6=Eventos!$C$26,"F",IF(AP$6=Eventos!$C$25,"P",IF(AP$6=Eventos!$C$27,"C",IF(AP$6=Eventos!$C$28,"R",""))))</f>
        <v/>
      </c>
      <c r="AQ127" s="41">
        <f>IF(AQ$6=Eventos!$C$26,"F",IF(AQ$6=Eventos!$C$25,"P",IF(AQ$6=Eventos!$C$27,"C",IF(AQ$6=Eventos!$C$28,"R",""))))</f>
        <v/>
      </c>
      <c r="AR127" s="41">
        <f>IF(AR$6=Eventos!$C$26,"F",IF(AR$6=Eventos!$C$25,"P",IF(AR$6=Eventos!$C$27,"C",IF(AR$6=Eventos!$C$28,"R",""))))</f>
        <v/>
      </c>
      <c r="AS127" s="41">
        <f>IF(AS$6=Eventos!$C$26,"F",IF(AS$6=Eventos!$C$25,"P",IF(AS$6=Eventos!$C$27,"C",IF(AS$6=Eventos!$C$28,"R",""))))</f>
        <v/>
      </c>
      <c r="AT127" s="41">
        <f>IF(AT$6=Eventos!$C$26,"F",IF(AT$6=Eventos!$C$25,"P",IF(AT$6=Eventos!$C$27,"C",IF(AT$6=Eventos!$C$28,"R",""))))</f>
        <v/>
      </c>
      <c r="AU127" s="41">
        <f>IF(AU$6=Eventos!$C$26,"F",IF(AU$6=Eventos!$C$25,"P",IF(AU$6=Eventos!$C$27,"C",IF(AU$6=Eventos!$C$28,"R",""))))</f>
        <v/>
      </c>
      <c r="AV127" s="41">
        <f>IF(AV$6=Eventos!$C$26,"F",IF(AV$6=Eventos!$C$25,"P",IF(AV$6=Eventos!$C$27,"C",IF(AV$6=Eventos!$C$28,"R",""))))</f>
        <v/>
      </c>
      <c r="AW127" s="41">
        <f>IF(AW$6=Eventos!$C$26,"F",IF(AW$6=Eventos!$C$25,"P",IF(AW$6=Eventos!$C$27,"C",IF(AW$6=Eventos!$C$28,"R",""))))</f>
        <v/>
      </c>
      <c r="AX127" s="41">
        <f>IF(AX$6=Eventos!$C$26,"F",IF(AX$6=Eventos!$C$25,"P",IF(AX$6=Eventos!$C$27,"C",IF(AX$6=Eventos!$C$28,"R",""))))</f>
        <v/>
      </c>
      <c r="AY127" s="41">
        <f>IF(AY$6=Eventos!$C$26,"F",IF(AY$6=Eventos!$C$25,"P",IF(AY$6=Eventos!$C$27,"C",IF(AY$6=Eventos!$C$28,"R",""))))</f>
        <v/>
      </c>
      <c r="AZ127" s="41">
        <f>IF(AZ$6=Eventos!$C$26,"F",IF(AZ$6=Eventos!$C$25,"P",IF(AZ$6=Eventos!$C$27,"C",IF(AZ$6=Eventos!$C$28,"R",""))))</f>
        <v/>
      </c>
      <c r="BA127" s="41">
        <f>IF(BA$6=Eventos!$C$26,"F",IF(BA$6=Eventos!$C$25,"P",IF(BA$6=Eventos!$C$27,"C",IF(BA$6=Eventos!$C$28,"R",""))))</f>
        <v/>
      </c>
      <c r="BB127" s="41">
        <f>IF(BB$6=Eventos!$C$26,"F",IF(BB$6=Eventos!$C$25,"P",IF(BB$6=Eventos!$C$27,"C",IF(BB$6=Eventos!$C$28,"R",""))))</f>
        <v/>
      </c>
      <c r="BC127" s="41">
        <f>IF(BC$6=Eventos!$C$26,"F",IF(BC$6=Eventos!$C$25,"P",IF(BC$6=Eventos!$C$27,"C",IF(BC$6=Eventos!$C$28,"R",""))))</f>
        <v/>
      </c>
      <c r="BD127" s="41">
        <f>IF(BD$6=Eventos!$C$26,"F",IF(BD$6=Eventos!$C$25,"P",IF(BD$6=Eventos!$C$27,"C",IF(BD$6=Eventos!$C$28,"R",""))))</f>
        <v/>
      </c>
      <c r="BE127" s="41">
        <f>IF(BE$6=Eventos!$C$26,"F",IF(BE$6=Eventos!$C$25,"P",IF(BE$6=Eventos!$C$27,"C",IF(BE$6=Eventos!$C$28,"R",""))))</f>
        <v/>
      </c>
      <c r="BF127" s="41">
        <f>IF(BF$6=Eventos!$C$26,"F",IF(BF$6=Eventos!$C$25,"P",IF(BF$6=Eventos!$C$27,"C",IF(BF$6=Eventos!$C$28,"R",""))))</f>
        <v/>
      </c>
      <c r="BG127" s="41">
        <f>IF(BG$6=Eventos!$C$26,"F",IF(BG$6=Eventos!$C$25,"P",IF(BG$6=Eventos!$C$27,"C",IF(BG$6=Eventos!$C$28,"R",""))))</f>
        <v/>
      </c>
      <c r="BH127" s="41">
        <f>IF(BH$6=Eventos!$C$26,"F",IF(BH$6=Eventos!$C$25,"P",IF(BH$6=Eventos!$C$27,"C",IF(BH$6=Eventos!$C$28,"R",""))))</f>
        <v/>
      </c>
      <c r="BI127" s="41">
        <f>IF(BI$6=Eventos!$C$26,"F",IF(BI$6=Eventos!$C$25,"P",IF(BI$6=Eventos!$C$27,"C",IF(BI$6=Eventos!$C$28,"R",""))))</f>
        <v/>
      </c>
      <c r="BJ127" s="41">
        <f>IF(BJ$6=Eventos!$C$26,"F",IF(BJ$6=Eventos!$C$25,"P",IF(BJ$6=Eventos!$C$27,"C",IF(BJ$6=Eventos!$C$28,"R",""))))</f>
        <v/>
      </c>
      <c r="BK127" s="41">
        <f>IF(BK$6=Eventos!$C$26,"F",IF(BK$6=Eventos!$C$25,"P",IF(BK$6=Eventos!$C$27,"C",IF(BK$6=Eventos!$C$28,"R",""))))</f>
        <v/>
      </c>
      <c r="BL127" s="41">
        <f>IF(BL$6=Eventos!$C$26,"F",IF(BL$6=Eventos!$C$25,"P",IF(BL$6=Eventos!$C$27,"C",IF(BL$6=Eventos!$C$28,"R",""))))</f>
        <v/>
      </c>
      <c r="BM127" s="41">
        <f>IF(BM$6=Eventos!$C$26,"F",IF(BM$6=Eventos!$C$25,"P",IF(BM$6=Eventos!$C$27,"C",IF(BM$6=Eventos!$C$28,"R",""))))</f>
        <v/>
      </c>
      <c r="BN127" s="41">
        <f>IF(BN$6=Eventos!$C$26,"F",IF(BN$6=Eventos!$C$25,"P",IF(BN$6=Eventos!$C$27,"C",IF(BN$6=Eventos!$C$28,"R",""))))</f>
        <v/>
      </c>
      <c r="BO127" s="41">
        <f>IF(BO$6=Eventos!$C$26,"F",IF(BO$6=Eventos!$C$25,"P",IF(BO$6=Eventos!$C$27,"C",IF(BO$6=Eventos!$C$28,"R",""))))</f>
        <v/>
      </c>
      <c r="BP127" s="41">
        <f>IF(BP$6=Eventos!$C$26,"F",IF(BP$6=Eventos!$C$25,"P",IF(BP$6=Eventos!$C$27,"C",IF(BP$6=Eventos!$C$28,"R",""))))</f>
        <v/>
      </c>
      <c r="BQ127" s="41">
        <f>IF(BQ$6=Eventos!$C$26,"F",IF(BQ$6=Eventos!$C$25,"P",IF(BQ$6=Eventos!$C$27,"C",IF(BQ$6=Eventos!$C$28,"R",""))))</f>
        <v/>
      </c>
      <c r="BR127" s="41">
        <f>IF(BR$6=Eventos!$C$26,"F",IF(BR$6=Eventos!$C$25,"P",IF(BR$6=Eventos!$C$27,"C",IF(BR$6=Eventos!$C$28,"R",""))))</f>
        <v/>
      </c>
      <c r="BS127" s="41">
        <f>IF(BS$6=Eventos!$C$26,"F",IF(BS$6=Eventos!$C$25,"P",IF(BS$6=Eventos!$C$27,"C",IF(BS$6=Eventos!$C$28,"R",""))))</f>
        <v/>
      </c>
      <c r="BT127" s="41">
        <f>IF(BT$6=Eventos!$C$26,"F",IF(BT$6=Eventos!$C$25,"P",IF(BT$6=Eventos!$C$27,"C",IF(BT$6=Eventos!$C$28,"R",""))))</f>
        <v/>
      </c>
      <c r="BU127" s="41">
        <f>IF(BU$6=Eventos!$C$26,"F",IF(BU$6=Eventos!$C$25,"P",IF(BU$6=Eventos!$C$27,"C",IF(BU$6=Eventos!$C$28,"R",""))))</f>
        <v/>
      </c>
      <c r="BV127" s="41">
        <f>IF(BV$6=Eventos!$C$26,"F",IF(BV$6=Eventos!$C$25,"P",IF(BV$6=Eventos!$C$27,"C",IF(BV$6=Eventos!$C$28,"R",""))))</f>
        <v/>
      </c>
      <c r="BW127" s="41">
        <f>IF(BW$6=Eventos!$C$26,"F",IF(BW$6=Eventos!$C$25,"P",IF(BW$6=Eventos!$C$27,"C",IF(BW$6=Eventos!$C$28,"R",""))))</f>
        <v/>
      </c>
      <c r="BX127" s="41">
        <f>IF(BX$6=Eventos!$C$26,"F",IF(BX$6=Eventos!$C$25,"P",IF(BX$6=Eventos!$C$27,"C",IF(BX$6=Eventos!$C$28,"R",""))))</f>
        <v/>
      </c>
      <c r="BY127" s="41">
        <f>IF(BY$6=Eventos!$C$26,"F",IF(BY$6=Eventos!$C$25,"P",IF(BY$6=Eventos!$C$27,"C",IF(BY$6=Eventos!$C$28,"R",""))))</f>
        <v/>
      </c>
      <c r="BZ127" s="41">
        <f>IF(BZ$6=Eventos!$C$26,"F",IF(BZ$6=Eventos!$C$25,"P",IF(BZ$6=Eventos!$C$27,"C",IF(BZ$6=Eventos!$C$28,"R",""))))</f>
        <v/>
      </c>
      <c r="CA127" s="41">
        <f>IF(CA$6=Eventos!$C$26,"F",IF(CA$6=Eventos!$C$25,"P",IF(CA$6=Eventos!$C$27,"C",IF(CA$6=Eventos!$C$28,"R",""))))</f>
        <v/>
      </c>
      <c r="CB127" s="41">
        <f>IF(CB$6=Eventos!$C$26,"F",IF(CB$6=Eventos!$C$25,"P",IF(CB$6=Eventos!$C$27,"C",IF(CB$6=Eventos!$C$28,"R",""))))</f>
        <v/>
      </c>
      <c r="CC127" s="41">
        <f>IF(CC$6=Eventos!$C$26,"F",IF(CC$6=Eventos!$C$25,"P",IF(CC$6=Eventos!$C$27,"C",IF(CC$6=Eventos!$C$28,"R",""))))</f>
        <v/>
      </c>
      <c r="CD127" s="41">
        <f>IF(CD$6=Eventos!$C$26,"F",IF(CD$6=Eventos!$C$25,"P",IF(CD$6=Eventos!$C$27,"C",IF(CD$6=Eventos!$C$28,"R",""))))</f>
        <v/>
      </c>
      <c r="CE127" s="41">
        <f>IF(CE$6=Eventos!$C$26,"F",IF(CE$6=Eventos!$C$25,"P",IF(CE$6=Eventos!$C$27,"C",IF(CE$6=Eventos!$C$28,"R",""))))</f>
        <v/>
      </c>
      <c r="CF127" s="41">
        <f>IF(CF$6=Eventos!$C$26,"F",IF(CF$6=Eventos!$C$25,"P",IF(CF$6=Eventos!$C$27,"C",IF(CF$6=Eventos!$C$28,"R",""))))</f>
        <v/>
      </c>
    </row>
    <row r="128" outlineLevel="1">
      <c r="A128" s="11" t="inlineStr">
        <is>
          <t>HU-018</t>
        </is>
      </c>
      <c r="B128" s="42" t="inlineStr">
        <is>
          <t>Registrar un caso de posventa</t>
        </is>
      </c>
      <c r="C128" s="11" t="inlineStr">
        <is>
          <t>Historia</t>
        </is>
      </c>
      <c r="D128" s="11" t="inlineStr">
        <is>
          <t>Millaray y Alexssander</t>
        </is>
      </c>
      <c r="E128" s="43">
        <f>Historias!J21</f>
        <v/>
      </c>
      <c r="F128" s="43">
        <f>Historias!K21</f>
        <v/>
      </c>
      <c r="G128" s="11">
        <f>NETWORKDAYS(E128,F128,Feriados)</f>
        <v/>
      </c>
      <c r="H128" s="13">
        <f>Historias!N21</f>
        <v/>
      </c>
      <c r="I128" s="11">
        <f>Historias!P21</f>
        <v/>
      </c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6" t="n"/>
      <c r="AZ128" s="36" t="n"/>
      <c r="BA128" s="36" t="n"/>
      <c r="BB128" s="36" t="n"/>
      <c r="BC128" s="36" t="n"/>
      <c r="BD128" s="36" t="n"/>
      <c r="BE128" s="36" t="n"/>
      <c r="BF128" s="36" t="n"/>
      <c r="BG128" s="36" t="n"/>
      <c r="BH128" s="36" t="n"/>
      <c r="BI128" s="36" t="n"/>
      <c r="BJ128" s="36" t="n"/>
      <c r="BK128" s="36" t="n"/>
      <c r="BL128" s="36" t="n"/>
      <c r="BM128" s="36" t="n"/>
      <c r="BN128" s="36" t="n"/>
      <c r="BO128" s="36" t="n"/>
      <c r="BP128" s="36" t="n"/>
      <c r="BQ128" s="36" t="n"/>
      <c r="BR128" s="36" t="n"/>
      <c r="BS128" s="36" t="n"/>
      <c r="BT128" s="36" t="n"/>
      <c r="BU128" s="36" t="n"/>
      <c r="BV128" s="36" t="n"/>
      <c r="BW128" s="36" t="n"/>
      <c r="BX128" s="36" t="n"/>
      <c r="BY128" s="36" t="n"/>
      <c r="BZ128" s="36" t="n"/>
      <c r="CA128" s="36" t="n"/>
      <c r="CB128" s="36" t="n"/>
      <c r="CC128" s="36" t="n"/>
      <c r="CD128" s="36" t="n"/>
      <c r="CE128" s="36" t="n"/>
      <c r="CF128" s="36" t="n"/>
    </row>
    <row r="129" hidden="1" outlineLevel="2">
      <c r="A129" s="44" t="inlineStr">
        <is>
          <t>T-5.01</t>
        </is>
      </c>
      <c r="B129" s="45" t="inlineStr">
        <is>
          <t>Modelos de caso de posventa, productos y documento de respaldo, con sus migraciones</t>
        </is>
      </c>
      <c r="C129" s="44" t="inlineStr">
        <is>
          <t>Tarea</t>
        </is>
      </c>
      <c r="D129" s="44" t="inlineStr">
        <is>
          <t>Alexssander</t>
        </is>
      </c>
      <c r="E129" s="46">
        <f>Tareas!H95</f>
        <v/>
      </c>
      <c r="F129" s="46">
        <f>Tareas!I95</f>
        <v/>
      </c>
      <c r="G129" s="44">
        <f>NETWORKDAYS(E129,F129,Feriados)</f>
        <v/>
      </c>
      <c r="H129" s="47">
        <f>Tareas!K95</f>
        <v/>
      </c>
      <c r="I129" s="44">
        <f>Tareas!J95</f>
        <v/>
      </c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6" t="n"/>
      <c r="AZ129" s="36" t="n"/>
      <c r="BA129" s="36" t="n"/>
      <c r="BB129" s="36" t="n"/>
      <c r="BC129" s="36" t="n"/>
      <c r="BD129" s="36" t="n"/>
      <c r="BE129" s="36" t="n"/>
      <c r="BF129" s="36" t="n"/>
      <c r="BG129" s="36" t="n"/>
      <c r="BH129" s="36" t="n"/>
      <c r="BI129" s="36" t="n"/>
      <c r="BJ129" s="36" t="n"/>
      <c r="BK129" s="36" t="n"/>
      <c r="BL129" s="36" t="n"/>
      <c r="BM129" s="36" t="n"/>
      <c r="BN129" s="36" t="n"/>
      <c r="BO129" s="36" t="n"/>
      <c r="BP129" s="36" t="n"/>
      <c r="BQ129" s="36" t="n"/>
      <c r="BR129" s="36" t="n"/>
      <c r="BS129" s="36" t="n"/>
      <c r="BT129" s="36" t="n"/>
      <c r="BU129" s="36" t="n"/>
      <c r="BV129" s="36" t="n"/>
      <c r="BW129" s="36" t="n"/>
      <c r="BX129" s="36" t="n"/>
      <c r="BY129" s="36" t="n"/>
      <c r="BZ129" s="36" t="n"/>
      <c r="CA129" s="36" t="n"/>
      <c r="CB129" s="36" t="n"/>
      <c r="CC129" s="36" t="n"/>
      <c r="CD129" s="36" t="n"/>
      <c r="CE129" s="36" t="n"/>
      <c r="CF129" s="36" t="n"/>
    </row>
    <row r="130" hidden="1" outlineLevel="2">
      <c r="A130" s="44" t="inlineStr">
        <is>
          <t>T-5.02</t>
        </is>
      </c>
      <c r="B130" s="45" t="inlineStr">
        <is>
          <t>Formulario de registro por tipo de caso, con consulta de cliente y documentos por la API</t>
        </is>
      </c>
      <c r="C130" s="44" t="inlineStr">
        <is>
          <t>Tarea</t>
        </is>
      </c>
      <c r="D130" s="44" t="inlineStr">
        <is>
          <t>Millaray</t>
        </is>
      </c>
      <c r="E130" s="46">
        <f>Tareas!H96</f>
        <v/>
      </c>
      <c r="F130" s="46">
        <f>Tareas!I96</f>
        <v/>
      </c>
      <c r="G130" s="44">
        <f>NETWORKDAYS(E130,F130,Feriados)</f>
        <v/>
      </c>
      <c r="H130" s="47">
        <f>Tareas!K96</f>
        <v/>
      </c>
      <c r="I130" s="44">
        <f>Tareas!J96</f>
        <v/>
      </c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36" t="n"/>
      <c r="BE130" s="36" t="n"/>
      <c r="BF130" s="36" t="n"/>
      <c r="BG130" s="36" t="n"/>
      <c r="BH130" s="36" t="n"/>
      <c r="BI130" s="36" t="n"/>
      <c r="BJ130" s="36" t="n"/>
      <c r="BK130" s="36" t="n"/>
      <c r="BL130" s="36" t="n"/>
      <c r="BM130" s="36" t="n"/>
      <c r="BN130" s="36" t="n"/>
      <c r="BO130" s="36" t="n"/>
      <c r="BP130" s="36" t="n"/>
      <c r="BQ130" s="36" t="n"/>
      <c r="BR130" s="36" t="n"/>
      <c r="BS130" s="36" t="n"/>
      <c r="BT130" s="36" t="n"/>
      <c r="BU130" s="36" t="n"/>
      <c r="BV130" s="36" t="n"/>
      <c r="BW130" s="36" t="n"/>
      <c r="BX130" s="36" t="n"/>
      <c r="BY130" s="36" t="n"/>
      <c r="BZ130" s="36" t="n"/>
      <c r="CA130" s="36" t="n"/>
      <c r="CB130" s="36" t="n"/>
      <c r="CC130" s="36" t="n"/>
      <c r="CD130" s="36" t="n"/>
      <c r="CE130" s="36" t="n"/>
      <c r="CF130" s="36" t="n"/>
    </row>
    <row r="131" hidden="1" outlineLevel="2">
      <c r="A131" s="44" t="inlineStr">
        <is>
          <t>T-5.03</t>
        </is>
      </c>
      <c r="B131" s="45" t="inlineStr">
        <is>
          <t>Carga de evidencias con validación y excepción para factura de reserva</t>
        </is>
      </c>
      <c r="C131" s="44" t="inlineStr">
        <is>
          <t>Tarea</t>
        </is>
      </c>
      <c r="D131" s="44" t="inlineStr">
        <is>
          <t>Alexssander</t>
        </is>
      </c>
      <c r="E131" s="46">
        <f>Tareas!H97</f>
        <v/>
      </c>
      <c r="F131" s="46">
        <f>Tareas!I97</f>
        <v/>
      </c>
      <c r="G131" s="44">
        <f>NETWORKDAYS(E131,F131,Feriados)</f>
        <v/>
      </c>
      <c r="H131" s="47">
        <f>Tareas!K97</f>
        <v/>
      </c>
      <c r="I131" s="44">
        <f>Tareas!J97</f>
        <v/>
      </c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  <c r="AV131" s="36" t="n"/>
      <c r="AW131" s="36" t="n"/>
      <c r="AX131" s="36" t="n"/>
      <c r="AY131" s="36" t="n"/>
      <c r="AZ131" s="36" t="n"/>
      <c r="BA131" s="36" t="n"/>
      <c r="BB131" s="36" t="n"/>
      <c r="BC131" s="36" t="n"/>
      <c r="BD131" s="36" t="n"/>
      <c r="BE131" s="36" t="n"/>
      <c r="BF131" s="36" t="n"/>
      <c r="BG131" s="36" t="n"/>
      <c r="BH131" s="36" t="n"/>
      <c r="BI131" s="36" t="n"/>
      <c r="BJ131" s="36" t="n"/>
      <c r="BK131" s="36" t="n"/>
      <c r="BL131" s="36" t="n"/>
      <c r="BM131" s="36" t="n"/>
      <c r="BN131" s="36" t="n"/>
      <c r="BO131" s="36" t="n"/>
      <c r="BP131" s="36" t="n"/>
      <c r="BQ131" s="36" t="n"/>
      <c r="BR131" s="36" t="n"/>
      <c r="BS131" s="36" t="n"/>
      <c r="BT131" s="36" t="n"/>
      <c r="BU131" s="36" t="n"/>
      <c r="BV131" s="36" t="n"/>
      <c r="BW131" s="36" t="n"/>
      <c r="BX131" s="36" t="n"/>
      <c r="BY131" s="36" t="n"/>
      <c r="BZ131" s="36" t="n"/>
      <c r="CA131" s="36" t="n"/>
      <c r="CB131" s="36" t="n"/>
      <c r="CC131" s="36" t="n"/>
      <c r="CD131" s="36" t="n"/>
      <c r="CE131" s="36" t="n"/>
      <c r="CF131" s="36" t="n"/>
    </row>
    <row r="132" hidden="1" outlineLevel="2">
      <c r="A132" s="44" t="inlineStr">
        <is>
          <t>T-5.04</t>
        </is>
      </c>
      <c r="B132" s="45" t="inlineStr">
        <is>
          <t>Acceso a las evidencias restringido a los participantes autorizados</t>
        </is>
      </c>
      <c r="C132" s="44" t="inlineStr">
        <is>
          <t>Tarea</t>
        </is>
      </c>
      <c r="D132" s="44" t="inlineStr">
        <is>
          <t>Alexssander</t>
        </is>
      </c>
      <c r="E132" s="46">
        <f>Tareas!H98</f>
        <v/>
      </c>
      <c r="F132" s="46">
        <f>Tareas!I98</f>
        <v/>
      </c>
      <c r="G132" s="44">
        <f>NETWORKDAYS(E132,F132,Feriados)</f>
        <v/>
      </c>
      <c r="H132" s="47">
        <f>Tareas!K98</f>
        <v/>
      </c>
      <c r="I132" s="44">
        <f>Tareas!J98</f>
        <v/>
      </c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6" t="n"/>
      <c r="AZ132" s="36" t="n"/>
      <c r="BA132" s="36" t="n"/>
      <c r="BB132" s="36" t="n"/>
      <c r="BC132" s="36" t="n"/>
      <c r="BD132" s="36" t="n"/>
      <c r="BE132" s="36" t="n"/>
      <c r="BF132" s="36" t="n"/>
      <c r="BG132" s="36" t="n"/>
      <c r="BH132" s="36" t="n"/>
      <c r="BI132" s="36" t="n"/>
      <c r="BJ132" s="36" t="n"/>
      <c r="BK132" s="36" t="n"/>
      <c r="BL132" s="36" t="n"/>
      <c r="BM132" s="36" t="n"/>
      <c r="BN132" s="36" t="n"/>
      <c r="BO132" s="36" t="n"/>
      <c r="BP132" s="36" t="n"/>
      <c r="BQ132" s="36" t="n"/>
      <c r="BR132" s="36" t="n"/>
      <c r="BS132" s="36" t="n"/>
      <c r="BT132" s="36" t="n"/>
      <c r="BU132" s="36" t="n"/>
      <c r="BV132" s="36" t="n"/>
      <c r="BW132" s="36" t="n"/>
      <c r="BX132" s="36" t="n"/>
      <c r="BY132" s="36" t="n"/>
      <c r="BZ132" s="36" t="n"/>
      <c r="CA132" s="36" t="n"/>
      <c r="CB132" s="36" t="n"/>
      <c r="CC132" s="36" t="n"/>
      <c r="CD132" s="36" t="n"/>
      <c r="CE132" s="36" t="n"/>
      <c r="CF132" s="36" t="n"/>
    </row>
    <row r="133" hidden="1" outlineLevel="2">
      <c r="A133" s="44" t="inlineStr">
        <is>
          <t>T-5.05</t>
        </is>
      </c>
      <c r="B133" s="45" t="inlineStr">
        <is>
          <t>Pruebas automatizadas y ejecución de CP-067 a CP-070</t>
        </is>
      </c>
      <c r="C133" s="44" t="inlineStr">
        <is>
          <t>Tarea</t>
        </is>
      </c>
      <c r="D133" s="44" t="inlineStr">
        <is>
          <t>Matías</t>
        </is>
      </c>
      <c r="E133" s="46">
        <f>Tareas!H99</f>
        <v/>
      </c>
      <c r="F133" s="46">
        <f>Tareas!I99</f>
        <v/>
      </c>
      <c r="G133" s="44">
        <f>NETWORKDAYS(E133,F133,Feriados)</f>
        <v/>
      </c>
      <c r="H133" s="47">
        <f>Tareas!K99</f>
        <v/>
      </c>
      <c r="I133" s="44">
        <f>Tareas!J99</f>
        <v/>
      </c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6" t="n"/>
      <c r="AZ133" s="36" t="n"/>
      <c r="BA133" s="36" t="n"/>
      <c r="BB133" s="36" t="n"/>
      <c r="BC133" s="36" t="n"/>
      <c r="BD133" s="36" t="n"/>
      <c r="BE133" s="36" t="n"/>
      <c r="BF133" s="36" t="n"/>
      <c r="BG133" s="36" t="n"/>
      <c r="BH133" s="36" t="n"/>
      <c r="BI133" s="36" t="n"/>
      <c r="BJ133" s="36" t="n"/>
      <c r="BK133" s="36" t="n"/>
      <c r="BL133" s="36" t="n"/>
      <c r="BM133" s="36" t="n"/>
      <c r="BN133" s="36" t="n"/>
      <c r="BO133" s="36" t="n"/>
      <c r="BP133" s="36" t="n"/>
      <c r="BQ133" s="36" t="n"/>
      <c r="BR133" s="36" t="n"/>
      <c r="BS133" s="36" t="n"/>
      <c r="BT133" s="36" t="n"/>
      <c r="BU133" s="36" t="n"/>
      <c r="BV133" s="36" t="n"/>
      <c r="BW133" s="36" t="n"/>
      <c r="BX133" s="36" t="n"/>
      <c r="BY133" s="36" t="n"/>
      <c r="BZ133" s="36" t="n"/>
      <c r="CA133" s="36" t="n"/>
      <c r="CB133" s="36" t="n"/>
      <c r="CC133" s="36" t="n"/>
      <c r="CD133" s="36" t="n"/>
      <c r="CE133" s="36" t="n"/>
      <c r="CF133" s="36" t="n"/>
    </row>
    <row r="134" outlineLevel="1">
      <c r="A134" s="11" t="inlineStr">
        <is>
          <t>HU-019</t>
        </is>
      </c>
      <c r="B134" s="42" t="inlineStr">
        <is>
          <t>Evaluar, resolver y emitir comprobante QR</t>
        </is>
      </c>
      <c r="C134" s="11" t="inlineStr">
        <is>
          <t>Historia</t>
        </is>
      </c>
      <c r="D134" s="11" t="inlineStr">
        <is>
          <t>Millaray y Matías</t>
        </is>
      </c>
      <c r="E134" s="43">
        <f>Historias!J22</f>
        <v/>
      </c>
      <c r="F134" s="43">
        <f>Historias!K22</f>
        <v/>
      </c>
      <c r="G134" s="11">
        <f>NETWORKDAYS(E134,F134,Feriados)</f>
        <v/>
      </c>
      <c r="H134" s="13">
        <f>Historias!N22</f>
        <v/>
      </c>
      <c r="I134" s="11">
        <f>Historias!P22</f>
        <v/>
      </c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  <c r="AV134" s="36" t="n"/>
      <c r="AW134" s="36" t="n"/>
      <c r="AX134" s="36" t="n"/>
      <c r="AY134" s="36" t="n"/>
      <c r="AZ134" s="36" t="n"/>
      <c r="BA134" s="36" t="n"/>
      <c r="BB134" s="36" t="n"/>
      <c r="BC134" s="36" t="n"/>
      <c r="BD134" s="36" t="n"/>
      <c r="BE134" s="36" t="n"/>
      <c r="BF134" s="36" t="n"/>
      <c r="BG134" s="36" t="n"/>
      <c r="BH134" s="36" t="n"/>
      <c r="BI134" s="36" t="n"/>
      <c r="BJ134" s="36" t="n"/>
      <c r="BK134" s="36" t="n"/>
      <c r="BL134" s="36" t="n"/>
      <c r="BM134" s="36" t="n"/>
      <c r="BN134" s="36" t="n"/>
      <c r="BO134" s="36" t="n"/>
      <c r="BP134" s="36" t="n"/>
      <c r="BQ134" s="36" t="n"/>
      <c r="BR134" s="36" t="n"/>
      <c r="BS134" s="36" t="n"/>
      <c r="BT134" s="36" t="n"/>
      <c r="BU134" s="36" t="n"/>
      <c r="BV134" s="36" t="n"/>
      <c r="BW134" s="36" t="n"/>
      <c r="BX134" s="36" t="n"/>
      <c r="BY134" s="36" t="n"/>
      <c r="BZ134" s="36" t="n"/>
      <c r="CA134" s="36" t="n"/>
      <c r="CB134" s="36" t="n"/>
      <c r="CC134" s="36" t="n"/>
      <c r="CD134" s="36" t="n"/>
      <c r="CE134" s="36" t="n"/>
      <c r="CF134" s="36" t="n"/>
    </row>
    <row r="135" hidden="1" outlineLevel="2">
      <c r="A135" s="44" t="inlineStr">
        <is>
          <t>T-5.06</t>
        </is>
      </c>
      <c r="B135" s="45" t="inlineStr">
        <is>
          <t>Evaluación de producto, accesorios, manual y embalaje con los valores definidos</t>
        </is>
      </c>
      <c r="C135" s="44" t="inlineStr">
        <is>
          <t>Tarea</t>
        </is>
      </c>
      <c r="D135" s="44" t="inlineStr">
        <is>
          <t>Millaray</t>
        </is>
      </c>
      <c r="E135" s="46">
        <f>Tareas!H100</f>
        <v/>
      </c>
      <c r="F135" s="46">
        <f>Tareas!I100</f>
        <v/>
      </c>
      <c r="G135" s="44">
        <f>NETWORKDAYS(E135,F135,Feriados)</f>
        <v/>
      </c>
      <c r="H135" s="47">
        <f>Tareas!K100</f>
        <v/>
      </c>
      <c r="I135" s="44">
        <f>Tareas!J100</f>
        <v/>
      </c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  <c r="AV135" s="36" t="n"/>
      <c r="AW135" s="36" t="n"/>
      <c r="AX135" s="36" t="n"/>
      <c r="AY135" s="36" t="n"/>
      <c r="AZ135" s="36" t="n"/>
      <c r="BA135" s="36" t="n"/>
      <c r="BB135" s="36" t="n"/>
      <c r="BC135" s="36" t="n"/>
      <c r="BD135" s="36" t="n"/>
      <c r="BE135" s="36" t="n"/>
      <c r="BF135" s="36" t="n"/>
      <c r="BG135" s="36" t="n"/>
      <c r="BH135" s="36" t="n"/>
      <c r="BI135" s="36" t="n"/>
      <c r="BJ135" s="36" t="n"/>
      <c r="BK135" s="36" t="n"/>
      <c r="BL135" s="36" t="n"/>
      <c r="BM135" s="36" t="n"/>
      <c r="BN135" s="36" t="n"/>
      <c r="BO135" s="36" t="n"/>
      <c r="BP135" s="36" t="n"/>
      <c r="BQ135" s="36" t="n"/>
      <c r="BR135" s="36" t="n"/>
      <c r="BS135" s="36" t="n"/>
      <c r="BT135" s="36" t="n"/>
      <c r="BU135" s="36" t="n"/>
      <c r="BV135" s="36" t="n"/>
      <c r="BW135" s="36" t="n"/>
      <c r="BX135" s="36" t="n"/>
      <c r="BY135" s="36" t="n"/>
      <c r="BZ135" s="36" t="n"/>
      <c r="CA135" s="36" t="n"/>
      <c r="CB135" s="36" t="n"/>
      <c r="CC135" s="36" t="n"/>
      <c r="CD135" s="36" t="n"/>
      <c r="CE135" s="36" t="n"/>
      <c r="CF135" s="36" t="n"/>
    </row>
    <row r="136" hidden="1" outlineLevel="2">
      <c r="A136" s="44" t="inlineStr">
        <is>
          <t>T-5.07</t>
        </is>
      </c>
      <c r="B136" s="45" t="inlineStr">
        <is>
          <t>Aprobación o rechazo con motivo, corrección y reenvío a Pendiente</t>
        </is>
      </c>
      <c r="C136" s="44" t="inlineStr">
        <is>
          <t>Tarea</t>
        </is>
      </c>
      <c r="D136" s="44" t="inlineStr">
        <is>
          <t>Matías</t>
        </is>
      </c>
      <c r="E136" s="46">
        <f>Tareas!H101</f>
        <v/>
      </c>
      <c r="F136" s="46">
        <f>Tareas!I101</f>
        <v/>
      </c>
      <c r="G136" s="44">
        <f>NETWORKDAYS(E136,F136,Feriados)</f>
        <v/>
      </c>
      <c r="H136" s="47">
        <f>Tareas!K101</f>
        <v/>
      </c>
      <c r="I136" s="44">
        <f>Tareas!J101</f>
        <v/>
      </c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6" t="n"/>
      <c r="AZ136" s="36" t="n"/>
      <c r="BA136" s="36" t="n"/>
      <c r="BB136" s="36" t="n"/>
      <c r="BC136" s="36" t="n"/>
      <c r="BD136" s="36" t="n"/>
      <c r="BE136" s="36" t="n"/>
      <c r="BF136" s="36" t="n"/>
      <c r="BG136" s="36" t="n"/>
      <c r="BH136" s="36" t="n"/>
      <c r="BI136" s="36" t="n"/>
      <c r="BJ136" s="36" t="n"/>
      <c r="BK136" s="36" t="n"/>
      <c r="BL136" s="36" t="n"/>
      <c r="BM136" s="36" t="n"/>
      <c r="BN136" s="36" t="n"/>
      <c r="BO136" s="36" t="n"/>
      <c r="BP136" s="36" t="n"/>
      <c r="BQ136" s="36" t="n"/>
      <c r="BR136" s="36" t="n"/>
      <c r="BS136" s="36" t="n"/>
      <c r="BT136" s="36" t="n"/>
      <c r="BU136" s="36" t="n"/>
      <c r="BV136" s="36" t="n"/>
      <c r="BW136" s="36" t="n"/>
      <c r="BX136" s="36" t="n"/>
      <c r="BY136" s="36" t="n"/>
      <c r="BZ136" s="36" t="n"/>
      <c r="CA136" s="36" t="n"/>
      <c r="CB136" s="36" t="n"/>
      <c r="CC136" s="36" t="n"/>
      <c r="CD136" s="36" t="n"/>
      <c r="CE136" s="36" t="n"/>
      <c r="CF136" s="36" t="n"/>
    </row>
    <row r="137" hidden="1" outlineLevel="2">
      <c r="A137" s="44" t="inlineStr">
        <is>
          <t>T-5.08</t>
        </is>
      </c>
      <c r="B137" s="45" t="inlineStr">
        <is>
          <t>Generación del comprobante con código QR</t>
        </is>
      </c>
      <c r="C137" s="44" t="inlineStr">
        <is>
          <t>Tarea</t>
        </is>
      </c>
      <c r="D137" s="44" t="inlineStr">
        <is>
          <t>Matías</t>
        </is>
      </c>
      <c r="E137" s="46">
        <f>Tareas!H102</f>
        <v/>
      </c>
      <c r="F137" s="46">
        <f>Tareas!I102</f>
        <v/>
      </c>
      <c r="G137" s="44">
        <f>NETWORKDAYS(E137,F137,Feriados)</f>
        <v/>
      </c>
      <c r="H137" s="47">
        <f>Tareas!K102</f>
        <v/>
      </c>
      <c r="I137" s="44">
        <f>Tareas!J102</f>
        <v/>
      </c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6" t="n"/>
      <c r="BD137" s="36" t="n"/>
      <c r="BE137" s="36" t="n"/>
      <c r="BF137" s="36" t="n"/>
      <c r="BG137" s="36" t="n"/>
      <c r="BH137" s="36" t="n"/>
      <c r="BI137" s="36" t="n"/>
      <c r="BJ137" s="36" t="n"/>
      <c r="BK137" s="36" t="n"/>
      <c r="BL137" s="36" t="n"/>
      <c r="BM137" s="36" t="n"/>
      <c r="BN137" s="36" t="n"/>
      <c r="BO137" s="36" t="n"/>
      <c r="BP137" s="36" t="n"/>
      <c r="BQ137" s="36" t="n"/>
      <c r="BR137" s="36" t="n"/>
      <c r="BS137" s="36" t="n"/>
      <c r="BT137" s="36" t="n"/>
      <c r="BU137" s="36" t="n"/>
      <c r="BV137" s="36" t="n"/>
      <c r="BW137" s="36" t="n"/>
      <c r="BX137" s="36" t="n"/>
      <c r="BY137" s="36" t="n"/>
      <c r="BZ137" s="36" t="n"/>
      <c r="CA137" s="36" t="n"/>
      <c r="CB137" s="36" t="n"/>
      <c r="CC137" s="36" t="n"/>
      <c r="CD137" s="36" t="n"/>
      <c r="CE137" s="36" t="n"/>
      <c r="CF137" s="36" t="n"/>
    </row>
    <row r="138" hidden="1" outlineLevel="2">
      <c r="A138" s="44" t="inlineStr">
        <is>
          <t>T-5.09</t>
        </is>
      </c>
      <c r="B138" s="45" t="inlineStr">
        <is>
          <t>Descarga del comprobante y marca de QR enviado al cliente</t>
        </is>
      </c>
      <c r="C138" s="44" t="inlineStr">
        <is>
          <t>Tarea</t>
        </is>
      </c>
      <c r="D138" s="44" t="inlineStr">
        <is>
          <t>Millaray</t>
        </is>
      </c>
      <c r="E138" s="46">
        <f>Tareas!H103</f>
        <v/>
      </c>
      <c r="F138" s="46">
        <f>Tareas!I103</f>
        <v/>
      </c>
      <c r="G138" s="44">
        <f>NETWORKDAYS(E138,F138,Feriados)</f>
        <v/>
      </c>
      <c r="H138" s="47">
        <f>Tareas!K103</f>
        <v/>
      </c>
      <c r="I138" s="44">
        <f>Tareas!J103</f>
        <v/>
      </c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  <c r="AV138" s="36" t="n"/>
      <c r="AW138" s="36" t="n"/>
      <c r="AX138" s="36" t="n"/>
      <c r="AY138" s="36" t="n"/>
      <c r="AZ138" s="36" t="n"/>
      <c r="BA138" s="36" t="n"/>
      <c r="BB138" s="36" t="n"/>
      <c r="BC138" s="36" t="n"/>
      <c r="BD138" s="36" t="n"/>
      <c r="BE138" s="36" t="n"/>
      <c r="BF138" s="36" t="n"/>
      <c r="BG138" s="36" t="n"/>
      <c r="BH138" s="36" t="n"/>
      <c r="BI138" s="36" t="n"/>
      <c r="BJ138" s="36" t="n"/>
      <c r="BK138" s="36" t="n"/>
      <c r="BL138" s="36" t="n"/>
      <c r="BM138" s="36" t="n"/>
      <c r="BN138" s="36" t="n"/>
      <c r="BO138" s="36" t="n"/>
      <c r="BP138" s="36" t="n"/>
      <c r="BQ138" s="36" t="n"/>
      <c r="BR138" s="36" t="n"/>
      <c r="BS138" s="36" t="n"/>
      <c r="BT138" s="36" t="n"/>
      <c r="BU138" s="36" t="n"/>
      <c r="BV138" s="36" t="n"/>
      <c r="BW138" s="36" t="n"/>
      <c r="BX138" s="36" t="n"/>
      <c r="BY138" s="36" t="n"/>
      <c r="BZ138" s="36" t="n"/>
      <c r="CA138" s="36" t="n"/>
      <c r="CB138" s="36" t="n"/>
      <c r="CC138" s="36" t="n"/>
      <c r="CD138" s="36" t="n"/>
      <c r="CE138" s="36" t="n"/>
      <c r="CF138" s="36" t="n"/>
    </row>
    <row r="139" hidden="1" outlineLevel="2">
      <c r="A139" s="44" t="inlineStr">
        <is>
          <t>T-5.10</t>
        </is>
      </c>
      <c r="B139" s="45" t="inlineStr">
        <is>
          <t>Pruebas automatizadas y ejecución de CP-071 a CP-074</t>
        </is>
      </c>
      <c r="C139" s="44" t="inlineStr">
        <is>
          <t>Tarea</t>
        </is>
      </c>
      <c r="D139" s="44" t="inlineStr">
        <is>
          <t>Alexssander</t>
        </is>
      </c>
      <c r="E139" s="46">
        <f>Tareas!H104</f>
        <v/>
      </c>
      <c r="F139" s="46">
        <f>Tareas!I104</f>
        <v/>
      </c>
      <c r="G139" s="44">
        <f>NETWORKDAYS(E139,F139,Feriados)</f>
        <v/>
      </c>
      <c r="H139" s="47">
        <f>Tareas!K104</f>
        <v/>
      </c>
      <c r="I139" s="44">
        <f>Tareas!J104</f>
        <v/>
      </c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6" t="n"/>
      <c r="AZ139" s="36" t="n"/>
      <c r="BA139" s="36" t="n"/>
      <c r="BB139" s="36" t="n"/>
      <c r="BC139" s="36" t="n"/>
      <c r="BD139" s="36" t="n"/>
      <c r="BE139" s="36" t="n"/>
      <c r="BF139" s="36" t="n"/>
      <c r="BG139" s="36" t="n"/>
      <c r="BH139" s="36" t="n"/>
      <c r="BI139" s="36" t="n"/>
      <c r="BJ139" s="36" t="n"/>
      <c r="BK139" s="36" t="n"/>
      <c r="BL139" s="36" t="n"/>
      <c r="BM139" s="36" t="n"/>
      <c r="BN139" s="36" t="n"/>
      <c r="BO139" s="36" t="n"/>
      <c r="BP139" s="36" t="n"/>
      <c r="BQ139" s="36" t="n"/>
      <c r="BR139" s="36" t="n"/>
      <c r="BS139" s="36" t="n"/>
      <c r="BT139" s="36" t="n"/>
      <c r="BU139" s="36" t="n"/>
      <c r="BV139" s="36" t="n"/>
      <c r="BW139" s="36" t="n"/>
      <c r="BX139" s="36" t="n"/>
      <c r="BY139" s="36" t="n"/>
      <c r="BZ139" s="36" t="n"/>
      <c r="CA139" s="36" t="n"/>
      <c r="CB139" s="36" t="n"/>
      <c r="CC139" s="36" t="n"/>
      <c r="CD139" s="36" t="n"/>
      <c r="CE139" s="36" t="n"/>
      <c r="CF139" s="36" t="n"/>
    </row>
    <row r="140" outlineLevel="1">
      <c r="A140" s="11" t="inlineStr">
        <is>
          <t>HU-014</t>
        </is>
      </c>
      <c r="B140" s="42" t="inlineStr">
        <is>
          <t>Consultar la trazabilidad de los procesos</t>
        </is>
      </c>
      <c r="C140" s="11" t="inlineStr">
        <is>
          <t>Historia</t>
        </is>
      </c>
      <c r="D140" s="11" t="inlineStr">
        <is>
          <t>Millaray y Matías</t>
        </is>
      </c>
      <c r="E140" s="43">
        <f>Historias!J23</f>
        <v/>
      </c>
      <c r="F140" s="43">
        <f>Historias!K23</f>
        <v/>
      </c>
      <c r="G140" s="11">
        <f>NETWORKDAYS(E140,F140,Feriados)</f>
        <v/>
      </c>
      <c r="H140" s="13">
        <f>Historias!N23</f>
        <v/>
      </c>
      <c r="I140" s="11">
        <f>Historias!P23</f>
        <v/>
      </c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6" t="n"/>
      <c r="AZ140" s="36" t="n"/>
      <c r="BA140" s="36" t="n"/>
      <c r="BB140" s="36" t="n"/>
      <c r="BC140" s="36" t="n"/>
      <c r="BD140" s="36" t="n"/>
      <c r="BE140" s="36" t="n"/>
      <c r="BF140" s="36" t="n"/>
      <c r="BG140" s="36" t="n"/>
      <c r="BH140" s="36" t="n"/>
      <c r="BI140" s="36" t="n"/>
      <c r="BJ140" s="36" t="n"/>
      <c r="BK140" s="36" t="n"/>
      <c r="BL140" s="36" t="n"/>
      <c r="BM140" s="36" t="n"/>
      <c r="BN140" s="36" t="n"/>
      <c r="BO140" s="36" t="n"/>
      <c r="BP140" s="36" t="n"/>
      <c r="BQ140" s="36" t="n"/>
      <c r="BR140" s="36" t="n"/>
      <c r="BS140" s="36" t="n"/>
      <c r="BT140" s="36" t="n"/>
      <c r="BU140" s="36" t="n"/>
      <c r="BV140" s="36" t="n"/>
      <c r="BW140" s="36" t="n"/>
      <c r="BX140" s="36" t="n"/>
      <c r="BY140" s="36" t="n"/>
      <c r="BZ140" s="36" t="n"/>
      <c r="CA140" s="36" t="n"/>
      <c r="CB140" s="36" t="n"/>
      <c r="CC140" s="36" t="n"/>
      <c r="CD140" s="36" t="n"/>
      <c r="CE140" s="36" t="n"/>
      <c r="CF140" s="36" t="n"/>
    </row>
    <row r="141" hidden="1" outlineLevel="2">
      <c r="A141" s="44" t="inlineStr">
        <is>
          <t>T-5.11</t>
        </is>
      </c>
      <c r="B141" s="45" t="inlineStr">
        <is>
          <t>Historial de estados común para solicitudes, órdenes y casos</t>
        </is>
      </c>
      <c r="C141" s="44" t="inlineStr">
        <is>
          <t>Tarea</t>
        </is>
      </c>
      <c r="D141" s="44" t="inlineStr">
        <is>
          <t>Matías</t>
        </is>
      </c>
      <c r="E141" s="46">
        <f>Tareas!H105</f>
        <v/>
      </c>
      <c r="F141" s="46">
        <f>Tareas!I105</f>
        <v/>
      </c>
      <c r="G141" s="44">
        <f>NETWORKDAYS(E141,F141,Feriados)</f>
        <v/>
      </c>
      <c r="H141" s="47">
        <f>Tareas!K105</f>
        <v/>
      </c>
      <c r="I141" s="44">
        <f>Tareas!J105</f>
        <v/>
      </c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  <c r="AV141" s="36" t="n"/>
      <c r="AW141" s="36" t="n"/>
      <c r="AX141" s="36" t="n"/>
      <c r="AY141" s="36" t="n"/>
      <c r="AZ141" s="36" t="n"/>
      <c r="BA141" s="36" t="n"/>
      <c r="BB141" s="36" t="n"/>
      <c r="BC141" s="36" t="n"/>
      <c r="BD141" s="36" t="n"/>
      <c r="BE141" s="36" t="n"/>
      <c r="BF141" s="36" t="n"/>
      <c r="BG141" s="36" t="n"/>
      <c r="BH141" s="36" t="n"/>
      <c r="BI141" s="36" t="n"/>
      <c r="BJ141" s="36" t="n"/>
      <c r="BK141" s="36" t="n"/>
      <c r="BL141" s="36" t="n"/>
      <c r="BM141" s="36" t="n"/>
      <c r="BN141" s="36" t="n"/>
      <c r="BO141" s="36" t="n"/>
      <c r="BP141" s="36" t="n"/>
      <c r="BQ141" s="36" t="n"/>
      <c r="BR141" s="36" t="n"/>
      <c r="BS141" s="36" t="n"/>
      <c r="BT141" s="36" t="n"/>
      <c r="BU141" s="36" t="n"/>
      <c r="BV141" s="36" t="n"/>
      <c r="BW141" s="36" t="n"/>
      <c r="BX141" s="36" t="n"/>
      <c r="BY141" s="36" t="n"/>
      <c r="BZ141" s="36" t="n"/>
      <c r="CA141" s="36" t="n"/>
      <c r="CB141" s="36" t="n"/>
      <c r="CC141" s="36" t="n"/>
      <c r="CD141" s="36" t="n"/>
      <c r="CE141" s="36" t="n"/>
      <c r="CF141" s="36" t="n"/>
    </row>
    <row r="142" hidden="1" outlineLevel="2">
      <c r="A142" s="44" t="inlineStr">
        <is>
          <t>T-5.12</t>
        </is>
      </c>
      <c r="B142" s="45" t="inlineStr">
        <is>
          <t>Pantalla de trazabilidad con estado actual, responsable y secuencia histórica</t>
        </is>
      </c>
      <c r="C142" s="44" t="inlineStr">
        <is>
          <t>Tarea</t>
        </is>
      </c>
      <c r="D142" s="44" t="inlineStr">
        <is>
          <t>Millaray</t>
        </is>
      </c>
      <c r="E142" s="46">
        <f>Tareas!H106</f>
        <v/>
      </c>
      <c r="F142" s="46">
        <f>Tareas!I106</f>
        <v/>
      </c>
      <c r="G142" s="44">
        <f>NETWORKDAYS(E142,F142,Feriados)</f>
        <v/>
      </c>
      <c r="H142" s="47">
        <f>Tareas!K106</f>
        <v/>
      </c>
      <c r="I142" s="44">
        <f>Tareas!J106</f>
        <v/>
      </c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  <c r="AV142" s="36" t="n"/>
      <c r="AW142" s="36" t="n"/>
      <c r="AX142" s="36" t="n"/>
      <c r="AY142" s="36" t="n"/>
      <c r="AZ142" s="36" t="n"/>
      <c r="BA142" s="36" t="n"/>
      <c r="BB142" s="36" t="n"/>
      <c r="BC142" s="36" t="n"/>
      <c r="BD142" s="36" t="n"/>
      <c r="BE142" s="36" t="n"/>
      <c r="BF142" s="36" t="n"/>
      <c r="BG142" s="36" t="n"/>
      <c r="BH142" s="36" t="n"/>
      <c r="BI142" s="36" t="n"/>
      <c r="BJ142" s="36" t="n"/>
      <c r="BK142" s="36" t="n"/>
      <c r="BL142" s="36" t="n"/>
      <c r="BM142" s="36" t="n"/>
      <c r="BN142" s="36" t="n"/>
      <c r="BO142" s="36" t="n"/>
      <c r="BP142" s="36" t="n"/>
      <c r="BQ142" s="36" t="n"/>
      <c r="BR142" s="36" t="n"/>
      <c r="BS142" s="36" t="n"/>
      <c r="BT142" s="36" t="n"/>
      <c r="BU142" s="36" t="n"/>
      <c r="BV142" s="36" t="n"/>
      <c r="BW142" s="36" t="n"/>
      <c r="BX142" s="36" t="n"/>
      <c r="BY142" s="36" t="n"/>
      <c r="BZ142" s="36" t="n"/>
      <c r="CA142" s="36" t="n"/>
      <c r="CB142" s="36" t="n"/>
      <c r="CC142" s="36" t="n"/>
      <c r="CD142" s="36" t="n"/>
      <c r="CE142" s="36" t="n"/>
      <c r="CF142" s="36" t="n"/>
    </row>
    <row r="143" hidden="1" outlineLevel="2">
      <c r="A143" s="44" t="inlineStr">
        <is>
          <t>T-5.13</t>
        </is>
      </c>
      <c r="B143" s="45" t="inlineStr">
        <is>
          <t>Bloqueo de edición de las respuestas resueltas</t>
        </is>
      </c>
      <c r="C143" s="44" t="inlineStr">
        <is>
          <t>Tarea</t>
        </is>
      </c>
      <c r="D143" s="44" t="inlineStr">
        <is>
          <t>Matías</t>
        </is>
      </c>
      <c r="E143" s="46">
        <f>Tareas!H107</f>
        <v/>
      </c>
      <c r="F143" s="46">
        <f>Tareas!I107</f>
        <v/>
      </c>
      <c r="G143" s="44">
        <f>NETWORKDAYS(E143,F143,Feriados)</f>
        <v/>
      </c>
      <c r="H143" s="47">
        <f>Tareas!K107</f>
        <v/>
      </c>
      <c r="I143" s="44">
        <f>Tareas!J107</f>
        <v/>
      </c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  <c r="AV143" s="36" t="n"/>
      <c r="AW143" s="36" t="n"/>
      <c r="AX143" s="36" t="n"/>
      <c r="AY143" s="36" t="n"/>
      <c r="AZ143" s="36" t="n"/>
      <c r="BA143" s="36" t="n"/>
      <c r="BB143" s="36" t="n"/>
      <c r="BC143" s="36" t="n"/>
      <c r="BD143" s="36" t="n"/>
      <c r="BE143" s="36" t="n"/>
      <c r="BF143" s="36" t="n"/>
      <c r="BG143" s="36" t="n"/>
      <c r="BH143" s="36" t="n"/>
      <c r="BI143" s="36" t="n"/>
      <c r="BJ143" s="36" t="n"/>
      <c r="BK143" s="36" t="n"/>
      <c r="BL143" s="36" t="n"/>
      <c r="BM143" s="36" t="n"/>
      <c r="BN143" s="36" t="n"/>
      <c r="BO143" s="36" t="n"/>
      <c r="BP143" s="36" t="n"/>
      <c r="BQ143" s="36" t="n"/>
      <c r="BR143" s="36" t="n"/>
      <c r="BS143" s="36" t="n"/>
      <c r="BT143" s="36" t="n"/>
      <c r="BU143" s="36" t="n"/>
      <c r="BV143" s="36" t="n"/>
      <c r="BW143" s="36" t="n"/>
      <c r="BX143" s="36" t="n"/>
      <c r="BY143" s="36" t="n"/>
      <c r="BZ143" s="36" t="n"/>
      <c r="CA143" s="36" t="n"/>
      <c r="CB143" s="36" t="n"/>
      <c r="CC143" s="36" t="n"/>
      <c r="CD143" s="36" t="n"/>
      <c r="CE143" s="36" t="n"/>
      <c r="CF143" s="36" t="n"/>
    </row>
    <row r="144" hidden="1" outlineLevel="2">
      <c r="A144" s="44" t="inlineStr">
        <is>
          <t>T-5.14</t>
        </is>
      </c>
      <c r="B144" s="45" t="inlineStr">
        <is>
          <t>Visibilidad según participación y rol</t>
        </is>
      </c>
      <c r="C144" s="44" t="inlineStr">
        <is>
          <t>Tarea</t>
        </is>
      </c>
      <c r="D144" s="44" t="inlineStr">
        <is>
          <t>Matías</t>
        </is>
      </c>
      <c r="E144" s="46">
        <f>Tareas!H108</f>
        <v/>
      </c>
      <c r="F144" s="46">
        <f>Tareas!I108</f>
        <v/>
      </c>
      <c r="G144" s="44">
        <f>NETWORKDAYS(E144,F144,Feriados)</f>
        <v/>
      </c>
      <c r="H144" s="47">
        <f>Tareas!K108</f>
        <v/>
      </c>
      <c r="I144" s="44">
        <f>Tareas!J108</f>
        <v/>
      </c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6" t="n"/>
      <c r="AZ144" s="36" t="n"/>
      <c r="BA144" s="36" t="n"/>
      <c r="BB144" s="36" t="n"/>
      <c r="BC144" s="36" t="n"/>
      <c r="BD144" s="36" t="n"/>
      <c r="BE144" s="36" t="n"/>
      <c r="BF144" s="36" t="n"/>
      <c r="BG144" s="36" t="n"/>
      <c r="BH144" s="36" t="n"/>
      <c r="BI144" s="36" t="n"/>
      <c r="BJ144" s="36" t="n"/>
      <c r="BK144" s="36" t="n"/>
      <c r="BL144" s="36" t="n"/>
      <c r="BM144" s="36" t="n"/>
      <c r="BN144" s="36" t="n"/>
      <c r="BO144" s="36" t="n"/>
      <c r="BP144" s="36" t="n"/>
      <c r="BQ144" s="36" t="n"/>
      <c r="BR144" s="36" t="n"/>
      <c r="BS144" s="36" t="n"/>
      <c r="BT144" s="36" t="n"/>
      <c r="BU144" s="36" t="n"/>
      <c r="BV144" s="36" t="n"/>
      <c r="BW144" s="36" t="n"/>
      <c r="BX144" s="36" t="n"/>
      <c r="BY144" s="36" t="n"/>
      <c r="BZ144" s="36" t="n"/>
      <c r="CA144" s="36" t="n"/>
      <c r="CB144" s="36" t="n"/>
      <c r="CC144" s="36" t="n"/>
      <c r="CD144" s="36" t="n"/>
      <c r="CE144" s="36" t="n"/>
      <c r="CF144" s="36" t="n"/>
    </row>
    <row r="145" hidden="1" outlineLevel="2">
      <c r="A145" s="44" t="inlineStr">
        <is>
          <t>T-5.15</t>
        </is>
      </c>
      <c r="B145" s="45" t="inlineStr">
        <is>
          <t>Pruebas automatizadas y ejecución de CP-051 a CP-054</t>
        </is>
      </c>
      <c r="C145" s="44" t="inlineStr">
        <is>
          <t>Tarea</t>
        </is>
      </c>
      <c r="D145" s="44" t="inlineStr">
        <is>
          <t>Alexssander</t>
        </is>
      </c>
      <c r="E145" s="46">
        <f>Tareas!H109</f>
        <v/>
      </c>
      <c r="F145" s="46">
        <f>Tareas!I109</f>
        <v/>
      </c>
      <c r="G145" s="44">
        <f>NETWORKDAYS(E145,F145,Feriados)</f>
        <v/>
      </c>
      <c r="H145" s="47">
        <f>Tareas!K109</f>
        <v/>
      </c>
      <c r="I145" s="44">
        <f>Tareas!J109</f>
        <v/>
      </c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  <c r="AV145" s="36" t="n"/>
      <c r="AW145" s="36" t="n"/>
      <c r="AX145" s="36" t="n"/>
      <c r="AY145" s="36" t="n"/>
      <c r="AZ145" s="36" t="n"/>
      <c r="BA145" s="36" t="n"/>
      <c r="BB145" s="36" t="n"/>
      <c r="BC145" s="36" t="n"/>
      <c r="BD145" s="36" t="n"/>
      <c r="BE145" s="36" t="n"/>
      <c r="BF145" s="36" t="n"/>
      <c r="BG145" s="36" t="n"/>
      <c r="BH145" s="36" t="n"/>
      <c r="BI145" s="36" t="n"/>
      <c r="BJ145" s="36" t="n"/>
      <c r="BK145" s="36" t="n"/>
      <c r="BL145" s="36" t="n"/>
      <c r="BM145" s="36" t="n"/>
      <c r="BN145" s="36" t="n"/>
      <c r="BO145" s="36" t="n"/>
      <c r="BP145" s="36" t="n"/>
      <c r="BQ145" s="36" t="n"/>
      <c r="BR145" s="36" t="n"/>
      <c r="BS145" s="36" t="n"/>
      <c r="BT145" s="36" t="n"/>
      <c r="BU145" s="36" t="n"/>
      <c r="BV145" s="36" t="n"/>
      <c r="BW145" s="36" t="n"/>
      <c r="BX145" s="36" t="n"/>
      <c r="BY145" s="36" t="n"/>
      <c r="BZ145" s="36" t="n"/>
      <c r="CA145" s="36" t="n"/>
      <c r="CB145" s="36" t="n"/>
      <c r="CC145" s="36" t="n"/>
      <c r="CD145" s="36" t="n"/>
      <c r="CE145" s="36" t="n"/>
      <c r="CF145" s="36" t="n"/>
    </row>
    <row r="146" outlineLevel="1">
      <c r="A146" s="11" t="inlineStr"/>
      <c r="B146" s="42" t="inlineStr">
        <is>
          <t>Tareas transversales del sprint</t>
        </is>
      </c>
      <c r="C146" s="11" t="inlineStr">
        <is>
          <t>Historia</t>
        </is>
      </c>
      <c r="D146" s="11" t="inlineStr">
        <is>
          <t>Scrum Team</t>
        </is>
      </c>
      <c r="E146" s="43">
        <f>_xlfn.MINIFS(Tareas!$H:$H,Tareas!$B:$B,"Sprint 5",Tareas!$C:$C,"Transversal")</f>
        <v/>
      </c>
      <c r="F146" s="43">
        <f>_xlfn.MAXIFS(Tareas!$I:$I,Tareas!$B:$B,"Sprint 5",Tareas!$C:$C,"Transversal")</f>
        <v/>
      </c>
      <c r="G146" s="11">
        <f>NETWORKDAYS(E146,F146,Feriados)</f>
        <v/>
      </c>
      <c r="H146" s="13">
        <f>IFERROR(SUMIFS(Tareas!$L:$L,Tareas!$B:$B,"Sprint 5",Tareas!$C:$C,"Transversal")/SUMIFS(Tareas!$F:$F,Tareas!$B:$B,"Sprint 5",Tareas!$C:$C,"Transversal"),0)</f>
        <v/>
      </c>
      <c r="I146" s="11" t="inlineStr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  <c r="AV146" s="36" t="n"/>
      <c r="AW146" s="36" t="n"/>
      <c r="AX146" s="36" t="n"/>
      <c r="AY146" s="36" t="n"/>
      <c r="AZ146" s="36" t="n"/>
      <c r="BA146" s="36" t="n"/>
      <c r="BB146" s="36" t="n"/>
      <c r="BC146" s="36" t="n"/>
      <c r="BD146" s="36" t="n"/>
      <c r="BE146" s="36" t="n"/>
      <c r="BF146" s="36" t="n"/>
      <c r="BG146" s="36" t="n"/>
      <c r="BH146" s="36" t="n"/>
      <c r="BI146" s="36" t="n"/>
      <c r="BJ146" s="36" t="n"/>
      <c r="BK146" s="36" t="n"/>
      <c r="BL146" s="36" t="n"/>
      <c r="BM146" s="36" t="n"/>
      <c r="BN146" s="36" t="n"/>
      <c r="BO146" s="36" t="n"/>
      <c r="BP146" s="36" t="n"/>
      <c r="BQ146" s="36" t="n"/>
      <c r="BR146" s="36" t="n"/>
      <c r="BS146" s="36" t="n"/>
      <c r="BT146" s="36" t="n"/>
      <c r="BU146" s="36" t="n"/>
      <c r="BV146" s="36" t="n"/>
      <c r="BW146" s="36" t="n"/>
      <c r="BX146" s="36" t="n"/>
      <c r="BY146" s="36" t="n"/>
      <c r="BZ146" s="36" t="n"/>
      <c r="CA146" s="36" t="n"/>
      <c r="CB146" s="36" t="n"/>
      <c r="CC146" s="36" t="n"/>
      <c r="CD146" s="36" t="n"/>
      <c r="CE146" s="36" t="n"/>
      <c r="CF146" s="36" t="n"/>
    </row>
    <row r="147" hidden="1" outlineLevel="2">
      <c r="A147" s="44" t="inlineStr">
        <is>
          <t>T-5.16</t>
        </is>
      </c>
      <c r="B147" s="45" t="inlineStr">
        <is>
          <t>Pruebas de regresión de los módulos anteriores</t>
        </is>
      </c>
      <c r="C147" s="44" t="inlineStr">
        <is>
          <t>Tarea</t>
        </is>
      </c>
      <c r="D147" s="44" t="inlineStr">
        <is>
          <t>Alexssander</t>
        </is>
      </c>
      <c r="E147" s="46">
        <f>Tareas!H110</f>
        <v/>
      </c>
      <c r="F147" s="46">
        <f>Tareas!I110</f>
        <v/>
      </c>
      <c r="G147" s="44">
        <f>NETWORKDAYS(E147,F147,Feriados)</f>
        <v/>
      </c>
      <c r="H147" s="47">
        <f>Tareas!K110</f>
        <v/>
      </c>
      <c r="I147" s="44">
        <f>Tareas!J110</f>
        <v/>
      </c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  <c r="AV147" s="36" t="n"/>
      <c r="AW147" s="36" t="n"/>
      <c r="AX147" s="36" t="n"/>
      <c r="AY147" s="36" t="n"/>
      <c r="AZ147" s="36" t="n"/>
      <c r="BA147" s="36" t="n"/>
      <c r="BB147" s="36" t="n"/>
      <c r="BC147" s="36" t="n"/>
      <c r="BD147" s="36" t="n"/>
      <c r="BE147" s="36" t="n"/>
      <c r="BF147" s="36" t="n"/>
      <c r="BG147" s="36" t="n"/>
      <c r="BH147" s="36" t="n"/>
      <c r="BI147" s="36" t="n"/>
      <c r="BJ147" s="36" t="n"/>
      <c r="BK147" s="36" t="n"/>
      <c r="BL147" s="36" t="n"/>
      <c r="BM147" s="36" t="n"/>
      <c r="BN147" s="36" t="n"/>
      <c r="BO147" s="36" t="n"/>
      <c r="BP147" s="36" t="n"/>
      <c r="BQ147" s="36" t="n"/>
      <c r="BR147" s="36" t="n"/>
      <c r="BS147" s="36" t="n"/>
      <c r="BT147" s="36" t="n"/>
      <c r="BU147" s="36" t="n"/>
      <c r="BV147" s="36" t="n"/>
      <c r="BW147" s="36" t="n"/>
      <c r="BX147" s="36" t="n"/>
      <c r="BY147" s="36" t="n"/>
      <c r="BZ147" s="36" t="n"/>
      <c r="CA147" s="36" t="n"/>
      <c r="CB147" s="36" t="n"/>
      <c r="CC147" s="36" t="n"/>
      <c r="CD147" s="36" t="n"/>
      <c r="CE147" s="36" t="n"/>
      <c r="CF147" s="36" t="n"/>
    </row>
    <row r="148" hidden="1" outlineLevel="2">
      <c r="A148" s="44" t="inlineStr">
        <is>
          <t>T-5.17</t>
        </is>
      </c>
      <c r="B148" s="45" t="inlineStr">
        <is>
          <t>Pruebas no funcionales: tiempos de respuesta, navegadores y restricciones de acceso</t>
        </is>
      </c>
      <c r="C148" s="44" t="inlineStr">
        <is>
          <t>Tarea</t>
        </is>
      </c>
      <c r="D148" s="44" t="inlineStr">
        <is>
          <t>Millaray</t>
        </is>
      </c>
      <c r="E148" s="46">
        <f>Tareas!H111</f>
        <v/>
      </c>
      <c r="F148" s="46">
        <f>Tareas!I111</f>
        <v/>
      </c>
      <c r="G148" s="44">
        <f>NETWORKDAYS(E148,F148,Feriados)</f>
        <v/>
      </c>
      <c r="H148" s="47">
        <f>Tareas!K111</f>
        <v/>
      </c>
      <c r="I148" s="44">
        <f>Tareas!J111</f>
        <v/>
      </c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6" t="n"/>
      <c r="AZ148" s="36" t="n"/>
      <c r="BA148" s="36" t="n"/>
      <c r="BB148" s="36" t="n"/>
      <c r="BC148" s="36" t="n"/>
      <c r="BD148" s="36" t="n"/>
      <c r="BE148" s="36" t="n"/>
      <c r="BF148" s="36" t="n"/>
      <c r="BG148" s="36" t="n"/>
      <c r="BH148" s="36" t="n"/>
      <c r="BI148" s="36" t="n"/>
      <c r="BJ148" s="36" t="n"/>
      <c r="BK148" s="36" t="n"/>
      <c r="BL148" s="36" t="n"/>
      <c r="BM148" s="36" t="n"/>
      <c r="BN148" s="36" t="n"/>
      <c r="BO148" s="36" t="n"/>
      <c r="BP148" s="36" t="n"/>
      <c r="BQ148" s="36" t="n"/>
      <c r="BR148" s="36" t="n"/>
      <c r="BS148" s="36" t="n"/>
      <c r="BT148" s="36" t="n"/>
      <c r="BU148" s="36" t="n"/>
      <c r="BV148" s="36" t="n"/>
      <c r="BW148" s="36" t="n"/>
      <c r="BX148" s="36" t="n"/>
      <c r="BY148" s="36" t="n"/>
      <c r="BZ148" s="36" t="n"/>
      <c r="CA148" s="36" t="n"/>
      <c r="CB148" s="36" t="n"/>
      <c r="CC148" s="36" t="n"/>
      <c r="CD148" s="36" t="n"/>
      <c r="CE148" s="36" t="n"/>
      <c r="CF148" s="36" t="n"/>
    </row>
    <row r="149" hidden="1" outlineLevel="2">
      <c r="A149" s="44" t="inlineStr">
        <is>
          <t>T-5.18</t>
        </is>
      </c>
      <c r="B149" s="45" t="inlineStr">
        <is>
          <t>Validar el registro y la evaluación de casos con la Jefatura de Posventa</t>
        </is>
      </c>
      <c r="C149" s="44" t="inlineStr">
        <is>
          <t>Tarea</t>
        </is>
      </c>
      <c r="D149" s="44" t="inlineStr">
        <is>
          <t>Millaray</t>
        </is>
      </c>
      <c r="E149" s="46">
        <f>Tareas!H112</f>
        <v/>
      </c>
      <c r="F149" s="46">
        <f>Tareas!I112</f>
        <v/>
      </c>
      <c r="G149" s="44">
        <f>NETWORKDAYS(E149,F149,Feriados)</f>
        <v/>
      </c>
      <c r="H149" s="47">
        <f>Tareas!K112</f>
        <v/>
      </c>
      <c r="I149" s="44">
        <f>Tareas!J112</f>
        <v/>
      </c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36" t="n"/>
      <c r="BE149" s="36" t="n"/>
      <c r="BF149" s="36" t="n"/>
      <c r="BG149" s="36" t="n"/>
      <c r="BH149" s="36" t="n"/>
      <c r="BI149" s="36" t="n"/>
      <c r="BJ149" s="36" t="n"/>
      <c r="BK149" s="36" t="n"/>
      <c r="BL149" s="36" t="n"/>
      <c r="BM149" s="36" t="n"/>
      <c r="BN149" s="36" t="n"/>
      <c r="BO149" s="36" t="n"/>
      <c r="BP149" s="36" t="n"/>
      <c r="BQ149" s="36" t="n"/>
      <c r="BR149" s="36" t="n"/>
      <c r="BS149" s="36" t="n"/>
      <c r="BT149" s="36" t="n"/>
      <c r="BU149" s="36" t="n"/>
      <c r="BV149" s="36" t="n"/>
      <c r="BW149" s="36" t="n"/>
      <c r="BX149" s="36" t="n"/>
      <c r="BY149" s="36" t="n"/>
      <c r="BZ149" s="36" t="n"/>
      <c r="CA149" s="36" t="n"/>
      <c r="CB149" s="36" t="n"/>
      <c r="CC149" s="36" t="n"/>
      <c r="CD149" s="36" t="n"/>
      <c r="CE149" s="36" t="n"/>
      <c r="CF149" s="36" t="n"/>
    </row>
    <row r="150" hidden="1" outlineLevel="2">
      <c r="A150" s="44" t="inlineStr">
        <is>
          <t>T-5.19</t>
        </is>
      </c>
      <c r="B150" s="45" t="inlineStr">
        <is>
          <t>Integrar develop en main, etiquetar v0.5.0 y preparar la demostración</t>
        </is>
      </c>
      <c r="C150" s="44" t="inlineStr">
        <is>
          <t>Tarea</t>
        </is>
      </c>
      <c r="D150" s="44" t="inlineStr">
        <is>
          <t>Matías</t>
        </is>
      </c>
      <c r="E150" s="46">
        <f>Tareas!H113</f>
        <v/>
      </c>
      <c r="F150" s="46">
        <f>Tareas!I113</f>
        <v/>
      </c>
      <c r="G150" s="44">
        <f>NETWORKDAYS(E150,F150,Feriados)</f>
        <v/>
      </c>
      <c r="H150" s="47">
        <f>Tareas!K113</f>
        <v/>
      </c>
      <c r="I150" s="44">
        <f>Tareas!J113</f>
        <v/>
      </c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  <c r="AV150" s="36" t="n"/>
      <c r="AW150" s="36" t="n"/>
      <c r="AX150" s="36" t="n"/>
      <c r="AY150" s="36" t="n"/>
      <c r="AZ150" s="36" t="n"/>
      <c r="BA150" s="36" t="n"/>
      <c r="BB150" s="36" t="n"/>
      <c r="BC150" s="36" t="n"/>
      <c r="BD150" s="36" t="n"/>
      <c r="BE150" s="36" t="n"/>
      <c r="BF150" s="36" t="n"/>
      <c r="BG150" s="36" t="n"/>
      <c r="BH150" s="36" t="n"/>
      <c r="BI150" s="36" t="n"/>
      <c r="BJ150" s="36" t="n"/>
      <c r="BK150" s="36" t="n"/>
      <c r="BL150" s="36" t="n"/>
      <c r="BM150" s="36" t="n"/>
      <c r="BN150" s="36" t="n"/>
      <c r="BO150" s="36" t="n"/>
      <c r="BP150" s="36" t="n"/>
      <c r="BQ150" s="36" t="n"/>
      <c r="BR150" s="36" t="n"/>
      <c r="BS150" s="36" t="n"/>
      <c r="BT150" s="36" t="n"/>
      <c r="BU150" s="36" t="n"/>
      <c r="BV150" s="36" t="n"/>
      <c r="BW150" s="36" t="n"/>
      <c r="BX150" s="36" t="n"/>
      <c r="BY150" s="36" t="n"/>
      <c r="BZ150" s="36" t="n"/>
      <c r="CA150" s="36" t="n"/>
      <c r="CB150" s="36" t="n"/>
      <c r="CC150" s="36" t="n"/>
      <c r="CD150" s="36" t="n"/>
      <c r="CE150" s="36" t="n"/>
      <c r="CF150" s="36" t="n"/>
    </row>
    <row r="151" hidden="1" outlineLevel="2">
      <c r="A151" s="44" t="inlineStr">
        <is>
          <t>T-5.20</t>
        </is>
      </c>
      <c r="B151" s="45" t="inlineStr">
        <is>
          <t>Actualizar la matriz de trazabilidad y el Expediente de Sprint</t>
        </is>
      </c>
      <c r="C151" s="44" t="inlineStr">
        <is>
          <t>Tarea</t>
        </is>
      </c>
      <c r="D151" s="44" t="inlineStr">
        <is>
          <t>Alexssander</t>
        </is>
      </c>
      <c r="E151" s="46">
        <f>Tareas!H114</f>
        <v/>
      </c>
      <c r="F151" s="46">
        <f>Tareas!I114</f>
        <v/>
      </c>
      <c r="G151" s="44">
        <f>NETWORKDAYS(E151,F151,Feriados)</f>
        <v/>
      </c>
      <c r="H151" s="47">
        <f>Tareas!K114</f>
        <v/>
      </c>
      <c r="I151" s="44">
        <f>Tareas!J114</f>
        <v/>
      </c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  <c r="AV151" s="36" t="n"/>
      <c r="AW151" s="36" t="n"/>
      <c r="AX151" s="36" t="n"/>
      <c r="AY151" s="36" t="n"/>
      <c r="AZ151" s="36" t="n"/>
      <c r="BA151" s="36" t="n"/>
      <c r="BB151" s="36" t="n"/>
      <c r="BC151" s="36" t="n"/>
      <c r="BD151" s="36" t="n"/>
      <c r="BE151" s="36" t="n"/>
      <c r="BF151" s="36" t="n"/>
      <c r="BG151" s="36" t="n"/>
      <c r="BH151" s="36" t="n"/>
      <c r="BI151" s="36" t="n"/>
      <c r="BJ151" s="36" t="n"/>
      <c r="BK151" s="36" t="n"/>
      <c r="BL151" s="36" t="n"/>
      <c r="BM151" s="36" t="n"/>
      <c r="BN151" s="36" t="n"/>
      <c r="BO151" s="36" t="n"/>
      <c r="BP151" s="36" t="n"/>
      <c r="BQ151" s="36" t="n"/>
      <c r="BR151" s="36" t="n"/>
      <c r="BS151" s="36" t="n"/>
      <c r="BT151" s="36" t="n"/>
      <c r="BU151" s="36" t="n"/>
      <c r="BV151" s="36" t="n"/>
      <c r="BW151" s="36" t="n"/>
      <c r="BX151" s="36" t="n"/>
      <c r="BY151" s="36" t="n"/>
      <c r="BZ151" s="36" t="n"/>
      <c r="CA151" s="36" t="n"/>
      <c r="CB151" s="36" t="n"/>
      <c r="CC151" s="36" t="n"/>
      <c r="CD151" s="36" t="n"/>
      <c r="CE151" s="36" t="n"/>
      <c r="CF151" s="36" t="n"/>
    </row>
    <row r="152">
      <c r="A152" s="9" t="inlineStr">
        <is>
          <t>S6</t>
        </is>
      </c>
      <c r="B152" s="34" t="inlineStr">
        <is>
          <t>Sprint 6 · Cierre de posventa e integración final</t>
        </is>
      </c>
      <c r="C152" s="9" t="inlineStr">
        <is>
          <t>Sprint</t>
        </is>
      </c>
      <c r="D152" s="9" t="inlineStr">
        <is>
          <t>PO: Alexssander · SM: Matías</t>
        </is>
      </c>
      <c r="E152" s="35">
        <f>Resumen!C13</f>
        <v/>
      </c>
      <c r="F152" s="35">
        <f>Resumen!D13</f>
        <v/>
      </c>
      <c r="G152" s="9">
        <f>NETWORKDAYS(E152,F152,Feriados)</f>
        <v/>
      </c>
      <c r="H152" s="16">
        <f>Resumen!L13</f>
        <v/>
      </c>
      <c r="I152" s="9">
        <f>Resumen!Q13</f>
        <v/>
      </c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  <c r="AV152" s="36" t="n"/>
      <c r="AW152" s="36" t="n"/>
      <c r="AX152" s="36" t="n"/>
      <c r="AY152" s="36" t="n"/>
      <c r="AZ152" s="36" t="n"/>
      <c r="BA152" s="36" t="n"/>
      <c r="BB152" s="36" t="n"/>
      <c r="BC152" s="36" t="n"/>
      <c r="BD152" s="36" t="n"/>
      <c r="BE152" s="36" t="n"/>
      <c r="BF152" s="36" t="n"/>
      <c r="BG152" s="36" t="n"/>
      <c r="BH152" s="36" t="n"/>
      <c r="BI152" s="36" t="n"/>
      <c r="BJ152" s="36" t="n"/>
      <c r="BK152" s="36" t="n"/>
      <c r="BL152" s="36" t="n"/>
      <c r="BM152" s="36" t="n"/>
      <c r="BN152" s="36" t="n"/>
      <c r="BO152" s="36" t="n"/>
      <c r="BP152" s="36" t="n"/>
      <c r="BQ152" s="36" t="n"/>
      <c r="BR152" s="36" t="n"/>
      <c r="BS152" s="36" t="n"/>
      <c r="BT152" s="36" t="n"/>
      <c r="BU152" s="36" t="n"/>
      <c r="BV152" s="36" t="n"/>
      <c r="BW152" s="36" t="n"/>
      <c r="BX152" s="36" t="n"/>
      <c r="BY152" s="36" t="n"/>
      <c r="BZ152" s="36" t="n"/>
      <c r="CA152" s="36" t="n"/>
      <c r="CB152" s="36" t="n"/>
      <c r="CC152" s="36" t="n"/>
      <c r="CD152" s="36" t="n"/>
      <c r="CE152" s="36" t="n"/>
      <c r="CF152" s="36" t="n"/>
    </row>
    <row r="153" outlineLevel="1">
      <c r="A153" s="37" t="inlineStr"/>
      <c r="B153" s="38" t="inlineStr">
        <is>
          <t>Eventos Scrum</t>
        </is>
      </c>
      <c r="C153" s="37" t="inlineStr">
        <is>
          <t>Eventos</t>
        </is>
      </c>
      <c r="D153" s="37" t="inlineStr">
        <is>
          <t>Scrum Team</t>
        </is>
      </c>
      <c r="E153" s="39" t="inlineStr"/>
      <c r="F153" s="39" t="inlineStr"/>
      <c r="G153" s="37" t="inlineStr"/>
      <c r="H153" s="40" t="inlineStr"/>
      <c r="I153" s="37" t="inlineStr"/>
      <c r="J153" s="41">
        <f>IF(J$6=Eventos!$C$30,"P",IF(J$6=Eventos!$C$31,"C",IF(J$6=Eventos!$C$32,"R","")))</f>
        <v/>
      </c>
      <c r="K153" s="41">
        <f>IF(K$6=Eventos!$C$30,"P",IF(K$6=Eventos!$C$31,"C",IF(K$6=Eventos!$C$32,"R","")))</f>
        <v/>
      </c>
      <c r="L153" s="41">
        <f>IF(L$6=Eventos!$C$30,"P",IF(L$6=Eventos!$C$31,"C",IF(L$6=Eventos!$C$32,"R","")))</f>
        <v/>
      </c>
      <c r="M153" s="41">
        <f>IF(M$6=Eventos!$C$30,"P",IF(M$6=Eventos!$C$31,"C",IF(M$6=Eventos!$C$32,"R","")))</f>
        <v/>
      </c>
      <c r="N153" s="41">
        <f>IF(N$6=Eventos!$C$30,"P",IF(N$6=Eventos!$C$31,"C",IF(N$6=Eventos!$C$32,"R","")))</f>
        <v/>
      </c>
      <c r="O153" s="41">
        <f>IF(O$6=Eventos!$C$30,"P",IF(O$6=Eventos!$C$31,"C",IF(O$6=Eventos!$C$32,"R","")))</f>
        <v/>
      </c>
      <c r="P153" s="41">
        <f>IF(P$6=Eventos!$C$30,"P",IF(P$6=Eventos!$C$31,"C",IF(P$6=Eventos!$C$32,"R","")))</f>
        <v/>
      </c>
      <c r="Q153" s="41">
        <f>IF(Q$6=Eventos!$C$30,"P",IF(Q$6=Eventos!$C$31,"C",IF(Q$6=Eventos!$C$32,"R","")))</f>
        <v/>
      </c>
      <c r="R153" s="41">
        <f>IF(R$6=Eventos!$C$30,"P",IF(R$6=Eventos!$C$31,"C",IF(R$6=Eventos!$C$32,"R","")))</f>
        <v/>
      </c>
      <c r="S153" s="41">
        <f>IF(S$6=Eventos!$C$30,"P",IF(S$6=Eventos!$C$31,"C",IF(S$6=Eventos!$C$32,"R","")))</f>
        <v/>
      </c>
      <c r="T153" s="41">
        <f>IF(T$6=Eventos!$C$30,"P",IF(T$6=Eventos!$C$31,"C",IF(T$6=Eventos!$C$32,"R","")))</f>
        <v/>
      </c>
      <c r="U153" s="41">
        <f>IF(U$6=Eventos!$C$30,"P",IF(U$6=Eventos!$C$31,"C",IF(U$6=Eventos!$C$32,"R","")))</f>
        <v/>
      </c>
      <c r="V153" s="41">
        <f>IF(V$6=Eventos!$C$30,"P",IF(V$6=Eventos!$C$31,"C",IF(V$6=Eventos!$C$32,"R","")))</f>
        <v/>
      </c>
      <c r="W153" s="41">
        <f>IF(W$6=Eventos!$C$30,"P",IF(W$6=Eventos!$C$31,"C",IF(W$6=Eventos!$C$32,"R","")))</f>
        <v/>
      </c>
      <c r="X153" s="41">
        <f>IF(X$6=Eventos!$C$30,"P",IF(X$6=Eventos!$C$31,"C",IF(X$6=Eventos!$C$32,"R","")))</f>
        <v/>
      </c>
      <c r="Y153" s="41">
        <f>IF(Y$6=Eventos!$C$30,"P",IF(Y$6=Eventos!$C$31,"C",IF(Y$6=Eventos!$C$32,"R","")))</f>
        <v/>
      </c>
      <c r="Z153" s="41">
        <f>IF(Z$6=Eventos!$C$30,"P",IF(Z$6=Eventos!$C$31,"C",IF(Z$6=Eventos!$C$32,"R","")))</f>
        <v/>
      </c>
      <c r="AA153" s="41">
        <f>IF(AA$6=Eventos!$C$30,"P",IF(AA$6=Eventos!$C$31,"C",IF(AA$6=Eventos!$C$32,"R","")))</f>
        <v/>
      </c>
      <c r="AB153" s="41">
        <f>IF(AB$6=Eventos!$C$30,"P",IF(AB$6=Eventos!$C$31,"C",IF(AB$6=Eventos!$C$32,"R","")))</f>
        <v/>
      </c>
      <c r="AC153" s="41">
        <f>IF(AC$6=Eventos!$C$30,"P",IF(AC$6=Eventos!$C$31,"C",IF(AC$6=Eventos!$C$32,"R","")))</f>
        <v/>
      </c>
      <c r="AD153" s="41">
        <f>IF(AD$6=Eventos!$C$30,"P",IF(AD$6=Eventos!$C$31,"C",IF(AD$6=Eventos!$C$32,"R","")))</f>
        <v/>
      </c>
      <c r="AE153" s="41">
        <f>IF(AE$6=Eventos!$C$30,"P",IF(AE$6=Eventos!$C$31,"C",IF(AE$6=Eventos!$C$32,"R","")))</f>
        <v/>
      </c>
      <c r="AF153" s="41">
        <f>IF(AF$6=Eventos!$C$30,"P",IF(AF$6=Eventos!$C$31,"C",IF(AF$6=Eventos!$C$32,"R","")))</f>
        <v/>
      </c>
      <c r="AG153" s="41">
        <f>IF(AG$6=Eventos!$C$30,"P",IF(AG$6=Eventos!$C$31,"C",IF(AG$6=Eventos!$C$32,"R","")))</f>
        <v/>
      </c>
      <c r="AH153" s="41">
        <f>IF(AH$6=Eventos!$C$30,"P",IF(AH$6=Eventos!$C$31,"C",IF(AH$6=Eventos!$C$32,"R","")))</f>
        <v/>
      </c>
      <c r="AI153" s="41">
        <f>IF(AI$6=Eventos!$C$30,"P",IF(AI$6=Eventos!$C$31,"C",IF(AI$6=Eventos!$C$32,"R","")))</f>
        <v/>
      </c>
      <c r="AJ153" s="41">
        <f>IF(AJ$6=Eventos!$C$30,"P",IF(AJ$6=Eventos!$C$31,"C",IF(AJ$6=Eventos!$C$32,"R","")))</f>
        <v/>
      </c>
      <c r="AK153" s="41">
        <f>IF(AK$6=Eventos!$C$30,"P",IF(AK$6=Eventos!$C$31,"C",IF(AK$6=Eventos!$C$32,"R","")))</f>
        <v/>
      </c>
      <c r="AL153" s="41">
        <f>IF(AL$6=Eventos!$C$30,"P",IF(AL$6=Eventos!$C$31,"C",IF(AL$6=Eventos!$C$32,"R","")))</f>
        <v/>
      </c>
      <c r="AM153" s="41">
        <f>IF(AM$6=Eventos!$C$30,"P",IF(AM$6=Eventos!$C$31,"C",IF(AM$6=Eventos!$C$32,"R","")))</f>
        <v/>
      </c>
      <c r="AN153" s="41">
        <f>IF(AN$6=Eventos!$C$30,"P",IF(AN$6=Eventos!$C$31,"C",IF(AN$6=Eventos!$C$32,"R","")))</f>
        <v/>
      </c>
      <c r="AO153" s="41">
        <f>IF(AO$6=Eventos!$C$30,"P",IF(AO$6=Eventos!$C$31,"C",IF(AO$6=Eventos!$C$32,"R","")))</f>
        <v/>
      </c>
      <c r="AP153" s="41">
        <f>IF(AP$6=Eventos!$C$30,"P",IF(AP$6=Eventos!$C$31,"C",IF(AP$6=Eventos!$C$32,"R","")))</f>
        <v/>
      </c>
      <c r="AQ153" s="41">
        <f>IF(AQ$6=Eventos!$C$30,"P",IF(AQ$6=Eventos!$C$31,"C",IF(AQ$6=Eventos!$C$32,"R","")))</f>
        <v/>
      </c>
      <c r="AR153" s="41">
        <f>IF(AR$6=Eventos!$C$30,"P",IF(AR$6=Eventos!$C$31,"C",IF(AR$6=Eventos!$C$32,"R","")))</f>
        <v/>
      </c>
      <c r="AS153" s="41">
        <f>IF(AS$6=Eventos!$C$30,"P",IF(AS$6=Eventos!$C$31,"C",IF(AS$6=Eventos!$C$32,"R","")))</f>
        <v/>
      </c>
      <c r="AT153" s="41">
        <f>IF(AT$6=Eventos!$C$30,"P",IF(AT$6=Eventos!$C$31,"C",IF(AT$6=Eventos!$C$32,"R","")))</f>
        <v/>
      </c>
      <c r="AU153" s="41">
        <f>IF(AU$6=Eventos!$C$30,"P",IF(AU$6=Eventos!$C$31,"C",IF(AU$6=Eventos!$C$32,"R","")))</f>
        <v/>
      </c>
      <c r="AV153" s="41">
        <f>IF(AV$6=Eventos!$C$30,"P",IF(AV$6=Eventos!$C$31,"C",IF(AV$6=Eventos!$C$32,"R","")))</f>
        <v/>
      </c>
      <c r="AW153" s="41">
        <f>IF(AW$6=Eventos!$C$30,"P",IF(AW$6=Eventos!$C$31,"C",IF(AW$6=Eventos!$C$32,"R","")))</f>
        <v/>
      </c>
      <c r="AX153" s="41">
        <f>IF(AX$6=Eventos!$C$30,"P",IF(AX$6=Eventos!$C$31,"C",IF(AX$6=Eventos!$C$32,"R","")))</f>
        <v/>
      </c>
      <c r="AY153" s="41">
        <f>IF(AY$6=Eventos!$C$30,"P",IF(AY$6=Eventos!$C$31,"C",IF(AY$6=Eventos!$C$32,"R","")))</f>
        <v/>
      </c>
      <c r="AZ153" s="41">
        <f>IF(AZ$6=Eventos!$C$30,"P",IF(AZ$6=Eventos!$C$31,"C",IF(AZ$6=Eventos!$C$32,"R","")))</f>
        <v/>
      </c>
      <c r="BA153" s="41">
        <f>IF(BA$6=Eventos!$C$30,"P",IF(BA$6=Eventos!$C$31,"C",IF(BA$6=Eventos!$C$32,"R","")))</f>
        <v/>
      </c>
      <c r="BB153" s="41">
        <f>IF(BB$6=Eventos!$C$30,"P",IF(BB$6=Eventos!$C$31,"C",IF(BB$6=Eventos!$C$32,"R","")))</f>
        <v/>
      </c>
      <c r="BC153" s="41">
        <f>IF(BC$6=Eventos!$C$30,"P",IF(BC$6=Eventos!$C$31,"C",IF(BC$6=Eventos!$C$32,"R","")))</f>
        <v/>
      </c>
      <c r="BD153" s="41">
        <f>IF(BD$6=Eventos!$C$30,"P",IF(BD$6=Eventos!$C$31,"C",IF(BD$6=Eventos!$C$32,"R","")))</f>
        <v/>
      </c>
      <c r="BE153" s="41">
        <f>IF(BE$6=Eventos!$C$30,"P",IF(BE$6=Eventos!$C$31,"C",IF(BE$6=Eventos!$C$32,"R","")))</f>
        <v/>
      </c>
      <c r="BF153" s="41">
        <f>IF(BF$6=Eventos!$C$30,"P",IF(BF$6=Eventos!$C$31,"C",IF(BF$6=Eventos!$C$32,"R","")))</f>
        <v/>
      </c>
      <c r="BG153" s="41">
        <f>IF(BG$6=Eventos!$C$30,"P",IF(BG$6=Eventos!$C$31,"C",IF(BG$6=Eventos!$C$32,"R","")))</f>
        <v/>
      </c>
      <c r="BH153" s="41">
        <f>IF(BH$6=Eventos!$C$30,"P",IF(BH$6=Eventos!$C$31,"C",IF(BH$6=Eventos!$C$32,"R","")))</f>
        <v/>
      </c>
      <c r="BI153" s="41">
        <f>IF(BI$6=Eventos!$C$30,"P",IF(BI$6=Eventos!$C$31,"C",IF(BI$6=Eventos!$C$32,"R","")))</f>
        <v/>
      </c>
      <c r="BJ153" s="41">
        <f>IF(BJ$6=Eventos!$C$30,"P",IF(BJ$6=Eventos!$C$31,"C",IF(BJ$6=Eventos!$C$32,"R","")))</f>
        <v/>
      </c>
      <c r="BK153" s="41">
        <f>IF(BK$6=Eventos!$C$30,"P",IF(BK$6=Eventos!$C$31,"C",IF(BK$6=Eventos!$C$32,"R","")))</f>
        <v/>
      </c>
      <c r="BL153" s="41">
        <f>IF(BL$6=Eventos!$C$30,"P",IF(BL$6=Eventos!$C$31,"C",IF(BL$6=Eventos!$C$32,"R","")))</f>
        <v/>
      </c>
      <c r="BM153" s="41">
        <f>IF(BM$6=Eventos!$C$30,"P",IF(BM$6=Eventos!$C$31,"C",IF(BM$6=Eventos!$C$32,"R","")))</f>
        <v/>
      </c>
      <c r="BN153" s="41">
        <f>IF(BN$6=Eventos!$C$30,"P",IF(BN$6=Eventos!$C$31,"C",IF(BN$6=Eventos!$C$32,"R","")))</f>
        <v/>
      </c>
      <c r="BO153" s="41">
        <f>IF(BO$6=Eventos!$C$30,"P",IF(BO$6=Eventos!$C$31,"C",IF(BO$6=Eventos!$C$32,"R","")))</f>
        <v/>
      </c>
      <c r="BP153" s="41">
        <f>IF(BP$6=Eventos!$C$30,"P",IF(BP$6=Eventos!$C$31,"C",IF(BP$6=Eventos!$C$32,"R","")))</f>
        <v/>
      </c>
      <c r="BQ153" s="41">
        <f>IF(BQ$6=Eventos!$C$30,"P",IF(BQ$6=Eventos!$C$31,"C",IF(BQ$6=Eventos!$C$32,"R","")))</f>
        <v/>
      </c>
      <c r="BR153" s="41">
        <f>IF(BR$6=Eventos!$C$30,"P",IF(BR$6=Eventos!$C$31,"C",IF(BR$6=Eventos!$C$32,"R","")))</f>
        <v/>
      </c>
      <c r="BS153" s="41">
        <f>IF(BS$6=Eventos!$C$30,"P",IF(BS$6=Eventos!$C$31,"C",IF(BS$6=Eventos!$C$32,"R","")))</f>
        <v/>
      </c>
      <c r="BT153" s="41">
        <f>IF(BT$6=Eventos!$C$30,"P",IF(BT$6=Eventos!$C$31,"C",IF(BT$6=Eventos!$C$32,"R","")))</f>
        <v/>
      </c>
      <c r="BU153" s="41">
        <f>IF(BU$6=Eventos!$C$30,"P",IF(BU$6=Eventos!$C$31,"C",IF(BU$6=Eventos!$C$32,"R","")))</f>
        <v/>
      </c>
      <c r="BV153" s="41">
        <f>IF(BV$6=Eventos!$C$30,"P",IF(BV$6=Eventos!$C$31,"C",IF(BV$6=Eventos!$C$32,"R","")))</f>
        <v/>
      </c>
      <c r="BW153" s="41">
        <f>IF(BW$6=Eventos!$C$30,"P",IF(BW$6=Eventos!$C$31,"C",IF(BW$6=Eventos!$C$32,"R","")))</f>
        <v/>
      </c>
      <c r="BX153" s="41">
        <f>IF(BX$6=Eventos!$C$30,"P",IF(BX$6=Eventos!$C$31,"C",IF(BX$6=Eventos!$C$32,"R","")))</f>
        <v/>
      </c>
      <c r="BY153" s="41">
        <f>IF(BY$6=Eventos!$C$30,"P",IF(BY$6=Eventos!$C$31,"C",IF(BY$6=Eventos!$C$32,"R","")))</f>
        <v/>
      </c>
      <c r="BZ153" s="41">
        <f>IF(BZ$6=Eventos!$C$30,"P",IF(BZ$6=Eventos!$C$31,"C",IF(BZ$6=Eventos!$C$32,"R","")))</f>
        <v/>
      </c>
      <c r="CA153" s="41">
        <f>IF(CA$6=Eventos!$C$30,"P",IF(CA$6=Eventos!$C$31,"C",IF(CA$6=Eventos!$C$32,"R","")))</f>
        <v/>
      </c>
      <c r="CB153" s="41">
        <f>IF(CB$6=Eventos!$C$30,"P",IF(CB$6=Eventos!$C$31,"C",IF(CB$6=Eventos!$C$32,"R","")))</f>
        <v/>
      </c>
      <c r="CC153" s="41">
        <f>IF(CC$6=Eventos!$C$30,"P",IF(CC$6=Eventos!$C$31,"C",IF(CC$6=Eventos!$C$32,"R","")))</f>
        <v/>
      </c>
      <c r="CD153" s="41">
        <f>IF(CD$6=Eventos!$C$30,"P",IF(CD$6=Eventos!$C$31,"C",IF(CD$6=Eventos!$C$32,"R","")))</f>
        <v/>
      </c>
      <c r="CE153" s="41">
        <f>IF(CE$6=Eventos!$C$30,"P",IF(CE$6=Eventos!$C$31,"C",IF(CE$6=Eventos!$C$32,"R","")))</f>
        <v/>
      </c>
      <c r="CF153" s="41">
        <f>IF(CF$6=Eventos!$C$30,"P",IF(CF$6=Eventos!$C$31,"C",IF(CF$6=Eventos!$C$32,"R","")))</f>
        <v/>
      </c>
    </row>
    <row r="154" outlineLevel="1">
      <c r="A154" s="11" t="inlineStr">
        <is>
          <t>HU-020</t>
        </is>
      </c>
      <c r="B154" s="42" t="inlineStr">
        <is>
          <t>Gestionar el avance y cierre de posventa</t>
        </is>
      </c>
      <c r="C154" s="11" t="inlineStr">
        <is>
          <t>Historia</t>
        </is>
      </c>
      <c r="D154" s="11" t="inlineStr">
        <is>
          <t>Millaray y Alexssander</t>
        </is>
      </c>
      <c r="E154" s="43">
        <f>Historias!J24</f>
        <v/>
      </c>
      <c r="F154" s="43">
        <f>Historias!K24</f>
        <v/>
      </c>
      <c r="G154" s="11">
        <f>NETWORKDAYS(E154,F154,Feriados)</f>
        <v/>
      </c>
      <c r="H154" s="13">
        <f>Historias!N24</f>
        <v/>
      </c>
      <c r="I154" s="11">
        <f>Historias!P24</f>
        <v/>
      </c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  <c r="AV154" s="36" t="n"/>
      <c r="AW154" s="36" t="n"/>
      <c r="AX154" s="36" t="n"/>
      <c r="AY154" s="36" t="n"/>
      <c r="AZ154" s="36" t="n"/>
      <c r="BA154" s="36" t="n"/>
      <c r="BB154" s="36" t="n"/>
      <c r="BC154" s="36" t="n"/>
      <c r="BD154" s="36" t="n"/>
      <c r="BE154" s="36" t="n"/>
      <c r="BF154" s="36" t="n"/>
      <c r="BG154" s="36" t="n"/>
      <c r="BH154" s="36" t="n"/>
      <c r="BI154" s="36" t="n"/>
      <c r="BJ154" s="36" t="n"/>
      <c r="BK154" s="36" t="n"/>
      <c r="BL154" s="36" t="n"/>
      <c r="BM154" s="36" t="n"/>
      <c r="BN154" s="36" t="n"/>
      <c r="BO154" s="36" t="n"/>
      <c r="BP154" s="36" t="n"/>
      <c r="BQ154" s="36" t="n"/>
      <c r="BR154" s="36" t="n"/>
      <c r="BS154" s="36" t="n"/>
      <c r="BT154" s="36" t="n"/>
      <c r="BU154" s="36" t="n"/>
      <c r="BV154" s="36" t="n"/>
      <c r="BW154" s="36" t="n"/>
      <c r="BX154" s="36" t="n"/>
      <c r="BY154" s="36" t="n"/>
      <c r="BZ154" s="36" t="n"/>
      <c r="CA154" s="36" t="n"/>
      <c r="CB154" s="36" t="n"/>
      <c r="CC154" s="36" t="n"/>
      <c r="CD154" s="36" t="n"/>
      <c r="CE154" s="36" t="n"/>
      <c r="CF154" s="36" t="n"/>
    </row>
    <row r="155" hidden="1" outlineLevel="2">
      <c r="A155" s="44" t="inlineStr">
        <is>
          <t>T-6.01</t>
        </is>
      </c>
      <c r="B155" s="45" t="inlineStr">
        <is>
          <t>Flujo de estados con guía: QR enviado, recepcionado, ruta de stock o proveedor y cierre</t>
        </is>
      </c>
      <c r="C155" s="44" t="inlineStr">
        <is>
          <t>Tarea</t>
        </is>
      </c>
      <c r="D155" s="44" t="inlineStr">
        <is>
          <t>Alexssander</t>
        </is>
      </c>
      <c r="E155" s="46">
        <f>Tareas!H115</f>
        <v/>
      </c>
      <c r="F155" s="46">
        <f>Tareas!I115</f>
        <v/>
      </c>
      <c r="G155" s="44">
        <f>NETWORKDAYS(E155,F155,Feriados)</f>
        <v/>
      </c>
      <c r="H155" s="47">
        <f>Tareas!K115</f>
        <v/>
      </c>
      <c r="I155" s="44">
        <f>Tareas!J115</f>
        <v/>
      </c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6" t="n"/>
      <c r="AZ155" s="36" t="n"/>
      <c r="BA155" s="36" t="n"/>
      <c r="BB155" s="36" t="n"/>
      <c r="BC155" s="36" t="n"/>
      <c r="BD155" s="36" t="n"/>
      <c r="BE155" s="36" t="n"/>
      <c r="BF155" s="36" t="n"/>
      <c r="BG155" s="36" t="n"/>
      <c r="BH155" s="36" t="n"/>
      <c r="BI155" s="36" t="n"/>
      <c r="BJ155" s="36" t="n"/>
      <c r="BK155" s="36" t="n"/>
      <c r="BL155" s="36" t="n"/>
      <c r="BM155" s="36" t="n"/>
      <c r="BN155" s="36" t="n"/>
      <c r="BO155" s="36" t="n"/>
      <c r="BP155" s="36" t="n"/>
      <c r="BQ155" s="36" t="n"/>
      <c r="BR155" s="36" t="n"/>
      <c r="BS155" s="36" t="n"/>
      <c r="BT155" s="36" t="n"/>
      <c r="BU155" s="36" t="n"/>
      <c r="BV155" s="36" t="n"/>
      <c r="BW155" s="36" t="n"/>
      <c r="BX155" s="36" t="n"/>
      <c r="BY155" s="36" t="n"/>
      <c r="BZ155" s="36" t="n"/>
      <c r="CA155" s="36" t="n"/>
      <c r="CB155" s="36" t="n"/>
      <c r="CC155" s="36" t="n"/>
      <c r="CD155" s="36" t="n"/>
      <c r="CE155" s="36" t="n"/>
      <c r="CF155" s="36" t="n"/>
    </row>
    <row r="156" hidden="1" outlineLevel="2">
      <c r="A156" s="44" t="inlineStr">
        <is>
          <t>T-6.02</t>
        </is>
      </c>
      <c r="B156" s="45" t="inlineStr">
        <is>
          <t>Ruta de los casos con factura de reserva</t>
        </is>
      </c>
      <c r="C156" s="44" t="inlineStr">
        <is>
          <t>Tarea</t>
        </is>
      </c>
      <c r="D156" s="44" t="inlineStr">
        <is>
          <t>Alexssander</t>
        </is>
      </c>
      <c r="E156" s="46">
        <f>Tareas!H116</f>
        <v/>
      </c>
      <c r="F156" s="46">
        <f>Tareas!I116</f>
        <v/>
      </c>
      <c r="G156" s="44">
        <f>NETWORKDAYS(E156,F156,Feriados)</f>
        <v/>
      </c>
      <c r="H156" s="47">
        <f>Tareas!K116</f>
        <v/>
      </c>
      <c r="I156" s="44">
        <f>Tareas!J116</f>
        <v/>
      </c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  <c r="AV156" s="36" t="n"/>
      <c r="AW156" s="36" t="n"/>
      <c r="AX156" s="36" t="n"/>
      <c r="AY156" s="36" t="n"/>
      <c r="AZ156" s="36" t="n"/>
      <c r="BA156" s="36" t="n"/>
      <c r="BB156" s="36" t="n"/>
      <c r="BC156" s="36" t="n"/>
      <c r="BD156" s="36" t="n"/>
      <c r="BE156" s="36" t="n"/>
      <c r="BF156" s="36" t="n"/>
      <c r="BG156" s="36" t="n"/>
      <c r="BH156" s="36" t="n"/>
      <c r="BI156" s="36" t="n"/>
      <c r="BJ156" s="36" t="n"/>
      <c r="BK156" s="36" t="n"/>
      <c r="BL156" s="36" t="n"/>
      <c r="BM156" s="36" t="n"/>
      <c r="BN156" s="36" t="n"/>
      <c r="BO156" s="36" t="n"/>
      <c r="BP156" s="36" t="n"/>
      <c r="BQ156" s="36" t="n"/>
      <c r="BR156" s="36" t="n"/>
      <c r="BS156" s="36" t="n"/>
      <c r="BT156" s="36" t="n"/>
      <c r="BU156" s="36" t="n"/>
      <c r="BV156" s="36" t="n"/>
      <c r="BW156" s="36" t="n"/>
      <c r="BX156" s="36" t="n"/>
      <c r="BY156" s="36" t="n"/>
      <c r="BZ156" s="36" t="n"/>
      <c r="CA156" s="36" t="n"/>
      <c r="CB156" s="36" t="n"/>
      <c r="CC156" s="36" t="n"/>
      <c r="CD156" s="36" t="n"/>
      <c r="CE156" s="36" t="n"/>
      <c r="CF156" s="36" t="n"/>
    </row>
    <row r="157" hidden="1" outlineLevel="2">
      <c r="A157" s="44" t="inlineStr">
        <is>
          <t>T-6.03</t>
        </is>
      </c>
      <c r="B157" s="45" t="inlineStr">
        <is>
          <t>Notificaciones y observaciones visibles en cada cambio de estado</t>
        </is>
      </c>
      <c r="C157" s="44" t="inlineStr">
        <is>
          <t>Tarea</t>
        </is>
      </c>
      <c r="D157" s="44" t="inlineStr">
        <is>
          <t>Millaray</t>
        </is>
      </c>
      <c r="E157" s="46">
        <f>Tareas!H117</f>
        <v/>
      </c>
      <c r="F157" s="46">
        <f>Tareas!I117</f>
        <v/>
      </c>
      <c r="G157" s="44">
        <f>NETWORKDAYS(E157,F157,Feriados)</f>
        <v/>
      </c>
      <c r="H157" s="47">
        <f>Tareas!K117</f>
        <v/>
      </c>
      <c r="I157" s="44">
        <f>Tareas!J117</f>
        <v/>
      </c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  <c r="AV157" s="36" t="n"/>
      <c r="AW157" s="36" t="n"/>
      <c r="AX157" s="36" t="n"/>
      <c r="AY157" s="36" t="n"/>
      <c r="AZ157" s="36" t="n"/>
      <c r="BA157" s="36" t="n"/>
      <c r="BB157" s="36" t="n"/>
      <c r="BC157" s="36" t="n"/>
      <c r="BD157" s="36" t="n"/>
      <c r="BE157" s="36" t="n"/>
      <c r="BF157" s="36" t="n"/>
      <c r="BG157" s="36" t="n"/>
      <c r="BH157" s="36" t="n"/>
      <c r="BI157" s="36" t="n"/>
      <c r="BJ157" s="36" t="n"/>
      <c r="BK157" s="36" t="n"/>
      <c r="BL157" s="36" t="n"/>
      <c r="BM157" s="36" t="n"/>
      <c r="BN157" s="36" t="n"/>
      <c r="BO157" s="36" t="n"/>
      <c r="BP157" s="36" t="n"/>
      <c r="BQ157" s="36" t="n"/>
      <c r="BR157" s="36" t="n"/>
      <c r="BS157" s="36" t="n"/>
      <c r="BT157" s="36" t="n"/>
      <c r="BU157" s="36" t="n"/>
      <c r="BV157" s="36" t="n"/>
      <c r="BW157" s="36" t="n"/>
      <c r="BX157" s="36" t="n"/>
      <c r="BY157" s="36" t="n"/>
      <c r="BZ157" s="36" t="n"/>
      <c r="CA157" s="36" t="n"/>
      <c r="CB157" s="36" t="n"/>
      <c r="CC157" s="36" t="n"/>
      <c r="CD157" s="36" t="n"/>
      <c r="CE157" s="36" t="n"/>
      <c r="CF157" s="36" t="n"/>
    </row>
    <row r="158" hidden="1" outlineLevel="2">
      <c r="A158" s="44" t="inlineStr">
        <is>
          <t>T-6.04</t>
        </is>
      </c>
      <c r="B158" s="45" t="inlineStr">
        <is>
          <t>Cierre exclusivo del autorizador con resolución final</t>
        </is>
      </c>
      <c r="C158" s="44" t="inlineStr">
        <is>
          <t>Tarea</t>
        </is>
      </c>
      <c r="D158" s="44" t="inlineStr">
        <is>
          <t>Millaray</t>
        </is>
      </c>
      <c r="E158" s="46">
        <f>Tareas!H118</f>
        <v/>
      </c>
      <c r="F158" s="46">
        <f>Tareas!I118</f>
        <v/>
      </c>
      <c r="G158" s="44">
        <f>NETWORKDAYS(E158,F158,Feriados)</f>
        <v/>
      </c>
      <c r="H158" s="47">
        <f>Tareas!K118</f>
        <v/>
      </c>
      <c r="I158" s="44">
        <f>Tareas!J118</f>
        <v/>
      </c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  <c r="AV158" s="36" t="n"/>
      <c r="AW158" s="36" t="n"/>
      <c r="AX158" s="36" t="n"/>
      <c r="AY158" s="36" t="n"/>
      <c r="AZ158" s="36" t="n"/>
      <c r="BA158" s="36" t="n"/>
      <c r="BB158" s="36" t="n"/>
      <c r="BC158" s="36" t="n"/>
      <c r="BD158" s="36" t="n"/>
      <c r="BE158" s="36" t="n"/>
      <c r="BF158" s="36" t="n"/>
      <c r="BG158" s="36" t="n"/>
      <c r="BH158" s="36" t="n"/>
      <c r="BI158" s="36" t="n"/>
      <c r="BJ158" s="36" t="n"/>
      <c r="BK158" s="36" t="n"/>
      <c r="BL158" s="36" t="n"/>
      <c r="BM158" s="36" t="n"/>
      <c r="BN158" s="36" t="n"/>
      <c r="BO158" s="36" t="n"/>
      <c r="BP158" s="36" t="n"/>
      <c r="BQ158" s="36" t="n"/>
      <c r="BR158" s="36" t="n"/>
      <c r="BS158" s="36" t="n"/>
      <c r="BT158" s="36" t="n"/>
      <c r="BU158" s="36" t="n"/>
      <c r="BV158" s="36" t="n"/>
      <c r="BW158" s="36" t="n"/>
      <c r="BX158" s="36" t="n"/>
      <c r="BY158" s="36" t="n"/>
      <c r="BZ158" s="36" t="n"/>
      <c r="CA158" s="36" t="n"/>
      <c r="CB158" s="36" t="n"/>
      <c r="CC158" s="36" t="n"/>
      <c r="CD158" s="36" t="n"/>
      <c r="CE158" s="36" t="n"/>
      <c r="CF158" s="36" t="n"/>
    </row>
    <row r="159" hidden="1" outlineLevel="2">
      <c r="A159" s="44" t="inlineStr">
        <is>
          <t>T-6.05</t>
        </is>
      </c>
      <c r="B159" s="45" t="inlineStr">
        <is>
          <t>Pruebas automatizadas y ejecución de CP-075 a CP-078</t>
        </is>
      </c>
      <c r="C159" s="44" t="inlineStr">
        <is>
          <t>Tarea</t>
        </is>
      </c>
      <c r="D159" s="44" t="inlineStr">
        <is>
          <t>Matías</t>
        </is>
      </c>
      <c r="E159" s="46">
        <f>Tareas!H119</f>
        <v/>
      </c>
      <c r="F159" s="46">
        <f>Tareas!I119</f>
        <v/>
      </c>
      <c r="G159" s="44">
        <f>NETWORKDAYS(E159,F159,Feriados)</f>
        <v/>
      </c>
      <c r="H159" s="47">
        <f>Tareas!K119</f>
        <v/>
      </c>
      <c r="I159" s="44">
        <f>Tareas!J119</f>
        <v/>
      </c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6" t="n"/>
      <c r="AZ159" s="36" t="n"/>
      <c r="BA159" s="36" t="n"/>
      <c r="BB159" s="36" t="n"/>
      <c r="BC159" s="36" t="n"/>
      <c r="BD159" s="36" t="n"/>
      <c r="BE159" s="36" t="n"/>
      <c r="BF159" s="36" t="n"/>
      <c r="BG159" s="36" t="n"/>
      <c r="BH159" s="36" t="n"/>
      <c r="BI159" s="36" t="n"/>
      <c r="BJ159" s="36" t="n"/>
      <c r="BK159" s="36" t="n"/>
      <c r="BL159" s="36" t="n"/>
      <c r="BM159" s="36" t="n"/>
      <c r="BN159" s="36" t="n"/>
      <c r="BO159" s="36" t="n"/>
      <c r="BP159" s="36" t="n"/>
      <c r="BQ159" s="36" t="n"/>
      <c r="BR159" s="36" t="n"/>
      <c r="BS159" s="36" t="n"/>
      <c r="BT159" s="36" t="n"/>
      <c r="BU159" s="36" t="n"/>
      <c r="BV159" s="36" t="n"/>
      <c r="BW159" s="36" t="n"/>
      <c r="BX159" s="36" t="n"/>
      <c r="BY159" s="36" t="n"/>
      <c r="BZ159" s="36" t="n"/>
      <c r="CA159" s="36" t="n"/>
      <c r="CB159" s="36" t="n"/>
      <c r="CC159" s="36" t="n"/>
      <c r="CD159" s="36" t="n"/>
      <c r="CE159" s="36" t="n"/>
      <c r="CF159" s="36" t="n"/>
    </row>
    <row r="160" outlineLevel="1">
      <c r="A160" s="11" t="inlineStr"/>
      <c r="B160" s="42" t="inlineStr">
        <is>
          <t>Tareas transversales del sprint</t>
        </is>
      </c>
      <c r="C160" s="11" t="inlineStr">
        <is>
          <t>Historia</t>
        </is>
      </c>
      <c r="D160" s="11" t="inlineStr">
        <is>
          <t>Scrum Team</t>
        </is>
      </c>
      <c r="E160" s="43">
        <f>_xlfn.MINIFS(Tareas!$H:$H,Tareas!$B:$B,"Sprint 6",Tareas!$C:$C,"Transversal")</f>
        <v/>
      </c>
      <c r="F160" s="43">
        <f>_xlfn.MAXIFS(Tareas!$I:$I,Tareas!$B:$B,"Sprint 6",Tareas!$C:$C,"Transversal")</f>
        <v/>
      </c>
      <c r="G160" s="11">
        <f>NETWORKDAYS(E160,F160,Feriados)</f>
        <v/>
      </c>
      <c r="H160" s="13">
        <f>IFERROR(SUMIFS(Tareas!$L:$L,Tareas!$B:$B,"Sprint 6",Tareas!$C:$C,"Transversal")/SUMIFS(Tareas!$F:$F,Tareas!$B:$B,"Sprint 6",Tareas!$C:$C,"Transversal"),0)</f>
        <v/>
      </c>
      <c r="I160" s="11" t="inlineStr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6" t="n"/>
      <c r="AZ160" s="36" t="n"/>
      <c r="BA160" s="36" t="n"/>
      <c r="BB160" s="36" t="n"/>
      <c r="BC160" s="36" t="n"/>
      <c r="BD160" s="36" t="n"/>
      <c r="BE160" s="36" t="n"/>
      <c r="BF160" s="36" t="n"/>
      <c r="BG160" s="36" t="n"/>
      <c r="BH160" s="36" t="n"/>
      <c r="BI160" s="36" t="n"/>
      <c r="BJ160" s="36" t="n"/>
      <c r="BK160" s="36" t="n"/>
      <c r="BL160" s="36" t="n"/>
      <c r="BM160" s="36" t="n"/>
      <c r="BN160" s="36" t="n"/>
      <c r="BO160" s="36" t="n"/>
      <c r="BP160" s="36" t="n"/>
      <c r="BQ160" s="36" t="n"/>
      <c r="BR160" s="36" t="n"/>
      <c r="BS160" s="36" t="n"/>
      <c r="BT160" s="36" t="n"/>
      <c r="BU160" s="36" t="n"/>
      <c r="BV160" s="36" t="n"/>
      <c r="BW160" s="36" t="n"/>
      <c r="BX160" s="36" t="n"/>
      <c r="BY160" s="36" t="n"/>
      <c r="BZ160" s="36" t="n"/>
      <c r="CA160" s="36" t="n"/>
      <c r="CB160" s="36" t="n"/>
      <c r="CC160" s="36" t="n"/>
      <c r="CD160" s="36" t="n"/>
      <c r="CE160" s="36" t="n"/>
      <c r="CF160" s="36" t="n"/>
    </row>
    <row r="161" hidden="1" outlineLevel="2">
      <c r="A161" s="44" t="inlineStr">
        <is>
          <t>T-6.06</t>
        </is>
      </c>
      <c r="B161" s="45" t="inlineStr">
        <is>
          <t>Integración final y corrección de incidencias abiertas</t>
        </is>
      </c>
      <c r="C161" s="44" t="inlineStr">
        <is>
          <t>Tarea</t>
        </is>
      </c>
      <c r="D161" s="44" t="inlineStr">
        <is>
          <t>Matías</t>
        </is>
      </c>
      <c r="E161" s="46">
        <f>Tareas!H120</f>
        <v/>
      </c>
      <c r="F161" s="46">
        <f>Tareas!I120</f>
        <v/>
      </c>
      <c r="G161" s="44">
        <f>NETWORKDAYS(E161,F161,Feriados)</f>
        <v/>
      </c>
      <c r="H161" s="47">
        <f>Tareas!K120</f>
        <v/>
      </c>
      <c r="I161" s="44">
        <f>Tareas!J120</f>
        <v/>
      </c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6" t="n"/>
      <c r="AZ161" s="36" t="n"/>
      <c r="BA161" s="36" t="n"/>
      <c r="BB161" s="36" t="n"/>
      <c r="BC161" s="36" t="n"/>
      <c r="BD161" s="36" t="n"/>
      <c r="BE161" s="36" t="n"/>
      <c r="BF161" s="36" t="n"/>
      <c r="BG161" s="36" t="n"/>
      <c r="BH161" s="36" t="n"/>
      <c r="BI161" s="36" t="n"/>
      <c r="BJ161" s="36" t="n"/>
      <c r="BK161" s="36" t="n"/>
      <c r="BL161" s="36" t="n"/>
      <c r="BM161" s="36" t="n"/>
      <c r="BN161" s="36" t="n"/>
      <c r="BO161" s="36" t="n"/>
      <c r="BP161" s="36" t="n"/>
      <c r="BQ161" s="36" t="n"/>
      <c r="BR161" s="36" t="n"/>
      <c r="BS161" s="36" t="n"/>
      <c r="BT161" s="36" t="n"/>
      <c r="BU161" s="36" t="n"/>
      <c r="BV161" s="36" t="n"/>
      <c r="BW161" s="36" t="n"/>
      <c r="BX161" s="36" t="n"/>
      <c r="BY161" s="36" t="n"/>
      <c r="BZ161" s="36" t="n"/>
      <c r="CA161" s="36" t="n"/>
      <c r="CB161" s="36" t="n"/>
      <c r="CC161" s="36" t="n"/>
      <c r="CD161" s="36" t="n"/>
      <c r="CE161" s="36" t="n"/>
      <c r="CF161" s="36" t="n"/>
    </row>
    <row r="162" hidden="1" outlineLevel="2">
      <c r="A162" s="44" t="inlineStr">
        <is>
          <t>T-6.07</t>
        </is>
      </c>
      <c r="B162" s="45" t="inlineStr">
        <is>
          <t>Regresión completa del producto</t>
        </is>
      </c>
      <c r="C162" s="44" t="inlineStr">
        <is>
          <t>Tarea</t>
        </is>
      </c>
      <c r="D162" s="44" t="inlineStr">
        <is>
          <t>Matías</t>
        </is>
      </c>
      <c r="E162" s="46">
        <f>Tareas!H121</f>
        <v/>
      </c>
      <c r="F162" s="46">
        <f>Tareas!I121</f>
        <v/>
      </c>
      <c r="G162" s="44">
        <f>NETWORKDAYS(E162,F162,Feriados)</f>
        <v/>
      </c>
      <c r="H162" s="47">
        <f>Tareas!K121</f>
        <v/>
      </c>
      <c r="I162" s="44">
        <f>Tareas!J121</f>
        <v/>
      </c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  <c r="AV162" s="36" t="n"/>
      <c r="AW162" s="36" t="n"/>
      <c r="AX162" s="36" t="n"/>
      <c r="AY162" s="36" t="n"/>
      <c r="AZ162" s="36" t="n"/>
      <c r="BA162" s="36" t="n"/>
      <c r="BB162" s="36" t="n"/>
      <c r="BC162" s="36" t="n"/>
      <c r="BD162" s="36" t="n"/>
      <c r="BE162" s="36" t="n"/>
      <c r="BF162" s="36" t="n"/>
      <c r="BG162" s="36" t="n"/>
      <c r="BH162" s="36" t="n"/>
      <c r="BI162" s="36" t="n"/>
      <c r="BJ162" s="36" t="n"/>
      <c r="BK162" s="36" t="n"/>
      <c r="BL162" s="36" t="n"/>
      <c r="BM162" s="36" t="n"/>
      <c r="BN162" s="36" t="n"/>
      <c r="BO162" s="36" t="n"/>
      <c r="BP162" s="36" t="n"/>
      <c r="BQ162" s="36" t="n"/>
      <c r="BR162" s="36" t="n"/>
      <c r="BS162" s="36" t="n"/>
      <c r="BT162" s="36" t="n"/>
      <c r="BU162" s="36" t="n"/>
      <c r="BV162" s="36" t="n"/>
      <c r="BW162" s="36" t="n"/>
      <c r="BX162" s="36" t="n"/>
      <c r="BY162" s="36" t="n"/>
      <c r="BZ162" s="36" t="n"/>
      <c r="CA162" s="36" t="n"/>
      <c r="CB162" s="36" t="n"/>
      <c r="CC162" s="36" t="n"/>
      <c r="CD162" s="36" t="n"/>
      <c r="CE162" s="36" t="n"/>
      <c r="CF162" s="36" t="n"/>
    </row>
    <row r="163" hidden="1" outlineLevel="2">
      <c r="A163" s="44" t="inlineStr">
        <is>
          <t>T-6.08</t>
        </is>
      </c>
      <c r="B163" s="45" t="inlineStr">
        <is>
          <t>Validar el cierre de casos con la Jefatura de Posventa</t>
        </is>
      </c>
      <c r="C163" s="44" t="inlineStr">
        <is>
          <t>Tarea</t>
        </is>
      </c>
      <c r="D163" s="44" t="inlineStr">
        <is>
          <t>Alexssander</t>
        </is>
      </c>
      <c r="E163" s="46">
        <f>Tareas!H122</f>
        <v/>
      </c>
      <c r="F163" s="46">
        <f>Tareas!I122</f>
        <v/>
      </c>
      <c r="G163" s="44">
        <f>NETWORKDAYS(E163,F163,Feriados)</f>
        <v/>
      </c>
      <c r="H163" s="47">
        <f>Tareas!K122</f>
        <v/>
      </c>
      <c r="I163" s="44">
        <f>Tareas!J122</f>
        <v/>
      </c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  <c r="AV163" s="36" t="n"/>
      <c r="AW163" s="36" t="n"/>
      <c r="AX163" s="36" t="n"/>
      <c r="AY163" s="36" t="n"/>
      <c r="AZ163" s="36" t="n"/>
      <c r="BA163" s="36" t="n"/>
      <c r="BB163" s="36" t="n"/>
      <c r="BC163" s="36" t="n"/>
      <c r="BD163" s="36" t="n"/>
      <c r="BE163" s="36" t="n"/>
      <c r="BF163" s="36" t="n"/>
      <c r="BG163" s="36" t="n"/>
      <c r="BH163" s="36" t="n"/>
      <c r="BI163" s="36" t="n"/>
      <c r="BJ163" s="36" t="n"/>
      <c r="BK163" s="36" t="n"/>
      <c r="BL163" s="36" t="n"/>
      <c r="BM163" s="36" t="n"/>
      <c r="BN163" s="36" t="n"/>
      <c r="BO163" s="36" t="n"/>
      <c r="BP163" s="36" t="n"/>
      <c r="BQ163" s="36" t="n"/>
      <c r="BR163" s="36" t="n"/>
      <c r="BS163" s="36" t="n"/>
      <c r="BT163" s="36" t="n"/>
      <c r="BU163" s="36" t="n"/>
      <c r="BV163" s="36" t="n"/>
      <c r="BW163" s="36" t="n"/>
      <c r="BX163" s="36" t="n"/>
      <c r="BY163" s="36" t="n"/>
      <c r="BZ163" s="36" t="n"/>
      <c r="CA163" s="36" t="n"/>
      <c r="CB163" s="36" t="n"/>
      <c r="CC163" s="36" t="n"/>
      <c r="CD163" s="36" t="n"/>
      <c r="CE163" s="36" t="n"/>
      <c r="CF163" s="36" t="n"/>
    </row>
    <row r="164" hidden="1" outlineLevel="2">
      <c r="A164" s="44" t="inlineStr">
        <is>
          <t>T-6.09</t>
        </is>
      </c>
      <c r="B164" s="45" t="inlineStr">
        <is>
          <t>Integrar develop en main, etiquetar v0.6.0 y preparar la demostración</t>
        </is>
      </c>
      <c r="C164" s="44" t="inlineStr">
        <is>
          <t>Tarea</t>
        </is>
      </c>
      <c r="D164" s="44" t="inlineStr">
        <is>
          <t>Millaray</t>
        </is>
      </c>
      <c r="E164" s="46">
        <f>Tareas!H123</f>
        <v/>
      </c>
      <c r="F164" s="46">
        <f>Tareas!I123</f>
        <v/>
      </c>
      <c r="G164" s="44">
        <f>NETWORKDAYS(E164,F164,Feriados)</f>
        <v/>
      </c>
      <c r="H164" s="47">
        <f>Tareas!K123</f>
        <v/>
      </c>
      <c r="I164" s="44">
        <f>Tareas!J123</f>
        <v/>
      </c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  <c r="AV164" s="36" t="n"/>
      <c r="AW164" s="36" t="n"/>
      <c r="AX164" s="36" t="n"/>
      <c r="AY164" s="36" t="n"/>
      <c r="AZ164" s="36" t="n"/>
      <c r="BA164" s="36" t="n"/>
      <c r="BB164" s="36" t="n"/>
      <c r="BC164" s="36" t="n"/>
      <c r="BD164" s="36" t="n"/>
      <c r="BE164" s="36" t="n"/>
      <c r="BF164" s="36" t="n"/>
      <c r="BG164" s="36" t="n"/>
      <c r="BH164" s="36" t="n"/>
      <c r="BI164" s="36" t="n"/>
      <c r="BJ164" s="36" t="n"/>
      <c r="BK164" s="36" t="n"/>
      <c r="BL164" s="36" t="n"/>
      <c r="BM164" s="36" t="n"/>
      <c r="BN164" s="36" t="n"/>
      <c r="BO164" s="36" t="n"/>
      <c r="BP164" s="36" t="n"/>
      <c r="BQ164" s="36" t="n"/>
      <c r="BR164" s="36" t="n"/>
      <c r="BS164" s="36" t="n"/>
      <c r="BT164" s="36" t="n"/>
      <c r="BU164" s="36" t="n"/>
      <c r="BV164" s="36" t="n"/>
      <c r="BW164" s="36" t="n"/>
      <c r="BX164" s="36" t="n"/>
      <c r="BY164" s="36" t="n"/>
      <c r="BZ164" s="36" t="n"/>
      <c r="CA164" s="36" t="n"/>
      <c r="CB164" s="36" t="n"/>
      <c r="CC164" s="36" t="n"/>
      <c r="CD164" s="36" t="n"/>
      <c r="CE164" s="36" t="n"/>
      <c r="CF164" s="36" t="n"/>
    </row>
    <row r="165" hidden="1" outlineLevel="2">
      <c r="A165" s="44" t="inlineStr">
        <is>
          <t>T-6.10</t>
        </is>
      </c>
      <c r="B165" s="45" t="inlineStr">
        <is>
          <t>Actualizar la matriz de trazabilidad y el Expediente de Sprint</t>
        </is>
      </c>
      <c r="C165" s="44" t="inlineStr">
        <is>
          <t>Tarea</t>
        </is>
      </c>
      <c r="D165" s="44" t="inlineStr">
        <is>
          <t>Matías</t>
        </is>
      </c>
      <c r="E165" s="46">
        <f>Tareas!H124</f>
        <v/>
      </c>
      <c r="F165" s="46">
        <f>Tareas!I124</f>
        <v/>
      </c>
      <c r="G165" s="44">
        <f>NETWORKDAYS(E165,F165,Feriados)</f>
        <v/>
      </c>
      <c r="H165" s="47">
        <f>Tareas!K124</f>
        <v/>
      </c>
      <c r="I165" s="44">
        <f>Tareas!J124</f>
        <v/>
      </c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  <c r="AV165" s="36" t="n"/>
      <c r="AW165" s="36" t="n"/>
      <c r="AX165" s="36" t="n"/>
      <c r="AY165" s="36" t="n"/>
      <c r="AZ165" s="36" t="n"/>
      <c r="BA165" s="36" t="n"/>
      <c r="BB165" s="36" t="n"/>
      <c r="BC165" s="36" t="n"/>
      <c r="BD165" s="36" t="n"/>
      <c r="BE165" s="36" t="n"/>
      <c r="BF165" s="36" t="n"/>
      <c r="BG165" s="36" t="n"/>
      <c r="BH165" s="36" t="n"/>
      <c r="BI165" s="36" t="n"/>
      <c r="BJ165" s="36" t="n"/>
      <c r="BK165" s="36" t="n"/>
      <c r="BL165" s="36" t="n"/>
      <c r="BM165" s="36" t="n"/>
      <c r="BN165" s="36" t="n"/>
      <c r="BO165" s="36" t="n"/>
      <c r="BP165" s="36" t="n"/>
      <c r="BQ165" s="36" t="n"/>
      <c r="BR165" s="36" t="n"/>
      <c r="BS165" s="36" t="n"/>
      <c r="BT165" s="36" t="n"/>
      <c r="BU165" s="36" t="n"/>
      <c r="BV165" s="36" t="n"/>
      <c r="BW165" s="36" t="n"/>
      <c r="BX165" s="36" t="n"/>
      <c r="BY165" s="36" t="n"/>
      <c r="BZ165" s="36" t="n"/>
      <c r="CA165" s="36" t="n"/>
      <c r="CB165" s="36" t="n"/>
      <c r="CC165" s="36" t="n"/>
      <c r="CD165" s="36" t="n"/>
      <c r="CE165" s="36" t="n"/>
      <c r="CF165" s="36" t="n"/>
    </row>
    <row r="166">
      <c r="A166" s="9" t="inlineStr">
        <is>
          <t>C</t>
        </is>
      </c>
      <c r="B166" s="34" t="inlineStr">
        <is>
          <t>Cierre del proyecto</t>
        </is>
      </c>
      <c r="C166" s="9" t="inlineStr">
        <is>
          <t>Cierre</t>
        </is>
      </c>
      <c r="D166" s="9" t="inlineStr">
        <is>
          <t>Scrum Team</t>
        </is>
      </c>
      <c r="E166" s="35" t="n">
        <v>46342</v>
      </c>
      <c r="F166" s="35" t="n">
        <v>46363</v>
      </c>
      <c r="G166" s="9">
        <f>NETWORKDAYS(E166,F166,Feriados)</f>
        <v/>
      </c>
      <c r="H166" s="16" t="inlineStr"/>
      <c r="I166" s="9" t="inlineStr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  <c r="AV166" s="36" t="n"/>
      <c r="AW166" s="36" t="n"/>
      <c r="AX166" s="36" t="n"/>
      <c r="AY166" s="36" t="n"/>
      <c r="AZ166" s="36" t="n"/>
      <c r="BA166" s="36" t="n"/>
      <c r="BB166" s="36" t="n"/>
      <c r="BC166" s="36" t="n"/>
      <c r="BD166" s="36" t="n"/>
      <c r="BE166" s="36" t="n"/>
      <c r="BF166" s="36" t="n"/>
      <c r="BG166" s="36" t="n"/>
      <c r="BH166" s="36" t="n"/>
      <c r="BI166" s="36" t="n"/>
      <c r="BJ166" s="36" t="n"/>
      <c r="BK166" s="36" t="n"/>
      <c r="BL166" s="36" t="n"/>
      <c r="BM166" s="36" t="n"/>
      <c r="BN166" s="36" t="n"/>
      <c r="BO166" s="36" t="n"/>
      <c r="BP166" s="36" t="n"/>
      <c r="BQ166" s="36" t="n"/>
      <c r="BR166" s="36" t="n"/>
      <c r="BS166" s="36" t="n"/>
      <c r="BT166" s="36" t="n"/>
      <c r="BU166" s="36" t="n"/>
      <c r="BV166" s="36" t="n"/>
      <c r="BW166" s="36" t="n"/>
      <c r="BX166" s="36" t="n"/>
      <c r="BY166" s="36" t="n"/>
      <c r="BZ166" s="36" t="n"/>
      <c r="CA166" s="36" t="n"/>
      <c r="CB166" s="36" t="n"/>
      <c r="CC166" s="36" t="n"/>
      <c r="CD166" s="36" t="n"/>
      <c r="CE166" s="36" t="n"/>
      <c r="CF166" s="36" t="n"/>
    </row>
    <row r="167" outlineLevel="1">
      <c r="A167" s="11" t="inlineStr"/>
      <c r="B167" s="42" t="inlineStr">
        <is>
          <t>Elaboración de evidencias sanitizadas</t>
        </is>
      </c>
      <c r="C167" s="11" t="inlineStr">
        <is>
          <t>Actividad</t>
        </is>
      </c>
      <c r="D167" s="11" t="inlineStr">
        <is>
          <t>Scrum Team</t>
        </is>
      </c>
      <c r="E167" s="43" t="n">
        <v>46342</v>
      </c>
      <c r="F167" s="43" t="n">
        <v>46346</v>
      </c>
      <c r="G167" s="11">
        <f>NETWORKDAYS(E167,F167,Feriados)</f>
        <v/>
      </c>
      <c r="H167" s="13" t="inlineStr"/>
      <c r="I167" s="11" t="inlineStr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  <c r="AV167" s="36" t="n"/>
      <c r="AW167" s="36" t="n"/>
      <c r="AX167" s="36" t="n"/>
      <c r="AY167" s="36" t="n"/>
      <c r="AZ167" s="36" t="n"/>
      <c r="BA167" s="36" t="n"/>
      <c r="BB167" s="36" t="n"/>
      <c r="BC167" s="36" t="n"/>
      <c r="BD167" s="36" t="n"/>
      <c r="BE167" s="36" t="n"/>
      <c r="BF167" s="36" t="n"/>
      <c r="BG167" s="36" t="n"/>
      <c r="BH167" s="36" t="n"/>
      <c r="BI167" s="36" t="n"/>
      <c r="BJ167" s="36" t="n"/>
      <c r="BK167" s="36" t="n"/>
      <c r="BL167" s="36" t="n"/>
      <c r="BM167" s="36" t="n"/>
      <c r="BN167" s="36" t="n"/>
      <c r="BO167" s="36" t="n"/>
      <c r="BP167" s="36" t="n"/>
      <c r="BQ167" s="36" t="n"/>
      <c r="BR167" s="36" t="n"/>
      <c r="BS167" s="36" t="n"/>
      <c r="BT167" s="36" t="n"/>
      <c r="BU167" s="36" t="n"/>
      <c r="BV167" s="36" t="n"/>
      <c r="BW167" s="36" t="n"/>
      <c r="BX167" s="36" t="n"/>
      <c r="BY167" s="36" t="n"/>
      <c r="BZ167" s="36" t="n"/>
      <c r="CA167" s="36" t="n"/>
      <c r="CB167" s="36" t="n"/>
      <c r="CC167" s="36" t="n"/>
      <c r="CD167" s="36" t="n"/>
      <c r="CE167" s="36" t="n"/>
      <c r="CF167" s="36" t="n"/>
    </row>
    <row r="168" outlineLevel="1">
      <c r="A168" s="11" t="inlineStr"/>
      <c r="B168" s="42" t="inlineStr">
        <is>
          <t>Preparación de la demostración y presentación final</t>
        </is>
      </c>
      <c r="C168" s="11" t="inlineStr">
        <is>
          <t>Actividad</t>
        </is>
      </c>
      <c r="D168" s="11" t="inlineStr">
        <is>
          <t>Scrum Team</t>
        </is>
      </c>
      <c r="E168" s="43" t="n">
        <v>46342</v>
      </c>
      <c r="F168" s="43" t="n">
        <v>46360</v>
      </c>
      <c r="G168" s="11">
        <f>NETWORKDAYS(E168,F168,Feriados)</f>
        <v/>
      </c>
      <c r="H168" s="13" t="inlineStr"/>
      <c r="I168" s="11" t="inlineStr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  <c r="AV168" s="36" t="n"/>
      <c r="AW168" s="36" t="n"/>
      <c r="AX168" s="36" t="n"/>
      <c r="AY168" s="36" t="n"/>
      <c r="AZ168" s="36" t="n"/>
      <c r="BA168" s="36" t="n"/>
      <c r="BB168" s="36" t="n"/>
      <c r="BC168" s="36" t="n"/>
      <c r="BD168" s="36" t="n"/>
      <c r="BE168" s="36" t="n"/>
      <c r="BF168" s="36" t="n"/>
      <c r="BG168" s="36" t="n"/>
      <c r="BH168" s="36" t="n"/>
      <c r="BI168" s="36" t="n"/>
      <c r="BJ168" s="36" t="n"/>
      <c r="BK168" s="36" t="n"/>
      <c r="BL168" s="36" t="n"/>
      <c r="BM168" s="36" t="n"/>
      <c r="BN168" s="36" t="n"/>
      <c r="BO168" s="36" t="n"/>
      <c r="BP168" s="36" t="n"/>
      <c r="BQ168" s="36" t="n"/>
      <c r="BR168" s="36" t="n"/>
      <c r="BS168" s="36" t="n"/>
      <c r="BT168" s="36" t="n"/>
      <c r="BU168" s="36" t="n"/>
      <c r="BV168" s="36" t="n"/>
      <c r="BW168" s="36" t="n"/>
      <c r="BX168" s="36" t="n"/>
      <c r="BY168" s="36" t="n"/>
      <c r="BZ168" s="36" t="n"/>
      <c r="CA168" s="36" t="n"/>
      <c r="CB168" s="36" t="n"/>
      <c r="CC168" s="36" t="n"/>
      <c r="CD168" s="36" t="n"/>
      <c r="CE168" s="36" t="n"/>
      <c r="CF168" s="36" t="n"/>
    </row>
    <row r="169" outlineLevel="1">
      <c r="A169" s="11" t="inlineStr"/>
      <c r="B169" s="42" t="inlineStr">
        <is>
          <t>Fin del período del proyecto</t>
        </is>
      </c>
      <c r="C169" s="11" t="inlineStr">
        <is>
          <t>Hito</t>
        </is>
      </c>
      <c r="D169" s="11" t="inlineStr">
        <is>
          <t>Scrum Team</t>
        </is>
      </c>
      <c r="E169" s="43" t="n">
        <v>46363</v>
      </c>
      <c r="F169" s="43" t="n">
        <v>46363</v>
      </c>
      <c r="G169" s="11">
        <f>NETWORKDAYS(E169,F169,Feriados)</f>
        <v/>
      </c>
      <c r="H169" s="13" t="inlineStr"/>
      <c r="I169" s="11" t="inlineStr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  <c r="AV169" s="36" t="n"/>
      <c r="AW169" s="36" t="n"/>
      <c r="AX169" s="36" t="n"/>
      <c r="AY169" s="36" t="n"/>
      <c r="AZ169" s="36" t="n"/>
      <c r="BA169" s="36" t="n"/>
      <c r="BB169" s="36" t="n"/>
      <c r="BC169" s="36" t="n"/>
      <c r="BD169" s="36" t="n"/>
      <c r="BE169" s="36" t="n"/>
      <c r="BF169" s="36" t="n"/>
      <c r="BG169" s="36" t="n"/>
      <c r="BH169" s="36" t="n"/>
      <c r="BI169" s="36" t="n"/>
      <c r="BJ169" s="36" t="n"/>
      <c r="BK169" s="36" t="n"/>
      <c r="BL169" s="36" t="n"/>
      <c r="BM169" s="36" t="n"/>
      <c r="BN169" s="36" t="n"/>
      <c r="BO169" s="36" t="n"/>
      <c r="BP169" s="36" t="n"/>
      <c r="BQ169" s="36" t="n"/>
      <c r="BR169" s="36" t="n"/>
      <c r="BS169" s="36" t="n"/>
      <c r="BT169" s="36" t="n"/>
      <c r="BU169" s="36" t="n"/>
      <c r="BV169" s="36" t="n"/>
      <c r="BW169" s="36" t="n"/>
      <c r="BX169" s="36" t="n"/>
      <c r="BY169" s="36" t="n"/>
      <c r="BZ169" s="36" t="n"/>
      <c r="CA169" s="36" t="n"/>
      <c r="CB169" s="36" t="n"/>
      <c r="CC169" s="36" t="n"/>
      <c r="CD169" s="36" t="n"/>
      <c r="CE169" s="36" t="n"/>
      <c r="CF169" s="36" t="n"/>
    </row>
  </sheetData>
  <mergeCells count="12">
    <mergeCell ref="T5:AC5"/>
    <mergeCell ref="BX4:CF4"/>
    <mergeCell ref="AD5:AM5"/>
    <mergeCell ref="AX5:BG5"/>
    <mergeCell ref="BC4:BW4"/>
    <mergeCell ref="J4"/>
    <mergeCell ref="AO5:AW5"/>
    <mergeCell ref="BM5:CF5"/>
    <mergeCell ref="K4:AF4"/>
    <mergeCell ref="J5:S5"/>
    <mergeCell ref="AG4:BB4"/>
    <mergeCell ref="BH5:BL5"/>
  </mergeCells>
  <conditionalFormatting sqref="J8:CF169">
    <cfRule type="expression" priority="1" dxfId="0" stopIfTrue="0">
      <formula>COUNTIF(Feriados,J$6)&gt;0</formula>
    </cfRule>
    <cfRule type="expression" priority="2" dxfId="1" stopIfTrue="0">
      <formula>AND(OR($C8="Sprint",$C8="Historia",$C8="Tarea"),$H8&gt;0,J$6&gt;=$E8,J$6&lt;$E8+($F8-$E8+1)*$H8)</formula>
    </cfRule>
    <cfRule type="expression" priority="3" dxfId="2" stopIfTrue="0">
      <formula>AND($C8="Sprint",J$6&gt;=$E8,J$6&lt;=$F8)</formula>
    </cfRule>
    <cfRule type="expression" priority="4" dxfId="3" stopIfTrue="0">
      <formula>AND($C8="Historia",J$6&gt;=$E8,J$6&lt;=$F8)</formula>
    </cfRule>
    <cfRule type="expression" priority="5" dxfId="4" stopIfTrue="0">
      <formula>AND($C8="Tarea",J$6&gt;=$E8,J$6&lt;=$F8)</formula>
    </cfRule>
    <cfRule type="expression" priority="6" dxfId="5" stopIfTrue="0">
      <formula>AND($C8="Cierre",J$6&gt;=$E8,J$6&lt;=$F8)</formula>
    </cfRule>
    <cfRule type="expression" priority="7" dxfId="6" stopIfTrue="0">
      <formula>AND($C8="Actividad",J$6&gt;=$E8,J$6&lt;=$F8)</formula>
    </cfRule>
    <cfRule type="expression" priority="8" dxfId="7" stopIfTrue="0">
      <formula>AND($C8="Hito",J$6&gt;=$E8,J$6&lt;=$F8)</formula>
    </cfRule>
    <cfRule type="expression" priority="9" dxfId="8" stopIfTrue="0">
      <formula>AND($C8="Eventos",J8&lt;&gt;"")</formula>
    </cfRule>
  </conditionalFormatting>
  <conditionalFormatting sqref="J6:CF169">
    <cfRule type="expression" priority="10" dxfId="9">
      <formula>J$6=TODAY()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58" customWidth="1" min="4" max="4"/>
    <col width="19" customWidth="1" min="5" max="5"/>
    <col width="8" customWidth="1" min="6" max="6"/>
    <col width="9" customWidth="1" min="7" max="7"/>
    <col width="12" customWidth="1" min="8" max="8"/>
    <col width="12" customWidth="1" min="9" max="9"/>
    <col width="13" customWidth="1" min="10" max="10"/>
    <col width="10" customWidth="1" min="11" max="11"/>
    <col width="10" customWidth="1" min="12" max="12"/>
    <col width="30" customWidth="1" min="13" max="13"/>
  </cols>
  <sheetData>
    <row r="1">
      <c r="A1" s="1" t="inlineStr">
        <is>
          <t>Tareas del Sprint Backlog</t>
        </is>
      </c>
    </row>
    <row r="2">
      <c r="A2" s="2" t="inlineStr">
        <is>
          <t>Lista maestra de tareas de todos los sprints. Actualice la columna Estado; las fechas se calculan desde las fechas del sprint.</t>
        </is>
      </c>
    </row>
    <row r="4">
      <c r="A4" s="8" t="inlineStr">
        <is>
          <t>ID</t>
        </is>
      </c>
      <c r="B4" s="8" t="inlineStr">
        <is>
          <t>Sprint</t>
        </is>
      </c>
      <c r="C4" s="8" t="inlineStr">
        <is>
          <t>Historia</t>
        </is>
      </c>
      <c r="D4" s="8" t="inlineStr">
        <is>
          <t>Tarea</t>
        </is>
      </c>
      <c r="E4" s="8" t="inlineStr">
        <is>
          <t>Responsable</t>
        </is>
      </c>
      <c r="F4" s="8" t="inlineStr">
        <is>
          <t>Horas</t>
        </is>
      </c>
      <c r="G4" s="8" t="inlineStr">
        <is>
          <t>Semana</t>
        </is>
      </c>
      <c r="H4" s="8" t="inlineStr">
        <is>
          <t>Inicio</t>
        </is>
      </c>
      <c r="I4" s="8" t="inlineStr">
        <is>
          <t>Término</t>
        </is>
      </c>
      <c r="J4" s="8" t="inlineStr">
        <is>
          <t>Estado</t>
        </is>
      </c>
      <c r="K4" s="8" t="inlineStr">
        <is>
          <t>% avance</t>
        </is>
      </c>
      <c r="L4" s="8" t="inlineStr">
        <is>
          <t>Horas avanzadas</t>
        </is>
      </c>
      <c r="M4" s="8" t="inlineStr">
        <is>
          <t>Observaciones</t>
        </is>
      </c>
    </row>
    <row r="5">
      <c r="A5" s="11" t="inlineStr">
        <is>
          <t>T-1.01</t>
        </is>
      </c>
      <c r="B5" s="11" t="inlineStr">
        <is>
          <t>Sprint 1</t>
        </is>
      </c>
      <c r="C5" s="11" t="inlineStr">
        <is>
          <t>HU-001</t>
        </is>
      </c>
      <c r="D5" s="12" t="inlineStr">
        <is>
          <t>Configurar el inicio y cierre de sesión con la autenticación de Django y la pantalla de acceso</t>
        </is>
      </c>
      <c r="E5" s="11" t="inlineStr">
        <is>
          <t>Matías Orellana</t>
        </is>
      </c>
      <c r="F5" s="11" t="n">
        <v>3</v>
      </c>
      <c r="G5" s="11" t="n">
        <v>1</v>
      </c>
      <c r="H5" s="48">
        <f>IF($G5=1,INDEX(SprintInicio,MATCH($B5,SprintNombres,0)),INDEX(SprintInicio,MATCH($B5,SprintNombres,0))+8-WEEKDAY(INDEX(SprintInicio,MATCH($B5,SprintNombres,0)),2))</f>
        <v/>
      </c>
      <c r="I5" s="48">
        <f>IF($G5=1,MIN(INDEX(SprintInicio,MATCH($B5,SprintNombres,0))+5-WEEKDAY(INDEX(SprintInicio,MATCH($B5,SprintNombres,0)),2),INDEX(SprintFin,MATCH($B5,SprintNombres,0))),INDEX(SprintFin,MATCH($B5,SprintNombres,0)))</f>
        <v/>
      </c>
      <c r="J5" s="49" t="inlineStr">
        <is>
          <t>Por hacer</t>
        </is>
      </c>
      <c r="K5" s="13">
        <f>IFERROR(VLOOKUP($J5,EstadosAvance,2,FALSE),0)</f>
        <v/>
      </c>
      <c r="L5" s="50">
        <f>F5*K5</f>
        <v/>
      </c>
      <c r="M5" s="12" t="inlineStr"/>
    </row>
    <row r="6">
      <c r="A6" s="11" t="inlineStr">
        <is>
          <t>T-1.02</t>
        </is>
      </c>
      <c r="B6" s="11" t="inlineStr">
        <is>
          <t>Sprint 1</t>
        </is>
      </c>
      <c r="C6" s="11" t="inlineStr">
        <is>
          <t>HU-001</t>
        </is>
      </c>
      <c r="D6" s="12" t="inlineStr">
        <is>
          <t>Bloquear el acceso de usuarios desactivados y mostrar mensajes de error claros</t>
        </is>
      </c>
      <c r="E6" s="11" t="inlineStr">
        <is>
          <t>Matías Orellana</t>
        </is>
      </c>
      <c r="F6" s="11" t="n">
        <v>2</v>
      </c>
      <c r="G6" s="11" t="n">
        <v>1</v>
      </c>
      <c r="H6" s="48">
        <f>IF($G6=1,INDEX(SprintInicio,MATCH($B6,SprintNombres,0)),INDEX(SprintInicio,MATCH($B6,SprintNombres,0))+8-WEEKDAY(INDEX(SprintInicio,MATCH($B6,SprintNombres,0)),2))</f>
        <v/>
      </c>
      <c r="I6" s="48">
        <f>IF($G6=1,MIN(INDEX(SprintInicio,MATCH($B6,SprintNombres,0))+5-WEEKDAY(INDEX(SprintInicio,MATCH($B6,SprintNombres,0)),2),INDEX(SprintFin,MATCH($B6,SprintNombres,0))),INDEX(SprintFin,MATCH($B6,SprintNombres,0)))</f>
        <v/>
      </c>
      <c r="J6" s="49" t="inlineStr">
        <is>
          <t>Por hacer</t>
        </is>
      </c>
      <c r="K6" s="13">
        <f>IFERROR(VLOOKUP($J6,EstadosAvance,2,FALSE),0)</f>
        <v/>
      </c>
      <c r="L6" s="50">
        <f>F6*K6</f>
        <v/>
      </c>
      <c r="M6" s="12" t="inlineStr"/>
    </row>
    <row r="7">
      <c r="A7" s="11" t="inlineStr">
        <is>
          <t>T-1.03</t>
        </is>
      </c>
      <c r="B7" s="11" t="inlineStr">
        <is>
          <t>Sprint 1</t>
        </is>
      </c>
      <c r="C7" s="11" t="inlineStr">
        <is>
          <t>HU-001</t>
        </is>
      </c>
      <c r="D7" s="12" t="inlineStr">
        <is>
          <t>Configurar el hash de contraseñas y la expiración de la sesión por inactividad</t>
        </is>
      </c>
      <c r="E7" s="11" t="inlineStr">
        <is>
          <t>Alexssander López</t>
        </is>
      </c>
      <c r="F7" s="11" t="n">
        <v>2</v>
      </c>
      <c r="G7" s="11" t="n">
        <v>1</v>
      </c>
      <c r="H7" s="48">
        <f>IF($G7=1,INDEX(SprintInicio,MATCH($B7,SprintNombres,0)),INDEX(SprintInicio,MATCH($B7,SprintNombres,0))+8-WEEKDAY(INDEX(SprintInicio,MATCH($B7,SprintNombres,0)),2))</f>
        <v/>
      </c>
      <c r="I7" s="48">
        <f>IF($G7=1,MIN(INDEX(SprintInicio,MATCH($B7,SprintNombres,0))+5-WEEKDAY(INDEX(SprintInicio,MATCH($B7,SprintNombres,0)),2),INDEX(SprintFin,MATCH($B7,SprintNombres,0))),INDEX(SprintFin,MATCH($B7,SprintNombres,0)))</f>
        <v/>
      </c>
      <c r="J7" s="49" t="inlineStr">
        <is>
          <t>Por hacer</t>
        </is>
      </c>
      <c r="K7" s="13">
        <f>IFERROR(VLOOKUP($J7,EstadosAvance,2,FALSE),0)</f>
        <v/>
      </c>
      <c r="L7" s="50">
        <f>F7*K7</f>
        <v/>
      </c>
      <c r="M7" s="12" t="inlineStr"/>
    </row>
    <row r="8">
      <c r="A8" s="11" t="inlineStr">
        <is>
          <t>T-1.04</t>
        </is>
      </c>
      <c r="B8" s="11" t="inlineStr">
        <is>
          <t>Sprint 1</t>
        </is>
      </c>
      <c r="C8" s="11" t="inlineStr">
        <is>
          <t>HU-001</t>
        </is>
      </c>
      <c r="D8" s="12" t="inlineStr">
        <is>
          <t>Registrar la auditoría de accesos e intentos fallidos</t>
        </is>
      </c>
      <c r="E8" s="11" t="inlineStr">
        <is>
          <t>Alexssander López</t>
        </is>
      </c>
      <c r="F8" s="11" t="n">
        <v>3</v>
      </c>
      <c r="G8" s="11" t="n">
        <v>1</v>
      </c>
      <c r="H8" s="48">
        <f>IF($G8=1,INDEX(SprintInicio,MATCH($B8,SprintNombres,0)),INDEX(SprintInicio,MATCH($B8,SprintNombres,0))+8-WEEKDAY(INDEX(SprintInicio,MATCH($B8,SprintNombres,0)),2))</f>
        <v/>
      </c>
      <c r="I8" s="48">
        <f>IF($G8=1,MIN(INDEX(SprintInicio,MATCH($B8,SprintNombres,0))+5-WEEKDAY(INDEX(SprintInicio,MATCH($B8,SprintNombres,0)),2),INDEX(SprintFin,MATCH($B8,SprintNombres,0))),INDEX(SprintFin,MATCH($B8,SprintNombres,0)))</f>
        <v/>
      </c>
      <c r="J8" s="49" t="inlineStr">
        <is>
          <t>Por hacer</t>
        </is>
      </c>
      <c r="K8" s="13">
        <f>IFERROR(VLOOKUP($J8,EstadosAvance,2,FALSE),0)</f>
        <v/>
      </c>
      <c r="L8" s="50">
        <f>F8*K8</f>
        <v/>
      </c>
      <c r="M8" s="12" t="inlineStr"/>
    </row>
    <row r="9">
      <c r="A9" s="11" t="inlineStr">
        <is>
          <t>T-1.05</t>
        </is>
      </c>
      <c r="B9" s="11" t="inlineStr">
        <is>
          <t>Sprint 1</t>
        </is>
      </c>
      <c r="C9" s="11" t="inlineStr">
        <is>
          <t>HU-001</t>
        </is>
      </c>
      <c r="D9" s="12" t="inlineStr">
        <is>
          <t>Pruebas automatizadas y ejecución de CP-001 a CP-003</t>
        </is>
      </c>
      <c r="E9" s="11" t="inlineStr">
        <is>
          <t>Millaray Espósito</t>
        </is>
      </c>
      <c r="F9" s="11" t="n">
        <v>2</v>
      </c>
      <c r="G9" s="11" t="n">
        <v>1</v>
      </c>
      <c r="H9" s="48">
        <f>IF($G9=1,INDEX(SprintInicio,MATCH($B9,SprintNombres,0)),INDEX(SprintInicio,MATCH($B9,SprintNombres,0))+8-WEEKDAY(INDEX(SprintInicio,MATCH($B9,SprintNombres,0)),2))</f>
        <v/>
      </c>
      <c r="I9" s="48">
        <f>IF($G9=1,MIN(INDEX(SprintInicio,MATCH($B9,SprintNombres,0))+5-WEEKDAY(INDEX(SprintInicio,MATCH($B9,SprintNombres,0)),2),INDEX(SprintFin,MATCH($B9,SprintNombres,0))),INDEX(SprintFin,MATCH($B9,SprintNombres,0)))</f>
        <v/>
      </c>
      <c r="J9" s="49" t="inlineStr">
        <is>
          <t>Por hacer</t>
        </is>
      </c>
      <c r="K9" s="13">
        <f>IFERROR(VLOOKUP($J9,EstadosAvance,2,FALSE),0)</f>
        <v/>
      </c>
      <c r="L9" s="50">
        <f>F9*K9</f>
        <v/>
      </c>
      <c r="M9" s="12" t="inlineStr"/>
    </row>
    <row r="10">
      <c r="A10" s="11" t="inlineStr">
        <is>
          <t>T-1.06</t>
        </is>
      </c>
      <c r="B10" s="11" t="inlineStr">
        <is>
          <t>Sprint 1</t>
        </is>
      </c>
      <c r="C10" s="11" t="inlineStr">
        <is>
          <t>HU-002</t>
        </is>
      </c>
      <c r="D10" s="12" t="inlineStr">
        <is>
          <t>Modelos de área, cargo, rol y perfil de usuario, con sus migraciones</t>
        </is>
      </c>
      <c r="E10" s="11" t="inlineStr">
        <is>
          <t>Alexssander López</t>
        </is>
      </c>
      <c r="F10" s="11" t="n">
        <v>4</v>
      </c>
      <c r="G10" s="11" t="n">
        <v>1</v>
      </c>
      <c r="H10" s="48">
        <f>IF($G10=1,INDEX(SprintInicio,MATCH($B10,SprintNombres,0)),INDEX(SprintInicio,MATCH($B10,SprintNombres,0))+8-WEEKDAY(INDEX(SprintInicio,MATCH($B10,SprintNombres,0)),2))</f>
        <v/>
      </c>
      <c r="I10" s="48">
        <f>IF($G10=1,MIN(INDEX(SprintInicio,MATCH($B10,SprintNombres,0))+5-WEEKDAY(INDEX(SprintInicio,MATCH($B10,SprintNombres,0)),2),INDEX(SprintFin,MATCH($B10,SprintNombres,0))),INDEX(SprintFin,MATCH($B10,SprintNombres,0)))</f>
        <v/>
      </c>
      <c r="J10" s="49" t="inlineStr">
        <is>
          <t>Por hacer</t>
        </is>
      </c>
      <c r="K10" s="13">
        <f>IFERROR(VLOOKUP($J10,EstadosAvance,2,FALSE),0)</f>
        <v/>
      </c>
      <c r="L10" s="50">
        <f>F10*K10</f>
        <v/>
      </c>
      <c r="M10" s="12" t="inlineStr"/>
    </row>
    <row r="11">
      <c r="A11" s="11" t="inlineStr">
        <is>
          <t>T-1.07</t>
        </is>
      </c>
      <c r="B11" s="11" t="inlineStr">
        <is>
          <t>Sprint 1</t>
        </is>
      </c>
      <c r="C11" s="11" t="inlineStr">
        <is>
          <t>HU-002</t>
        </is>
      </c>
      <c r="D11" s="12" t="inlineStr">
        <is>
          <t>Mantenedor de usuarios con área, cargo y rol obligatorios</t>
        </is>
      </c>
      <c r="E11" s="11" t="inlineStr">
        <is>
          <t>Matías Orellana</t>
        </is>
      </c>
      <c r="F11" s="11" t="n">
        <v>5</v>
      </c>
      <c r="G11" s="11" t="n">
        <v>1</v>
      </c>
      <c r="H11" s="48">
        <f>IF($G11=1,INDEX(SprintInicio,MATCH($B11,SprintNombres,0)),INDEX(SprintInicio,MATCH($B11,SprintNombres,0))+8-WEEKDAY(INDEX(SprintInicio,MATCH($B11,SprintNombres,0)),2))</f>
        <v/>
      </c>
      <c r="I11" s="48">
        <f>IF($G11=1,MIN(INDEX(SprintInicio,MATCH($B11,SprintNombres,0))+5-WEEKDAY(INDEX(SprintInicio,MATCH($B11,SprintNombres,0)),2),INDEX(SprintFin,MATCH($B11,SprintNombres,0))),INDEX(SprintFin,MATCH($B11,SprintNombres,0)))</f>
        <v/>
      </c>
      <c r="J11" s="49" t="inlineStr">
        <is>
          <t>Por hacer</t>
        </is>
      </c>
      <c r="K11" s="13">
        <f>IFERROR(VLOOKUP($J11,EstadosAvance,2,FALSE),0)</f>
        <v/>
      </c>
      <c r="L11" s="50">
        <f>F11*K11</f>
        <v/>
      </c>
      <c r="M11" s="12" t="inlineStr"/>
    </row>
    <row r="12">
      <c r="A12" s="11" t="inlineStr">
        <is>
          <t>T-1.08</t>
        </is>
      </c>
      <c r="B12" s="11" t="inlineStr">
        <is>
          <t>Sprint 1</t>
        </is>
      </c>
      <c r="C12" s="11" t="inlineStr">
        <is>
          <t>HU-002</t>
        </is>
      </c>
      <c r="D12" s="12" t="inlineStr">
        <is>
          <t>Desactivación y reactivación de usuarios conservando su historial</t>
        </is>
      </c>
      <c r="E12" s="11" t="inlineStr">
        <is>
          <t>Matías Orellana</t>
        </is>
      </c>
      <c r="F12" s="11" t="n">
        <v>2</v>
      </c>
      <c r="G12" s="11" t="n">
        <v>1</v>
      </c>
      <c r="H12" s="48">
        <f>IF($G12=1,INDEX(SprintInicio,MATCH($B12,SprintNombres,0)),INDEX(SprintInicio,MATCH($B12,SprintNombres,0))+8-WEEKDAY(INDEX(SprintInicio,MATCH($B12,SprintNombres,0)),2))</f>
        <v/>
      </c>
      <c r="I12" s="48">
        <f>IF($G12=1,MIN(INDEX(SprintInicio,MATCH($B12,SprintNombres,0))+5-WEEKDAY(INDEX(SprintInicio,MATCH($B12,SprintNombres,0)),2),INDEX(SprintFin,MATCH($B12,SprintNombres,0))),INDEX(SprintFin,MATCH($B12,SprintNombres,0)))</f>
        <v/>
      </c>
      <c r="J12" s="49" t="inlineStr">
        <is>
          <t>Por hacer</t>
        </is>
      </c>
      <c r="K12" s="13">
        <f>IFERROR(VLOOKUP($J12,EstadosAvance,2,FALSE),0)</f>
        <v/>
      </c>
      <c r="L12" s="50">
        <f>F12*K12</f>
        <v/>
      </c>
      <c r="M12" s="12" t="inlineStr"/>
    </row>
    <row r="13">
      <c r="A13" s="11" t="inlineStr">
        <is>
          <t>T-1.09</t>
        </is>
      </c>
      <c r="B13" s="11" t="inlineStr">
        <is>
          <t>Sprint 1</t>
        </is>
      </c>
      <c r="C13" s="11" t="inlineStr">
        <is>
          <t>HU-002</t>
        </is>
      </c>
      <c r="D13" s="12" t="inlineStr">
        <is>
          <t>Restringir la administración de usuarios al administrador, validado en el servidor</t>
        </is>
      </c>
      <c r="E13" s="11" t="inlineStr">
        <is>
          <t>Alexssander López</t>
        </is>
      </c>
      <c r="F13" s="11" t="n">
        <v>2</v>
      </c>
      <c r="G13" s="11" t="n">
        <v>1</v>
      </c>
      <c r="H13" s="48">
        <f>IF($G13=1,INDEX(SprintInicio,MATCH($B13,SprintNombres,0)),INDEX(SprintInicio,MATCH($B13,SprintNombres,0))+8-WEEKDAY(INDEX(SprintInicio,MATCH($B13,SprintNombres,0)),2))</f>
        <v/>
      </c>
      <c r="I13" s="48">
        <f>IF($G13=1,MIN(INDEX(SprintInicio,MATCH($B13,SprintNombres,0))+5-WEEKDAY(INDEX(SprintInicio,MATCH($B13,SprintNombres,0)),2),INDEX(SprintFin,MATCH($B13,SprintNombres,0))),INDEX(SprintFin,MATCH($B13,SprintNombres,0)))</f>
        <v/>
      </c>
      <c r="J13" s="49" t="inlineStr">
        <is>
          <t>Por hacer</t>
        </is>
      </c>
      <c r="K13" s="13">
        <f>IFERROR(VLOOKUP($J13,EstadosAvance,2,FALSE),0)</f>
        <v/>
      </c>
      <c r="L13" s="50">
        <f>F13*K13</f>
        <v/>
      </c>
      <c r="M13" s="12" t="inlineStr"/>
    </row>
    <row r="14">
      <c r="A14" s="11" t="inlineStr">
        <is>
          <t>T-1.10</t>
        </is>
      </c>
      <c r="B14" s="11" t="inlineStr">
        <is>
          <t>Sprint 1</t>
        </is>
      </c>
      <c r="C14" s="11" t="inlineStr">
        <is>
          <t>HU-002</t>
        </is>
      </c>
      <c r="D14" s="12" t="inlineStr">
        <is>
          <t>Pruebas automatizadas y ejecución de CP-004 a CP-006</t>
        </is>
      </c>
      <c r="E14" s="11" t="inlineStr">
        <is>
          <t>Millaray Espósito</t>
        </is>
      </c>
      <c r="F14" s="11" t="n">
        <v>3</v>
      </c>
      <c r="G14" s="11" t="n">
        <v>1</v>
      </c>
      <c r="H14" s="48">
        <f>IF($G14=1,INDEX(SprintInicio,MATCH($B14,SprintNombres,0)),INDEX(SprintInicio,MATCH($B14,SprintNombres,0))+8-WEEKDAY(INDEX(SprintInicio,MATCH($B14,SprintNombres,0)),2))</f>
        <v/>
      </c>
      <c r="I14" s="48">
        <f>IF($G14=1,MIN(INDEX(SprintInicio,MATCH($B14,SprintNombres,0))+5-WEEKDAY(INDEX(SprintInicio,MATCH($B14,SprintNombres,0)),2),INDEX(SprintFin,MATCH($B14,SprintNombres,0))),INDEX(SprintFin,MATCH($B14,SprintNombres,0)))</f>
        <v/>
      </c>
      <c r="J14" s="49" t="inlineStr">
        <is>
          <t>Por hacer</t>
        </is>
      </c>
      <c r="K14" s="13">
        <f>IFERROR(VLOOKUP($J14,EstadosAvance,2,FALSE),0)</f>
        <v/>
      </c>
      <c r="L14" s="50">
        <f>F14*K14</f>
        <v/>
      </c>
      <c r="M14" s="12" t="inlineStr"/>
    </row>
    <row r="15">
      <c r="A15" s="11" t="inlineStr">
        <is>
          <t>T-1.11</t>
        </is>
      </c>
      <c r="B15" s="11" t="inlineStr">
        <is>
          <t>Sprint 1</t>
        </is>
      </c>
      <c r="C15" s="11" t="inlineStr">
        <is>
          <t>HU-003</t>
        </is>
      </c>
      <c r="D15" s="12" t="inlineStr">
        <is>
          <t>Modelo de permisos directos, por área y por cargo, y cálculo de permisos efectivos</t>
        </is>
      </c>
      <c r="E15" s="11" t="inlineStr">
        <is>
          <t>Alexssander López</t>
        </is>
      </c>
      <c r="F15" s="11" t="n">
        <v>5</v>
      </c>
      <c r="G15" s="11" t="n">
        <v>2</v>
      </c>
      <c r="H15" s="48">
        <f>IF($G15=1,INDEX(SprintInicio,MATCH($B15,SprintNombres,0)),INDEX(SprintInicio,MATCH($B15,SprintNombres,0))+8-WEEKDAY(INDEX(SprintInicio,MATCH($B15,SprintNombres,0)),2))</f>
        <v/>
      </c>
      <c r="I15" s="48">
        <f>IF($G15=1,MIN(INDEX(SprintInicio,MATCH($B15,SprintNombres,0))+5-WEEKDAY(INDEX(SprintInicio,MATCH($B15,SprintNombres,0)),2),INDEX(SprintFin,MATCH($B15,SprintNombres,0))),INDEX(SprintFin,MATCH($B15,SprintNombres,0)))</f>
        <v/>
      </c>
      <c r="J15" s="49" t="inlineStr">
        <is>
          <t>Por hacer</t>
        </is>
      </c>
      <c r="K15" s="13">
        <f>IFERROR(VLOOKUP($J15,EstadosAvance,2,FALSE),0)</f>
        <v/>
      </c>
      <c r="L15" s="50">
        <f>F15*K15</f>
        <v/>
      </c>
      <c r="M15" s="12" t="inlineStr"/>
    </row>
    <row r="16">
      <c r="A16" s="11" t="inlineStr">
        <is>
          <t>T-1.12</t>
        </is>
      </c>
      <c r="B16" s="11" t="inlineStr">
        <is>
          <t>Sprint 1</t>
        </is>
      </c>
      <c r="C16" s="11" t="inlineStr">
        <is>
          <t>HU-003</t>
        </is>
      </c>
      <c r="D16" s="12" t="inlineStr">
        <is>
          <t>Validación centralizada de permisos en el servidor para cada vista</t>
        </is>
      </c>
      <c r="E16" s="11" t="inlineStr">
        <is>
          <t>Matías Orellana</t>
        </is>
      </c>
      <c r="F16" s="11" t="n">
        <v>3</v>
      </c>
      <c r="G16" s="11" t="n">
        <v>2</v>
      </c>
      <c r="H16" s="48">
        <f>IF($G16=1,INDEX(SprintInicio,MATCH($B16,SprintNombres,0)),INDEX(SprintInicio,MATCH($B16,SprintNombres,0))+8-WEEKDAY(INDEX(SprintInicio,MATCH($B16,SprintNombres,0)),2))</f>
        <v/>
      </c>
      <c r="I16" s="48">
        <f>IF($G16=1,MIN(INDEX(SprintInicio,MATCH($B16,SprintNombres,0))+5-WEEKDAY(INDEX(SprintInicio,MATCH($B16,SprintNombres,0)),2),INDEX(SprintFin,MATCH($B16,SprintNombres,0))),INDEX(SprintFin,MATCH($B16,SprintNombres,0)))</f>
        <v/>
      </c>
      <c r="J16" s="49" t="inlineStr">
        <is>
          <t>Por hacer</t>
        </is>
      </c>
      <c r="K16" s="13">
        <f>IFERROR(VLOOKUP($J16,EstadosAvance,2,FALSE),0)</f>
        <v/>
      </c>
      <c r="L16" s="50">
        <f>F16*K16</f>
        <v/>
      </c>
      <c r="M16" s="12" t="inlineStr"/>
    </row>
    <row r="17">
      <c r="A17" s="11" t="inlineStr">
        <is>
          <t>T-1.13</t>
        </is>
      </c>
      <c r="B17" s="11" t="inlineStr">
        <is>
          <t>Sprint 1</t>
        </is>
      </c>
      <c r="C17" s="11" t="inlineStr">
        <is>
          <t>HU-003</t>
        </is>
      </c>
      <c r="D17" s="12" t="inlineStr">
        <is>
          <t>Grupos autorizadores por tipo de solicitud con al menos un integrante activo</t>
        </is>
      </c>
      <c r="E17" s="11" t="inlineStr">
        <is>
          <t>Matías Orellana</t>
        </is>
      </c>
      <c r="F17" s="11" t="n">
        <v>3</v>
      </c>
      <c r="G17" s="11" t="n">
        <v>2</v>
      </c>
      <c r="H17" s="48">
        <f>IF($G17=1,INDEX(SprintInicio,MATCH($B17,SprintNombres,0)),INDEX(SprintInicio,MATCH($B17,SprintNombres,0))+8-WEEKDAY(INDEX(SprintInicio,MATCH($B17,SprintNombres,0)),2))</f>
        <v/>
      </c>
      <c r="I17" s="48">
        <f>IF($G17=1,MIN(INDEX(SprintInicio,MATCH($B17,SprintNombres,0))+5-WEEKDAY(INDEX(SprintInicio,MATCH($B17,SprintNombres,0)),2),INDEX(SprintFin,MATCH($B17,SprintNombres,0))),INDEX(SprintFin,MATCH($B17,SprintNombres,0)))</f>
        <v/>
      </c>
      <c r="J17" s="49" t="inlineStr">
        <is>
          <t>Por hacer</t>
        </is>
      </c>
      <c r="K17" s="13">
        <f>IFERROR(VLOOKUP($J17,EstadosAvance,2,FALSE),0)</f>
        <v/>
      </c>
      <c r="L17" s="50">
        <f>F17*K17</f>
        <v/>
      </c>
      <c r="M17" s="12" t="inlineStr"/>
    </row>
    <row r="18">
      <c r="A18" s="11" t="inlineStr">
        <is>
          <t>T-1.14</t>
        </is>
      </c>
      <c r="B18" s="11" t="inlineStr">
        <is>
          <t>Sprint 1</t>
        </is>
      </c>
      <c r="C18" s="11" t="inlineStr">
        <is>
          <t>HU-003</t>
        </is>
      </c>
      <c r="D18" s="12" t="inlineStr">
        <is>
          <t>Pantallas de administración de permisos y grupos</t>
        </is>
      </c>
      <c r="E18" s="11" t="inlineStr">
        <is>
          <t>Millaray Espósito</t>
        </is>
      </c>
      <c r="F18" s="11" t="n">
        <v>4</v>
      </c>
      <c r="G18" s="11" t="n">
        <v>2</v>
      </c>
      <c r="H18" s="48">
        <f>IF($G18=1,INDEX(SprintInicio,MATCH($B18,SprintNombres,0)),INDEX(SprintInicio,MATCH($B18,SprintNombres,0))+8-WEEKDAY(INDEX(SprintInicio,MATCH($B18,SprintNombres,0)),2))</f>
        <v/>
      </c>
      <c r="I18" s="48">
        <f>IF($G18=1,MIN(INDEX(SprintInicio,MATCH($B18,SprintNombres,0))+5-WEEKDAY(INDEX(SprintInicio,MATCH($B18,SprintNombres,0)),2),INDEX(SprintFin,MATCH($B18,SprintNombres,0))),INDEX(SprintFin,MATCH($B18,SprintNombres,0)))</f>
        <v/>
      </c>
      <c r="J18" s="49" t="inlineStr">
        <is>
          <t>Por hacer</t>
        </is>
      </c>
      <c r="K18" s="13">
        <f>IFERROR(VLOOKUP($J18,EstadosAvance,2,FALSE),0)</f>
        <v/>
      </c>
      <c r="L18" s="50">
        <f>F18*K18</f>
        <v/>
      </c>
      <c r="M18" s="12" t="inlineStr"/>
    </row>
    <row r="19">
      <c r="A19" s="11" t="inlineStr">
        <is>
          <t>T-1.15</t>
        </is>
      </c>
      <c r="B19" s="11" t="inlineStr">
        <is>
          <t>Sprint 1</t>
        </is>
      </c>
      <c r="C19" s="11" t="inlineStr">
        <is>
          <t>HU-003</t>
        </is>
      </c>
      <c r="D19" s="12" t="inlineStr">
        <is>
          <t>Pruebas automatizadas y ejecución de CP-007 a CP-010</t>
        </is>
      </c>
      <c r="E19" s="11" t="inlineStr">
        <is>
          <t>Millaray Espósito</t>
        </is>
      </c>
      <c r="F19" s="11" t="n">
        <v>3</v>
      </c>
      <c r="G19" s="11" t="n">
        <v>2</v>
      </c>
      <c r="H19" s="48">
        <f>IF($G19=1,INDEX(SprintInicio,MATCH($B19,SprintNombres,0)),INDEX(SprintInicio,MATCH($B19,SprintNombres,0))+8-WEEKDAY(INDEX(SprintInicio,MATCH($B19,SprintNombres,0)),2))</f>
        <v/>
      </c>
      <c r="I19" s="48">
        <f>IF($G19=1,MIN(INDEX(SprintInicio,MATCH($B19,SprintNombres,0))+5-WEEKDAY(INDEX(SprintInicio,MATCH($B19,SprintNombres,0)),2),INDEX(SprintFin,MATCH($B19,SprintNombres,0))),INDEX(SprintFin,MATCH($B19,SprintNombres,0)))</f>
        <v/>
      </c>
      <c r="J19" s="49" t="inlineStr">
        <is>
          <t>Por hacer</t>
        </is>
      </c>
      <c r="K19" s="13">
        <f>IFERROR(VLOOKUP($J19,EstadosAvance,2,FALSE),0)</f>
        <v/>
      </c>
      <c r="L19" s="50">
        <f>F19*K19</f>
        <v/>
      </c>
      <c r="M19" s="12" t="inlineStr"/>
    </row>
    <row r="20">
      <c r="A20" s="11" t="inlineStr">
        <is>
          <t>T-1.16</t>
        </is>
      </c>
      <c r="B20" s="11" t="inlineStr">
        <is>
          <t>Sprint 1</t>
        </is>
      </c>
      <c r="C20" s="11" t="inlineStr">
        <is>
          <t>HU-004</t>
        </is>
      </c>
      <c r="D20" s="12" t="inlineStr">
        <is>
          <t>Modelos de SlpCode por empresa y escala de comisión, con sus migraciones</t>
        </is>
      </c>
      <c r="E20" s="11" t="inlineStr">
        <is>
          <t>Alexssander López</t>
        </is>
      </c>
      <c r="F20" s="11" t="n">
        <v>3</v>
      </c>
      <c r="G20" s="11" t="n">
        <v>2</v>
      </c>
      <c r="H20" s="48">
        <f>IF($G20=1,INDEX(SprintInicio,MATCH($B20,SprintNombres,0)),INDEX(SprintInicio,MATCH($B20,SprintNombres,0))+8-WEEKDAY(INDEX(SprintInicio,MATCH($B20,SprintNombres,0)),2))</f>
        <v/>
      </c>
      <c r="I20" s="48">
        <f>IF($G20=1,MIN(INDEX(SprintInicio,MATCH($B20,SprintNombres,0))+5-WEEKDAY(INDEX(SprintInicio,MATCH($B20,SprintNombres,0)),2),INDEX(SprintFin,MATCH($B20,SprintNombres,0))),INDEX(SprintFin,MATCH($B20,SprintNombres,0)))</f>
        <v/>
      </c>
      <c r="J20" s="49" t="inlineStr">
        <is>
          <t>Por hacer</t>
        </is>
      </c>
      <c r="K20" s="13">
        <f>IFERROR(VLOOKUP($J20,EstadosAvance,2,FALSE),0)</f>
        <v/>
      </c>
      <c r="L20" s="50">
        <f>F20*K20</f>
        <v/>
      </c>
      <c r="M20" s="12" t="inlineStr"/>
    </row>
    <row r="21">
      <c r="A21" s="11" t="inlineStr">
        <is>
          <t>T-1.17</t>
        </is>
      </c>
      <c r="B21" s="11" t="inlineStr">
        <is>
          <t>Sprint 1</t>
        </is>
      </c>
      <c r="C21" s="11" t="inlineStr">
        <is>
          <t>HU-004</t>
        </is>
      </c>
      <c r="D21" s="12" t="inlineStr">
        <is>
          <t>Asignación de SlpCode y escala de comisión en el perfil del vendedor</t>
        </is>
      </c>
      <c r="E21" s="11" t="inlineStr">
        <is>
          <t>Matías Orellana</t>
        </is>
      </c>
      <c r="F21" s="11" t="n">
        <v>3</v>
      </c>
      <c r="G21" s="11" t="n">
        <v>2</v>
      </c>
      <c r="H21" s="48">
        <f>IF($G21=1,INDEX(SprintInicio,MATCH($B21,SprintNombres,0)),INDEX(SprintInicio,MATCH($B21,SprintNombres,0))+8-WEEKDAY(INDEX(SprintInicio,MATCH($B21,SprintNombres,0)),2))</f>
        <v/>
      </c>
      <c r="I21" s="48">
        <f>IF($G21=1,MIN(INDEX(SprintInicio,MATCH($B21,SprintNombres,0))+5-WEEKDAY(INDEX(SprintInicio,MATCH($B21,SprintNombres,0)),2),INDEX(SprintFin,MATCH($B21,SprintNombres,0))),INDEX(SprintFin,MATCH($B21,SprintNombres,0)))</f>
        <v/>
      </c>
      <c r="J21" s="49" t="inlineStr">
        <is>
          <t>Por hacer</t>
        </is>
      </c>
      <c r="K21" s="13">
        <f>IFERROR(VLOOKUP($J21,EstadosAvance,2,FALSE),0)</f>
        <v/>
      </c>
      <c r="L21" s="50">
        <f>F21*K21</f>
        <v/>
      </c>
      <c r="M21" s="12" t="inlineStr"/>
    </row>
    <row r="22">
      <c r="A22" s="11" t="inlineStr">
        <is>
          <t>T-1.18</t>
        </is>
      </c>
      <c r="B22" s="11" t="inlineStr">
        <is>
          <t>Sprint 1</t>
        </is>
      </c>
      <c r="C22" s="11" t="inlineStr">
        <is>
          <t>HU-004</t>
        </is>
      </c>
      <c r="D22" s="12" t="inlineStr">
        <is>
          <t>Selector de empresa activa en la barra de navegación y colores por empresa</t>
        </is>
      </c>
      <c r="E22" s="11" t="inlineStr">
        <is>
          <t>Millaray Espósito</t>
        </is>
      </c>
      <c r="F22" s="11" t="n">
        <v>5</v>
      </c>
      <c r="G22" s="11" t="n">
        <v>2</v>
      </c>
      <c r="H22" s="48">
        <f>IF($G22=1,INDEX(SprintInicio,MATCH($B22,SprintNombres,0)),INDEX(SprintInicio,MATCH($B22,SprintNombres,0))+8-WEEKDAY(INDEX(SprintInicio,MATCH($B22,SprintNombres,0)),2))</f>
        <v/>
      </c>
      <c r="I22" s="48">
        <f>IF($G22=1,MIN(INDEX(SprintInicio,MATCH($B22,SprintNombres,0))+5-WEEKDAY(INDEX(SprintInicio,MATCH($B22,SprintNombres,0)),2),INDEX(SprintFin,MATCH($B22,SprintNombres,0))),INDEX(SprintFin,MATCH($B22,SprintNombres,0)))</f>
        <v/>
      </c>
      <c r="J22" s="49" t="inlineStr">
        <is>
          <t>Por hacer</t>
        </is>
      </c>
      <c r="K22" s="13">
        <f>IFERROR(VLOOKUP($J22,EstadosAvance,2,FALSE),0)</f>
        <v/>
      </c>
      <c r="L22" s="50">
        <f>F22*K22</f>
        <v/>
      </c>
      <c r="M22" s="12" t="inlineStr"/>
    </row>
    <row r="23">
      <c r="A23" s="11" t="inlineStr">
        <is>
          <t>T-1.19</t>
        </is>
      </c>
      <c r="B23" s="11" t="inlineStr">
        <is>
          <t>Sprint 1</t>
        </is>
      </c>
      <c r="C23" s="11" t="inlineStr">
        <is>
          <t>HU-004</t>
        </is>
      </c>
      <c r="D23" s="12" t="inlineStr">
        <is>
          <t>Pruebas automatizadas y ejecución de CP-011 a CP-014</t>
        </is>
      </c>
      <c r="E23" s="11" t="inlineStr">
        <is>
          <t>Alexssander López</t>
        </is>
      </c>
      <c r="F23" s="11" t="n">
        <v>3</v>
      </c>
      <c r="G23" s="11" t="n">
        <v>2</v>
      </c>
      <c r="H23" s="48">
        <f>IF($G23=1,INDEX(SprintInicio,MATCH($B23,SprintNombres,0)),INDEX(SprintInicio,MATCH($B23,SprintNombres,0))+8-WEEKDAY(INDEX(SprintInicio,MATCH($B23,SprintNombres,0)),2))</f>
        <v/>
      </c>
      <c r="I23" s="48">
        <f>IF($G23=1,MIN(INDEX(SprintInicio,MATCH($B23,SprintNombres,0))+5-WEEKDAY(INDEX(SprintInicio,MATCH($B23,SprintNombres,0)),2),INDEX(SprintFin,MATCH($B23,SprintNombres,0))),INDEX(SprintFin,MATCH($B23,SprintNombres,0)))</f>
        <v/>
      </c>
      <c r="J23" s="49" t="inlineStr">
        <is>
          <t>Por hacer</t>
        </is>
      </c>
      <c r="K23" s="13">
        <f>IFERROR(VLOOKUP($J23,EstadosAvance,2,FALSE),0)</f>
        <v/>
      </c>
      <c r="L23" s="50">
        <f>F23*K23</f>
        <v/>
      </c>
      <c r="M23" s="12" t="inlineStr"/>
    </row>
    <row r="24">
      <c r="A24" s="11" t="inlineStr">
        <is>
          <t>T-1.20</t>
        </is>
      </c>
      <c r="B24" s="11" t="inlineStr">
        <is>
          <t>Sprint 1</t>
        </is>
      </c>
      <c r="C24" s="11" t="inlineStr">
        <is>
          <t>Transversal</t>
        </is>
      </c>
      <c r="D24" s="12" t="inlineStr">
        <is>
          <t>Configurar el repositorio privado, las ramas protegidas, el tablero y el archivo .env.example</t>
        </is>
      </c>
      <c r="E24" s="11" t="inlineStr">
        <is>
          <t>Alexssander López</t>
        </is>
      </c>
      <c r="F24" s="11" t="n">
        <v>3</v>
      </c>
      <c r="G24" s="11" t="n">
        <v>1</v>
      </c>
      <c r="H24" s="48">
        <f>IF($G24=1,INDEX(SprintInicio,MATCH($B24,SprintNombres,0)),INDEX(SprintInicio,MATCH($B24,SprintNombres,0))+8-WEEKDAY(INDEX(SprintInicio,MATCH($B24,SprintNombres,0)),2))</f>
        <v/>
      </c>
      <c r="I24" s="48">
        <f>IF($G24=1,MIN(INDEX(SprintInicio,MATCH($B24,SprintNombres,0))+5-WEEKDAY(INDEX(SprintInicio,MATCH($B24,SprintNombres,0)),2),INDEX(SprintFin,MATCH($B24,SprintNombres,0))),INDEX(SprintFin,MATCH($B24,SprintNombres,0)))</f>
        <v/>
      </c>
      <c r="J24" s="49" t="inlineStr">
        <is>
          <t>Por hacer</t>
        </is>
      </c>
      <c r="K24" s="13">
        <f>IFERROR(VLOOKUP($J24,EstadosAvance,2,FALSE),0)</f>
        <v/>
      </c>
      <c r="L24" s="50">
        <f>F24*K24</f>
        <v/>
      </c>
      <c r="M24" s="12" t="inlineStr"/>
    </row>
    <row r="25">
      <c r="A25" s="11" t="inlineStr">
        <is>
          <t>T-1.21</t>
        </is>
      </c>
      <c r="B25" s="11" t="inlineStr">
        <is>
          <t>Sprint 1</t>
        </is>
      </c>
      <c r="C25" s="11" t="inlineStr">
        <is>
          <t>Transversal</t>
        </is>
      </c>
      <c r="D25" s="12" t="inlineStr">
        <is>
          <t>Cargar datos ficticios de demostración: usuarios, áreas, cargos y empresas</t>
        </is>
      </c>
      <c r="E25" s="11" t="inlineStr">
        <is>
          <t>Millaray Espósito</t>
        </is>
      </c>
      <c r="F25" s="11" t="n">
        <v>2</v>
      </c>
      <c r="G25" s="11" t="n">
        <v>1</v>
      </c>
      <c r="H25" s="48">
        <f>IF($G25=1,INDEX(SprintInicio,MATCH($B25,SprintNombres,0)),INDEX(SprintInicio,MATCH($B25,SprintNombres,0))+8-WEEKDAY(INDEX(SprintInicio,MATCH($B25,SprintNombres,0)),2))</f>
        <v/>
      </c>
      <c r="I25" s="48">
        <f>IF($G25=1,MIN(INDEX(SprintInicio,MATCH($B25,SprintNombres,0))+5-WEEKDAY(INDEX(SprintInicio,MATCH($B25,SprintNombres,0)),2),INDEX(SprintFin,MATCH($B25,SprintNombres,0))),INDEX(SprintFin,MATCH($B25,SprintNombres,0)))</f>
        <v/>
      </c>
      <c r="J25" s="49" t="inlineStr">
        <is>
          <t>Por hacer</t>
        </is>
      </c>
      <c r="K25" s="13">
        <f>IFERROR(VLOOKUP($J25,EstadosAvance,2,FALSE),0)</f>
        <v/>
      </c>
      <c r="L25" s="50">
        <f>F25*K25</f>
        <v/>
      </c>
      <c r="M25" s="12" t="inlineStr"/>
    </row>
    <row r="26">
      <c r="A26" s="11" t="inlineStr">
        <is>
          <t>T-1.22</t>
        </is>
      </c>
      <c r="B26" s="11" t="inlineStr">
        <is>
          <t>Sprint 1</t>
        </is>
      </c>
      <c r="C26" s="11" t="inlineStr">
        <is>
          <t>Transversal</t>
        </is>
      </c>
      <c r="D26" s="12" t="inlineStr">
        <is>
          <t>Integrar develop en main, etiquetar v0.1.0 y preparar la demostración</t>
        </is>
      </c>
      <c r="E26" s="11" t="inlineStr">
        <is>
          <t>Alexssander López</t>
        </is>
      </c>
      <c r="F26" s="11" t="n">
        <v>2</v>
      </c>
      <c r="G26" s="11" t="n">
        <v>2</v>
      </c>
      <c r="H26" s="48">
        <f>IF($G26=1,INDEX(SprintInicio,MATCH($B26,SprintNombres,0)),INDEX(SprintInicio,MATCH($B26,SprintNombres,0))+8-WEEKDAY(INDEX(SprintInicio,MATCH($B26,SprintNombres,0)),2))</f>
        <v/>
      </c>
      <c r="I26" s="48">
        <f>IF($G26=1,MIN(INDEX(SprintInicio,MATCH($B26,SprintNombres,0))+5-WEEKDAY(INDEX(SprintInicio,MATCH($B26,SprintNombres,0)),2),INDEX(SprintFin,MATCH($B26,SprintNombres,0))),INDEX(SprintFin,MATCH($B26,SprintNombres,0)))</f>
        <v/>
      </c>
      <c r="J26" s="49" t="inlineStr">
        <is>
          <t>Por hacer</t>
        </is>
      </c>
      <c r="K26" s="13">
        <f>IFERROR(VLOOKUP($J26,EstadosAvance,2,FALSE),0)</f>
        <v/>
      </c>
      <c r="L26" s="50">
        <f>F26*K26</f>
        <v/>
      </c>
      <c r="M26" s="12" t="inlineStr"/>
    </row>
    <row r="27">
      <c r="A27" s="11" t="inlineStr">
        <is>
          <t>T-1.23</t>
        </is>
      </c>
      <c r="B27" s="11" t="inlineStr">
        <is>
          <t>Sprint 1</t>
        </is>
      </c>
      <c r="C27" s="11" t="inlineStr">
        <is>
          <t>Transversal</t>
        </is>
      </c>
      <c r="D27" s="12" t="inlineStr">
        <is>
          <t>Actualizar la matriz de trazabilidad y el Expediente de Sprint</t>
        </is>
      </c>
      <c r="E27" s="11" t="inlineStr">
        <is>
          <t>Millaray Espósito</t>
        </is>
      </c>
      <c r="F27" s="11" t="n">
        <v>2</v>
      </c>
      <c r="G27" s="11" t="n">
        <v>2</v>
      </c>
      <c r="H27" s="48">
        <f>IF($G27=1,INDEX(SprintInicio,MATCH($B27,SprintNombres,0)),INDEX(SprintInicio,MATCH($B27,SprintNombres,0))+8-WEEKDAY(INDEX(SprintInicio,MATCH($B27,SprintNombres,0)),2))</f>
        <v/>
      </c>
      <c r="I27" s="48">
        <f>IF($G27=1,MIN(INDEX(SprintInicio,MATCH($B27,SprintNombres,0))+5-WEEKDAY(INDEX(SprintInicio,MATCH($B27,SprintNombres,0)),2),INDEX(SprintFin,MATCH($B27,SprintNombres,0))),INDEX(SprintFin,MATCH($B27,SprintNombres,0)))</f>
        <v/>
      </c>
      <c r="J27" s="49" t="inlineStr">
        <is>
          <t>Por hacer</t>
        </is>
      </c>
      <c r="K27" s="13">
        <f>IFERROR(VLOOKUP($J27,EstadosAvance,2,FALSE),0)</f>
        <v/>
      </c>
      <c r="L27" s="50">
        <f>F27*K27</f>
        <v/>
      </c>
      <c r="M27" s="12" t="inlineStr"/>
    </row>
    <row r="28">
      <c r="A28" s="11" t="inlineStr">
        <is>
          <t>T-2.01</t>
        </is>
      </c>
      <c r="B28" s="11" t="inlineStr">
        <is>
          <t>Sprint 2</t>
        </is>
      </c>
      <c r="C28" s="11" t="inlineStr">
        <is>
          <t>HU-005</t>
        </is>
      </c>
      <c r="D28" s="12" t="inlineStr">
        <is>
          <t>Modelos de solicitud, productos solicitados y adjuntos, con estados y migraciones</t>
        </is>
      </c>
      <c r="E28" s="11" t="inlineStr">
        <is>
          <t>Matías Orellana</t>
        </is>
      </c>
      <c r="F28" s="11" t="n">
        <v>4</v>
      </c>
      <c r="G28" s="11" t="n">
        <v>1</v>
      </c>
      <c r="H28" s="48">
        <f>IF($G28=1,INDEX(SprintInicio,MATCH($B28,SprintNombres,0)),INDEX(SprintInicio,MATCH($B28,SprintNombres,0))+8-WEEKDAY(INDEX(SprintInicio,MATCH($B28,SprintNombres,0)),2))</f>
        <v/>
      </c>
      <c r="I28" s="48">
        <f>IF($G28=1,MIN(INDEX(SprintInicio,MATCH($B28,SprintNombres,0))+5-WEEKDAY(INDEX(SprintInicio,MATCH($B28,SprintNombres,0)),2),INDEX(SprintFin,MATCH($B28,SprintNombres,0))),INDEX(SprintFin,MATCH($B28,SprintNombres,0)))</f>
        <v/>
      </c>
      <c r="J28" s="49" t="inlineStr">
        <is>
          <t>Por hacer</t>
        </is>
      </c>
      <c r="K28" s="13">
        <f>IFERROR(VLOOKUP($J28,EstadosAvance,2,FALSE),0)</f>
        <v/>
      </c>
      <c r="L28" s="50">
        <f>F28*K28</f>
        <v/>
      </c>
      <c r="M28" s="12" t="inlineStr"/>
    </row>
    <row r="29">
      <c r="A29" s="11" t="inlineStr">
        <is>
          <t>T-2.02</t>
        </is>
      </c>
      <c r="B29" s="11" t="inlineStr">
        <is>
          <t>Sprint 2</t>
        </is>
      </c>
      <c r="C29" s="11" t="inlineStr">
        <is>
          <t>HU-005</t>
        </is>
      </c>
      <c r="D29" s="12" t="inlineStr">
        <is>
          <t>Formulario de solicitud por tipo (creación, activación o modificación) con uno o más productos</t>
        </is>
      </c>
      <c r="E29" s="11" t="inlineStr">
        <is>
          <t>Millaray Espósito</t>
        </is>
      </c>
      <c r="F29" s="11" t="n">
        <v>5</v>
      </c>
      <c r="G29" s="11" t="n">
        <v>1</v>
      </c>
      <c r="H29" s="48">
        <f>IF($G29=1,INDEX(SprintInicio,MATCH($B29,SprintNombres,0)),INDEX(SprintInicio,MATCH($B29,SprintNombres,0))+8-WEEKDAY(INDEX(SprintInicio,MATCH($B29,SprintNombres,0)),2))</f>
        <v/>
      </c>
      <c r="I29" s="48">
        <f>IF($G29=1,MIN(INDEX(SprintInicio,MATCH($B29,SprintNombres,0))+5-WEEKDAY(INDEX(SprintInicio,MATCH($B29,SprintNombres,0)),2),INDEX(SprintFin,MATCH($B29,SprintNombres,0))),INDEX(SprintFin,MATCH($B29,SprintNombres,0)))</f>
        <v/>
      </c>
      <c r="J29" s="49" t="inlineStr">
        <is>
          <t>Por hacer</t>
        </is>
      </c>
      <c r="K29" s="13">
        <f>IFERROR(VLOOKUP($J29,EstadosAvance,2,FALSE),0)</f>
        <v/>
      </c>
      <c r="L29" s="50">
        <f>F29*K29</f>
        <v/>
      </c>
      <c r="M29" s="12" t="inlineStr"/>
    </row>
    <row r="30">
      <c r="A30" s="11" t="inlineStr">
        <is>
          <t>T-2.03</t>
        </is>
      </c>
      <c r="B30" s="11" t="inlineStr">
        <is>
          <t>Sprint 2</t>
        </is>
      </c>
      <c r="C30" s="11" t="inlineStr">
        <is>
          <t>HU-005</t>
        </is>
      </c>
      <c r="D30" s="12" t="inlineStr">
        <is>
          <t>Validación y almacenamiento de respaldos fuera de la base de datos, según los formatos permitidos</t>
        </is>
      </c>
      <c r="E30" s="11" t="inlineStr">
        <is>
          <t>Matías Orellana</t>
        </is>
      </c>
      <c r="F30" s="11" t="n">
        <v>3</v>
      </c>
      <c r="G30" s="11" t="n">
        <v>1</v>
      </c>
      <c r="H30" s="48">
        <f>IF($G30=1,INDEX(SprintInicio,MATCH($B30,SprintNombres,0)),INDEX(SprintInicio,MATCH($B30,SprintNombres,0))+8-WEEKDAY(INDEX(SprintInicio,MATCH($B30,SprintNombres,0)),2))</f>
        <v/>
      </c>
      <c r="I30" s="48">
        <f>IF($G30=1,MIN(INDEX(SprintInicio,MATCH($B30,SprintNombres,0))+5-WEEKDAY(INDEX(SprintInicio,MATCH($B30,SprintNombres,0)),2),INDEX(SprintFin,MATCH($B30,SprintNombres,0))),INDEX(SprintFin,MATCH($B30,SprintNombres,0)))</f>
        <v/>
      </c>
      <c r="J30" s="49" t="inlineStr">
        <is>
          <t>Por hacer</t>
        </is>
      </c>
      <c r="K30" s="13">
        <f>IFERROR(VLOOKUP($J30,EstadosAvance,2,FALSE),0)</f>
        <v/>
      </c>
      <c r="L30" s="50">
        <f>F30*K30</f>
        <v/>
      </c>
      <c r="M30" s="12" t="inlineStr"/>
    </row>
    <row r="31">
      <c r="A31" s="11" t="inlineStr">
        <is>
          <t>T-2.04</t>
        </is>
      </c>
      <c r="B31" s="11" t="inlineStr">
        <is>
          <t>Sprint 2</t>
        </is>
      </c>
      <c r="C31" s="11" t="inlineStr">
        <is>
          <t>HU-005</t>
        </is>
      </c>
      <c r="D31" s="12" t="inlineStr">
        <is>
          <t>Envío de la solicitud a la bandeja del grupo autorizador correspondiente</t>
        </is>
      </c>
      <c r="E31" s="11" t="inlineStr">
        <is>
          <t>Matías Orellana</t>
        </is>
      </c>
      <c r="F31" s="11" t="n">
        <v>2</v>
      </c>
      <c r="G31" s="11" t="n">
        <v>1</v>
      </c>
      <c r="H31" s="48">
        <f>IF($G31=1,INDEX(SprintInicio,MATCH($B31,SprintNombres,0)),INDEX(SprintInicio,MATCH($B31,SprintNombres,0))+8-WEEKDAY(INDEX(SprintInicio,MATCH($B31,SprintNombres,0)),2))</f>
        <v/>
      </c>
      <c r="I31" s="48">
        <f>IF($G31=1,MIN(INDEX(SprintInicio,MATCH($B31,SprintNombres,0))+5-WEEKDAY(INDEX(SprintInicio,MATCH($B31,SprintNombres,0)),2),INDEX(SprintFin,MATCH($B31,SprintNombres,0))),INDEX(SprintFin,MATCH($B31,SprintNombres,0)))</f>
        <v/>
      </c>
      <c r="J31" s="49" t="inlineStr">
        <is>
          <t>Por hacer</t>
        </is>
      </c>
      <c r="K31" s="13">
        <f>IFERROR(VLOOKUP($J31,EstadosAvance,2,FALSE),0)</f>
        <v/>
      </c>
      <c r="L31" s="50">
        <f>F31*K31</f>
        <v/>
      </c>
      <c r="M31" s="12" t="inlineStr"/>
    </row>
    <row r="32">
      <c r="A32" s="11" t="inlineStr">
        <is>
          <t>T-2.05</t>
        </is>
      </c>
      <c r="B32" s="11" t="inlineStr">
        <is>
          <t>Sprint 2</t>
        </is>
      </c>
      <c r="C32" s="11" t="inlineStr">
        <is>
          <t>HU-005</t>
        </is>
      </c>
      <c r="D32" s="12" t="inlineStr">
        <is>
          <t>Pruebas automatizadas y ejecución de CP-015 a CP-018</t>
        </is>
      </c>
      <c r="E32" s="11" t="inlineStr">
        <is>
          <t>Alexssander López</t>
        </is>
      </c>
      <c r="F32" s="11" t="n">
        <v>3</v>
      </c>
      <c r="G32" s="11" t="n">
        <v>1</v>
      </c>
      <c r="H32" s="48">
        <f>IF($G32=1,INDEX(SprintInicio,MATCH($B32,SprintNombres,0)),INDEX(SprintInicio,MATCH($B32,SprintNombres,0))+8-WEEKDAY(INDEX(SprintInicio,MATCH($B32,SprintNombres,0)),2))</f>
        <v/>
      </c>
      <c r="I32" s="48">
        <f>IF($G32=1,MIN(INDEX(SprintInicio,MATCH($B32,SprintNombres,0))+5-WEEKDAY(INDEX(SprintInicio,MATCH($B32,SprintNombres,0)),2),INDEX(SprintFin,MATCH($B32,SprintNombres,0))),INDEX(SprintFin,MATCH($B32,SprintNombres,0)))</f>
        <v/>
      </c>
      <c r="J32" s="49" t="inlineStr">
        <is>
          <t>Por hacer</t>
        </is>
      </c>
      <c r="K32" s="13">
        <f>IFERROR(VLOOKUP($J32,EstadosAvance,2,FALSE),0)</f>
        <v/>
      </c>
      <c r="L32" s="50">
        <f>F32*K32</f>
        <v/>
      </c>
      <c r="M32" s="12" t="inlineStr"/>
    </row>
    <row r="33">
      <c r="A33" s="11" t="inlineStr">
        <is>
          <t>T-2.06</t>
        </is>
      </c>
      <c r="B33" s="11" t="inlineStr">
        <is>
          <t>Sprint 2</t>
        </is>
      </c>
      <c r="C33" s="11" t="inlineStr">
        <is>
          <t>HU-006</t>
        </is>
      </c>
      <c r="D33" s="12" t="inlineStr">
        <is>
          <t>Bandeja compartida del grupo y acción para tomar la solicitud</t>
        </is>
      </c>
      <c r="E33" s="11" t="inlineStr">
        <is>
          <t>Millaray Espósito</t>
        </is>
      </c>
      <c r="F33" s="11" t="n">
        <v>3</v>
      </c>
      <c r="G33" s="11" t="n">
        <v>1</v>
      </c>
      <c r="H33" s="48">
        <f>IF($G33=1,INDEX(SprintInicio,MATCH($B33,SprintNombres,0)),INDEX(SprintInicio,MATCH($B33,SprintNombres,0))+8-WEEKDAY(INDEX(SprintInicio,MATCH($B33,SprintNombres,0)),2))</f>
        <v/>
      </c>
      <c r="I33" s="48">
        <f>IF($G33=1,MIN(INDEX(SprintInicio,MATCH($B33,SprintNombres,0))+5-WEEKDAY(INDEX(SprintInicio,MATCH($B33,SprintNombres,0)),2),INDEX(SprintFin,MATCH($B33,SprintNombres,0))),INDEX(SprintFin,MATCH($B33,SprintNombres,0)))</f>
        <v/>
      </c>
      <c r="J33" s="49" t="inlineStr">
        <is>
          <t>Por hacer</t>
        </is>
      </c>
      <c r="K33" s="13">
        <f>IFERROR(VLOOKUP($J33,EstadosAvance,2,FALSE),0)</f>
        <v/>
      </c>
      <c r="L33" s="50">
        <f>F33*K33</f>
        <v/>
      </c>
      <c r="M33" s="12" t="inlineStr"/>
    </row>
    <row r="34">
      <c r="A34" s="11" t="inlineStr">
        <is>
          <t>T-2.07</t>
        </is>
      </c>
      <c r="B34" s="11" t="inlineStr">
        <is>
          <t>Sprint 2</t>
        </is>
      </c>
      <c r="C34" s="11" t="inlineStr">
        <is>
          <t>HU-006</t>
        </is>
      </c>
      <c r="D34" s="12" t="inlineStr">
        <is>
          <t>Aprobación y rechazo con motivo obligatorio; bloqueo de edición después de aprobar</t>
        </is>
      </c>
      <c r="E34" s="11" t="inlineStr">
        <is>
          <t>Matías Orellana</t>
        </is>
      </c>
      <c r="F34" s="11" t="n">
        <v>3</v>
      </c>
      <c r="G34" s="11" t="n">
        <v>1</v>
      </c>
      <c r="H34" s="48">
        <f>IF($G34=1,INDEX(SprintInicio,MATCH($B34,SprintNombres,0)),INDEX(SprintInicio,MATCH($B34,SprintNombres,0))+8-WEEKDAY(INDEX(SprintInicio,MATCH($B34,SprintNombres,0)),2))</f>
        <v/>
      </c>
      <c r="I34" s="48">
        <f>IF($G34=1,MIN(INDEX(SprintInicio,MATCH($B34,SprintNombres,0))+5-WEEKDAY(INDEX(SprintInicio,MATCH($B34,SprintNombres,0)),2),INDEX(SprintFin,MATCH($B34,SprintNombres,0))),INDEX(SprintFin,MATCH($B34,SprintNombres,0)))</f>
        <v/>
      </c>
      <c r="J34" s="49" t="inlineStr">
        <is>
          <t>Por hacer</t>
        </is>
      </c>
      <c r="K34" s="13">
        <f>IFERROR(VLOOKUP($J34,EstadosAvance,2,FALSE),0)</f>
        <v/>
      </c>
      <c r="L34" s="50">
        <f>F34*K34</f>
        <v/>
      </c>
      <c r="M34" s="12" t="inlineStr"/>
    </row>
    <row r="35">
      <c r="A35" s="11" t="inlineStr">
        <is>
          <t>T-2.08</t>
        </is>
      </c>
      <c r="B35" s="11" t="inlineStr">
        <is>
          <t>Sprint 2</t>
        </is>
      </c>
      <c r="C35" s="11" t="inlineStr">
        <is>
          <t>HU-006</t>
        </is>
      </c>
      <c r="D35" s="12" t="inlineStr">
        <is>
          <t>Registro de usuario, fecha, hora y comentario de la resolución</t>
        </is>
      </c>
      <c r="E35" s="11" t="inlineStr">
        <is>
          <t>Alexssander López</t>
        </is>
      </c>
      <c r="F35" s="11" t="n">
        <v>2</v>
      </c>
      <c r="G35" s="11" t="n">
        <v>1</v>
      </c>
      <c r="H35" s="48">
        <f>IF($G35=1,INDEX(SprintInicio,MATCH($B35,SprintNombres,0)),INDEX(SprintInicio,MATCH($B35,SprintNombres,0))+8-WEEKDAY(INDEX(SprintInicio,MATCH($B35,SprintNombres,0)),2))</f>
        <v/>
      </c>
      <c r="I35" s="48">
        <f>IF($G35=1,MIN(INDEX(SprintInicio,MATCH($B35,SprintNombres,0))+5-WEEKDAY(INDEX(SprintInicio,MATCH($B35,SprintNombres,0)),2),INDEX(SprintFin,MATCH($B35,SprintNombres,0))),INDEX(SprintFin,MATCH($B35,SprintNombres,0)))</f>
        <v/>
      </c>
      <c r="J35" s="49" t="inlineStr">
        <is>
          <t>Por hacer</t>
        </is>
      </c>
      <c r="K35" s="13">
        <f>IFERROR(VLOOKUP($J35,EstadosAvance,2,FALSE),0)</f>
        <v/>
      </c>
      <c r="L35" s="50">
        <f>F35*K35</f>
        <v/>
      </c>
      <c r="M35" s="12" t="inlineStr"/>
    </row>
    <row r="36">
      <c r="A36" s="11" t="inlineStr">
        <is>
          <t>T-2.09</t>
        </is>
      </c>
      <c r="B36" s="11" t="inlineStr">
        <is>
          <t>Sprint 2</t>
        </is>
      </c>
      <c r="C36" s="11" t="inlineStr">
        <is>
          <t>HU-006</t>
        </is>
      </c>
      <c r="D36" s="12" t="inlineStr">
        <is>
          <t>Pruebas automatizadas y ejecución de CP-019 a CP-022</t>
        </is>
      </c>
      <c r="E36" s="11" t="inlineStr">
        <is>
          <t>Alexssander López</t>
        </is>
      </c>
      <c r="F36" s="11" t="n">
        <v>2</v>
      </c>
      <c r="G36" s="11" t="n">
        <v>1</v>
      </c>
      <c r="H36" s="48">
        <f>IF($G36=1,INDEX(SprintInicio,MATCH($B36,SprintNombres,0)),INDEX(SprintInicio,MATCH($B36,SprintNombres,0))+8-WEEKDAY(INDEX(SprintInicio,MATCH($B36,SprintNombres,0)),2))</f>
        <v/>
      </c>
      <c r="I36" s="48">
        <f>IF($G36=1,MIN(INDEX(SprintInicio,MATCH($B36,SprintNombres,0))+5-WEEKDAY(INDEX(SprintInicio,MATCH($B36,SprintNombres,0)),2),INDEX(SprintFin,MATCH($B36,SprintNombres,0))),INDEX(SprintFin,MATCH($B36,SprintNombres,0)))</f>
        <v/>
      </c>
      <c r="J36" s="49" t="inlineStr">
        <is>
          <t>Por hacer</t>
        </is>
      </c>
      <c r="K36" s="13">
        <f>IFERROR(VLOOKUP($J36,EstadosAvance,2,FALSE),0)</f>
        <v/>
      </c>
      <c r="L36" s="50">
        <f>F36*K36</f>
        <v/>
      </c>
      <c r="M36" s="12" t="inlineStr"/>
    </row>
    <row r="37">
      <c r="A37" s="11" t="inlineStr">
        <is>
          <t>T-2.10</t>
        </is>
      </c>
      <c r="B37" s="11" t="inlineStr">
        <is>
          <t>Sprint 2</t>
        </is>
      </c>
      <c r="C37" s="11" t="inlineStr">
        <is>
          <t>HU-007</t>
        </is>
      </c>
      <c r="D37" s="12" t="inlineStr">
        <is>
          <t>Corrección y reenvío por el creador, con retorno a estado Pendiente</t>
        </is>
      </c>
      <c r="E37" s="11" t="inlineStr">
        <is>
          <t>Matías Orellana</t>
        </is>
      </c>
      <c r="F37" s="11" t="n">
        <v>3</v>
      </c>
      <c r="G37" s="11" t="n">
        <v>2</v>
      </c>
      <c r="H37" s="48">
        <f>IF($G37=1,INDEX(SprintInicio,MATCH($B37,SprintNombres,0)),INDEX(SprintInicio,MATCH($B37,SprintNombres,0))+8-WEEKDAY(INDEX(SprintInicio,MATCH($B37,SprintNombres,0)),2))</f>
        <v/>
      </c>
      <c r="I37" s="48">
        <f>IF($G37=1,MIN(INDEX(SprintInicio,MATCH($B37,SprintNombres,0))+5-WEEKDAY(INDEX(SprintInicio,MATCH($B37,SprintNombres,0)),2),INDEX(SprintFin,MATCH($B37,SprintNombres,0))),INDEX(SprintFin,MATCH($B37,SprintNombres,0)))</f>
        <v/>
      </c>
      <c r="J37" s="49" t="inlineStr">
        <is>
          <t>Por hacer</t>
        </is>
      </c>
      <c r="K37" s="13">
        <f>IFERROR(VLOOKUP($J37,EstadosAvance,2,FALSE),0)</f>
        <v/>
      </c>
      <c r="L37" s="50">
        <f>F37*K37</f>
        <v/>
      </c>
      <c r="M37" s="12" t="inlineStr"/>
    </row>
    <row r="38">
      <c r="A38" s="11" t="inlineStr">
        <is>
          <t>T-2.11</t>
        </is>
      </c>
      <c r="B38" s="11" t="inlineStr">
        <is>
          <t>Sprint 2</t>
        </is>
      </c>
      <c r="C38" s="11" t="inlineStr">
        <is>
          <t>HU-007</t>
        </is>
      </c>
      <c r="D38" s="12" t="inlineStr">
        <is>
          <t>Vista de seguimiento con estado, responsable, fecha y comentario</t>
        </is>
      </c>
      <c r="E38" s="11" t="inlineStr">
        <is>
          <t>Millaray Espósito</t>
        </is>
      </c>
      <c r="F38" s="11" t="n">
        <v>3</v>
      </c>
      <c r="G38" s="11" t="n">
        <v>2</v>
      </c>
      <c r="H38" s="48">
        <f>IF($G38=1,INDEX(SprintInicio,MATCH($B38,SprintNombres,0)),INDEX(SprintInicio,MATCH($B38,SprintNombres,0))+8-WEEKDAY(INDEX(SprintInicio,MATCH($B38,SprintNombres,0)),2))</f>
        <v/>
      </c>
      <c r="I38" s="48">
        <f>IF($G38=1,MIN(INDEX(SprintInicio,MATCH($B38,SprintNombres,0))+5-WEEKDAY(INDEX(SprintInicio,MATCH($B38,SprintNombres,0)),2),INDEX(SprintFin,MATCH($B38,SprintNombres,0))),INDEX(SprintFin,MATCH($B38,SprintNombres,0)))</f>
        <v/>
      </c>
      <c r="J38" s="49" t="inlineStr">
        <is>
          <t>Por hacer</t>
        </is>
      </c>
      <c r="K38" s="13">
        <f>IFERROR(VLOOKUP($J38,EstadosAvance,2,FALSE),0)</f>
        <v/>
      </c>
      <c r="L38" s="50">
        <f>F38*K38</f>
        <v/>
      </c>
      <c r="M38" s="12" t="inlineStr"/>
    </row>
    <row r="39">
      <c r="A39" s="11" t="inlineStr">
        <is>
          <t>T-2.12</t>
        </is>
      </c>
      <c r="B39" s="11" t="inlineStr">
        <is>
          <t>Sprint 2</t>
        </is>
      </c>
      <c r="C39" s="11" t="inlineStr">
        <is>
          <t>HU-007</t>
        </is>
      </c>
      <c r="D39" s="12" t="inlineStr">
        <is>
          <t>Filtros y búsqueda por estado, fecha, área y responsable, según permisos</t>
        </is>
      </c>
      <c r="E39" s="11" t="inlineStr">
        <is>
          <t>Millaray Espósito</t>
        </is>
      </c>
      <c r="F39" s="11" t="n">
        <v>3</v>
      </c>
      <c r="G39" s="11" t="n">
        <v>2</v>
      </c>
      <c r="H39" s="48">
        <f>IF($G39=1,INDEX(SprintInicio,MATCH($B39,SprintNombres,0)),INDEX(SprintInicio,MATCH($B39,SprintNombres,0))+8-WEEKDAY(INDEX(SprintInicio,MATCH($B39,SprintNombres,0)),2))</f>
        <v/>
      </c>
      <c r="I39" s="48">
        <f>IF($G39=1,MIN(INDEX(SprintInicio,MATCH($B39,SprintNombres,0))+5-WEEKDAY(INDEX(SprintInicio,MATCH($B39,SprintNombres,0)),2),INDEX(SprintFin,MATCH($B39,SprintNombres,0))),INDEX(SprintFin,MATCH($B39,SprintNombres,0)))</f>
        <v/>
      </c>
      <c r="J39" s="49" t="inlineStr">
        <is>
          <t>Por hacer</t>
        </is>
      </c>
      <c r="K39" s="13">
        <f>IFERROR(VLOOKUP($J39,EstadosAvance,2,FALSE),0)</f>
        <v/>
      </c>
      <c r="L39" s="50">
        <f>F39*K39</f>
        <v/>
      </c>
      <c r="M39" s="12" t="inlineStr"/>
    </row>
    <row r="40">
      <c r="A40" s="11" t="inlineStr">
        <is>
          <t>T-2.13</t>
        </is>
      </c>
      <c r="B40" s="11" t="inlineStr">
        <is>
          <t>Sprint 2</t>
        </is>
      </c>
      <c r="C40" s="11" t="inlineStr">
        <is>
          <t>HU-007</t>
        </is>
      </c>
      <c r="D40" s="12" t="inlineStr">
        <is>
          <t>Pruebas automatizadas y ejecución de CP-023 a CP-026</t>
        </is>
      </c>
      <c r="E40" s="11" t="inlineStr">
        <is>
          <t>Alexssander López</t>
        </is>
      </c>
      <c r="F40" s="11" t="n">
        <v>3</v>
      </c>
      <c r="G40" s="11" t="n">
        <v>2</v>
      </c>
      <c r="H40" s="48">
        <f>IF($G40=1,INDEX(SprintInicio,MATCH($B40,SprintNombres,0)),INDEX(SprintInicio,MATCH($B40,SprintNombres,0))+8-WEEKDAY(INDEX(SprintInicio,MATCH($B40,SprintNombres,0)),2))</f>
        <v/>
      </c>
      <c r="I40" s="48">
        <f>IF($G40=1,MIN(INDEX(SprintInicio,MATCH($B40,SprintNombres,0))+5-WEEKDAY(INDEX(SprintInicio,MATCH($B40,SprintNombres,0)),2),INDEX(SprintFin,MATCH($B40,SprintNombres,0))),INDEX(SprintFin,MATCH($B40,SprintNombres,0)))</f>
        <v/>
      </c>
      <c r="J40" s="49" t="inlineStr">
        <is>
          <t>Por hacer</t>
        </is>
      </c>
      <c r="K40" s="13">
        <f>IFERROR(VLOOKUP($J40,EstadosAvance,2,FALSE),0)</f>
        <v/>
      </c>
      <c r="L40" s="50">
        <f>F40*K40</f>
        <v/>
      </c>
      <c r="M40" s="12" t="inlineStr"/>
    </row>
    <row r="41">
      <c r="A41" s="11" t="inlineStr">
        <is>
          <t>T-2.14</t>
        </is>
      </c>
      <c r="B41" s="11" t="inlineStr">
        <is>
          <t>Sprint 2</t>
        </is>
      </c>
      <c r="C41" s="11" t="inlineStr">
        <is>
          <t>HU-012</t>
        </is>
      </c>
      <c r="D41" s="12" t="inlineStr">
        <is>
          <t>Modelo de notificación con destinatario, categoría, emisor, nivel y enlace</t>
        </is>
      </c>
      <c r="E41" s="11" t="inlineStr">
        <is>
          <t>Alexssander López</t>
        </is>
      </c>
      <c r="F41" s="11" t="n">
        <v>2</v>
      </c>
      <c r="G41" s="11" t="n">
        <v>2</v>
      </c>
      <c r="H41" s="48">
        <f>IF($G41=1,INDEX(SprintInicio,MATCH($B41,SprintNombres,0)),INDEX(SprintInicio,MATCH($B41,SprintNombres,0))+8-WEEKDAY(INDEX(SprintInicio,MATCH($B41,SprintNombres,0)),2))</f>
        <v/>
      </c>
      <c r="I41" s="48">
        <f>IF($G41=1,MIN(INDEX(SprintInicio,MATCH($B41,SprintNombres,0))+5-WEEKDAY(INDEX(SprintInicio,MATCH($B41,SprintNombres,0)),2),INDEX(SprintFin,MATCH($B41,SprintNombres,0))),INDEX(SprintFin,MATCH($B41,SprintNombres,0)))</f>
        <v/>
      </c>
      <c r="J41" s="49" t="inlineStr">
        <is>
          <t>Por hacer</t>
        </is>
      </c>
      <c r="K41" s="13">
        <f>IFERROR(VLOOKUP($J41,EstadosAvance,2,FALSE),0)</f>
        <v/>
      </c>
      <c r="L41" s="50">
        <f>F41*K41</f>
        <v/>
      </c>
      <c r="M41" s="12" t="inlineStr"/>
    </row>
    <row r="42">
      <c r="A42" s="11" t="inlineStr">
        <is>
          <t>T-2.15</t>
        </is>
      </c>
      <c r="B42" s="11" t="inlineStr">
        <is>
          <t>Sprint 2</t>
        </is>
      </c>
      <c r="C42" s="11" t="inlineStr">
        <is>
          <t>HU-012</t>
        </is>
      </c>
      <c r="D42" s="12" t="inlineStr">
        <is>
          <t>Notificación a los integrantes del grupo al enviar un proceso</t>
        </is>
      </c>
      <c r="E42" s="11" t="inlineStr">
        <is>
          <t>Alexssander López</t>
        </is>
      </c>
      <c r="F42" s="11" t="n">
        <v>2</v>
      </c>
      <c r="G42" s="11" t="n">
        <v>2</v>
      </c>
      <c r="H42" s="48">
        <f>IF($G42=1,INDEX(SprintInicio,MATCH($B42,SprintNombres,0)),INDEX(SprintInicio,MATCH($B42,SprintNombres,0))+8-WEEKDAY(INDEX(SprintInicio,MATCH($B42,SprintNombres,0)),2))</f>
        <v/>
      </c>
      <c r="I42" s="48">
        <f>IF($G42=1,MIN(INDEX(SprintInicio,MATCH($B42,SprintNombres,0))+5-WEEKDAY(INDEX(SprintInicio,MATCH($B42,SprintNombres,0)),2),INDEX(SprintFin,MATCH($B42,SprintNombres,0))),INDEX(SprintFin,MATCH($B42,SprintNombres,0)))</f>
        <v/>
      </c>
      <c r="J42" s="49" t="inlineStr">
        <is>
          <t>Por hacer</t>
        </is>
      </c>
      <c r="K42" s="13">
        <f>IFERROR(VLOOKUP($J42,EstadosAvance,2,FALSE),0)</f>
        <v/>
      </c>
      <c r="L42" s="50">
        <f>F42*K42</f>
        <v/>
      </c>
      <c r="M42" s="12" t="inlineStr"/>
    </row>
    <row r="43">
      <c r="A43" s="11" t="inlineStr">
        <is>
          <t>T-2.16</t>
        </is>
      </c>
      <c r="B43" s="11" t="inlineStr">
        <is>
          <t>Sprint 2</t>
        </is>
      </c>
      <c r="C43" s="11" t="inlineStr">
        <is>
          <t>HU-012</t>
        </is>
      </c>
      <c r="D43" s="12" t="inlineStr">
        <is>
          <t>Tarea programada de recordatorio para procesos pendientes por más de una hora</t>
        </is>
      </c>
      <c r="E43" s="11" t="inlineStr">
        <is>
          <t>Matías Orellana</t>
        </is>
      </c>
      <c r="F43" s="11" t="n">
        <v>3</v>
      </c>
      <c r="G43" s="11" t="n">
        <v>2</v>
      </c>
      <c r="H43" s="48">
        <f>IF($G43=1,INDEX(SprintInicio,MATCH($B43,SprintNombres,0)),INDEX(SprintInicio,MATCH($B43,SprintNombres,0))+8-WEEKDAY(INDEX(SprintInicio,MATCH($B43,SprintNombres,0)),2))</f>
        <v/>
      </c>
      <c r="I43" s="48">
        <f>IF($G43=1,MIN(INDEX(SprintInicio,MATCH($B43,SprintNombres,0))+5-WEEKDAY(INDEX(SprintInicio,MATCH($B43,SprintNombres,0)),2),INDEX(SprintFin,MATCH($B43,SprintNombres,0))),INDEX(SprintFin,MATCH($B43,SprintNombres,0)))</f>
        <v/>
      </c>
      <c r="J43" s="49" t="inlineStr">
        <is>
          <t>Por hacer</t>
        </is>
      </c>
      <c r="K43" s="13">
        <f>IFERROR(VLOOKUP($J43,EstadosAvance,2,FALSE),0)</f>
        <v/>
      </c>
      <c r="L43" s="50">
        <f>F43*K43</f>
        <v/>
      </c>
      <c r="M43" s="12" t="inlineStr"/>
    </row>
    <row r="44">
      <c r="A44" s="11" t="inlineStr">
        <is>
          <t>T-2.17</t>
        </is>
      </c>
      <c r="B44" s="11" t="inlineStr">
        <is>
          <t>Sprint 2</t>
        </is>
      </c>
      <c r="C44" s="11" t="inlineStr">
        <is>
          <t>HU-012</t>
        </is>
      </c>
      <c r="D44" s="12" t="inlineStr">
        <is>
          <t>Campana general en la barra superior con restricción de notificaciones ajenas</t>
        </is>
      </c>
      <c r="E44" s="11" t="inlineStr">
        <is>
          <t>Millaray Espósito</t>
        </is>
      </c>
      <c r="F44" s="11" t="n">
        <v>2</v>
      </c>
      <c r="G44" s="11" t="n">
        <v>2</v>
      </c>
      <c r="H44" s="48">
        <f>IF($G44=1,INDEX(SprintInicio,MATCH($B44,SprintNombres,0)),INDEX(SprintInicio,MATCH($B44,SprintNombres,0))+8-WEEKDAY(INDEX(SprintInicio,MATCH($B44,SprintNombres,0)),2))</f>
        <v/>
      </c>
      <c r="I44" s="48">
        <f>IF($G44=1,MIN(INDEX(SprintInicio,MATCH($B44,SprintNombres,0))+5-WEEKDAY(INDEX(SprintInicio,MATCH($B44,SprintNombres,0)),2),INDEX(SprintFin,MATCH($B44,SprintNombres,0))),INDEX(SprintFin,MATCH($B44,SprintNombres,0)))</f>
        <v/>
      </c>
      <c r="J44" s="49" t="inlineStr">
        <is>
          <t>Por hacer</t>
        </is>
      </c>
      <c r="K44" s="13">
        <f>IFERROR(VLOOKUP($J44,EstadosAvance,2,FALSE),0)</f>
        <v/>
      </c>
      <c r="L44" s="50">
        <f>F44*K44</f>
        <v/>
      </c>
      <c r="M44" s="12" t="inlineStr"/>
    </row>
    <row r="45">
      <c r="A45" s="11" t="inlineStr">
        <is>
          <t>T-2.18</t>
        </is>
      </c>
      <c r="B45" s="11" t="inlineStr">
        <is>
          <t>Sprint 2</t>
        </is>
      </c>
      <c r="C45" s="11" t="inlineStr">
        <is>
          <t>HU-012</t>
        </is>
      </c>
      <c r="D45" s="12" t="inlineStr">
        <is>
          <t>Pruebas automatizadas y ejecución de CP-043 a CP-046</t>
        </is>
      </c>
      <c r="E45" s="11" t="inlineStr">
        <is>
          <t>Matías Orellana</t>
        </is>
      </c>
      <c r="F45" s="11" t="n">
        <v>2</v>
      </c>
      <c r="G45" s="11" t="n">
        <v>2</v>
      </c>
      <c r="H45" s="48">
        <f>IF($G45=1,INDEX(SprintInicio,MATCH($B45,SprintNombres,0)),INDEX(SprintInicio,MATCH($B45,SprintNombres,0))+8-WEEKDAY(INDEX(SprintInicio,MATCH($B45,SprintNombres,0)),2))</f>
        <v/>
      </c>
      <c r="I45" s="48">
        <f>IF($G45=1,MIN(INDEX(SprintInicio,MATCH($B45,SprintNombres,0))+5-WEEKDAY(INDEX(SprintInicio,MATCH($B45,SprintNombres,0)),2),INDEX(SprintFin,MATCH($B45,SprintNombres,0))),INDEX(SprintFin,MATCH($B45,SprintNombres,0)))</f>
        <v/>
      </c>
      <c r="J45" s="49" t="inlineStr">
        <is>
          <t>Por hacer</t>
        </is>
      </c>
      <c r="K45" s="13">
        <f>IFERROR(VLOOKUP($J45,EstadosAvance,2,FALSE),0)</f>
        <v/>
      </c>
      <c r="L45" s="50">
        <f>F45*K45</f>
        <v/>
      </c>
      <c r="M45" s="12" t="inlineStr"/>
    </row>
    <row r="46">
      <c r="A46" s="11" t="inlineStr">
        <is>
          <t>T-2.19</t>
        </is>
      </c>
      <c r="B46" s="11" t="inlineStr">
        <is>
          <t>Sprint 2</t>
        </is>
      </c>
      <c r="C46" s="11" t="inlineStr">
        <is>
          <t>Transversal</t>
        </is>
      </c>
      <c r="D46" s="12" t="inlineStr">
        <is>
          <t>Validar el flujo de solicitudes con usuarios clave antes de la Sprint Review</t>
        </is>
      </c>
      <c r="E46" s="11" t="inlineStr">
        <is>
          <t>Millaray Espósito</t>
        </is>
      </c>
      <c r="F46" s="11" t="n">
        <v>2</v>
      </c>
      <c r="G46" s="11" t="n">
        <v>2</v>
      </c>
      <c r="H46" s="48">
        <f>IF($G46=1,INDEX(SprintInicio,MATCH($B46,SprintNombres,0)),INDEX(SprintInicio,MATCH($B46,SprintNombres,0))+8-WEEKDAY(INDEX(SprintInicio,MATCH($B46,SprintNombres,0)),2))</f>
        <v/>
      </c>
      <c r="I46" s="48">
        <f>IF($G46=1,MIN(INDEX(SprintInicio,MATCH($B46,SprintNombres,0))+5-WEEKDAY(INDEX(SprintInicio,MATCH($B46,SprintNombres,0)),2),INDEX(SprintFin,MATCH($B46,SprintNombres,0))),INDEX(SprintFin,MATCH($B46,SprintNombres,0)))</f>
        <v/>
      </c>
      <c r="J46" s="49" t="inlineStr">
        <is>
          <t>Por hacer</t>
        </is>
      </c>
      <c r="K46" s="13">
        <f>IFERROR(VLOOKUP($J46,EstadosAvance,2,FALSE),0)</f>
        <v/>
      </c>
      <c r="L46" s="50">
        <f>F46*K46</f>
        <v/>
      </c>
      <c r="M46" s="12" t="inlineStr"/>
    </row>
    <row r="47">
      <c r="A47" s="11" t="inlineStr">
        <is>
          <t>T-2.20</t>
        </is>
      </c>
      <c r="B47" s="11" t="inlineStr">
        <is>
          <t>Sprint 2</t>
        </is>
      </c>
      <c r="C47" s="11" t="inlineStr">
        <is>
          <t>Transversal</t>
        </is>
      </c>
      <c r="D47" s="12" t="inlineStr">
        <is>
          <t>Integrar develop en main, etiquetar v0.2.0 y preparar la demostración</t>
        </is>
      </c>
      <c r="E47" s="11" t="inlineStr">
        <is>
          <t>Matías Orellana</t>
        </is>
      </c>
      <c r="F47" s="11" t="n">
        <v>2</v>
      </c>
      <c r="G47" s="11" t="n">
        <v>2</v>
      </c>
      <c r="H47" s="48">
        <f>IF($G47=1,INDEX(SprintInicio,MATCH($B47,SprintNombres,0)),INDEX(SprintInicio,MATCH($B47,SprintNombres,0))+8-WEEKDAY(INDEX(SprintInicio,MATCH($B47,SprintNombres,0)),2))</f>
        <v/>
      </c>
      <c r="I47" s="48">
        <f>IF($G47=1,MIN(INDEX(SprintInicio,MATCH($B47,SprintNombres,0))+5-WEEKDAY(INDEX(SprintInicio,MATCH($B47,SprintNombres,0)),2),INDEX(SprintFin,MATCH($B47,SprintNombres,0))),INDEX(SprintFin,MATCH($B47,SprintNombres,0)))</f>
        <v/>
      </c>
      <c r="J47" s="49" t="inlineStr">
        <is>
          <t>Por hacer</t>
        </is>
      </c>
      <c r="K47" s="13">
        <f>IFERROR(VLOOKUP($J47,EstadosAvance,2,FALSE),0)</f>
        <v/>
      </c>
      <c r="L47" s="50">
        <f>F47*K47</f>
        <v/>
      </c>
      <c r="M47" s="12" t="inlineStr"/>
    </row>
    <row r="48">
      <c r="A48" s="11" t="inlineStr">
        <is>
          <t>T-2.21</t>
        </is>
      </c>
      <c r="B48" s="11" t="inlineStr">
        <is>
          <t>Sprint 2</t>
        </is>
      </c>
      <c r="C48" s="11" t="inlineStr">
        <is>
          <t>Transversal</t>
        </is>
      </c>
      <c r="D48" s="12" t="inlineStr">
        <is>
          <t>Actualizar la matriz de trazabilidad y el Expediente de Sprint</t>
        </is>
      </c>
      <c r="E48" s="11" t="inlineStr">
        <is>
          <t>Alexssander López</t>
        </is>
      </c>
      <c r="F48" s="11" t="n">
        <v>2</v>
      </c>
      <c r="G48" s="11" t="n">
        <v>2</v>
      </c>
      <c r="H48" s="48">
        <f>IF($G48=1,INDEX(SprintInicio,MATCH($B48,SprintNombres,0)),INDEX(SprintInicio,MATCH($B48,SprintNombres,0))+8-WEEKDAY(INDEX(SprintInicio,MATCH($B48,SprintNombres,0)),2))</f>
        <v/>
      </c>
      <c r="I48" s="48">
        <f>IF($G48=1,MIN(INDEX(SprintInicio,MATCH($B48,SprintNombres,0))+5-WEEKDAY(INDEX(SprintInicio,MATCH($B48,SprintNombres,0)),2),INDEX(SprintFin,MATCH($B48,SprintNombres,0))),INDEX(SprintFin,MATCH($B48,SprintNombres,0)))</f>
        <v/>
      </c>
      <c r="J48" s="49" t="inlineStr">
        <is>
          <t>Por hacer</t>
        </is>
      </c>
      <c r="K48" s="13">
        <f>IFERROR(VLOOKUP($J48,EstadosAvance,2,FALSE),0)</f>
        <v/>
      </c>
      <c r="L48" s="50">
        <f>F48*K48</f>
        <v/>
      </c>
      <c r="M48" s="12" t="inlineStr"/>
    </row>
    <row r="49">
      <c r="A49" s="11" t="inlineStr">
        <is>
          <t>T-3.01</t>
        </is>
      </c>
      <c r="B49" s="11" t="inlineStr">
        <is>
          <t>Sprint 3</t>
        </is>
      </c>
      <c r="C49" s="11" t="inlineStr">
        <is>
          <t>HU-015</t>
        </is>
      </c>
      <c r="D49" s="12" t="inlineStr">
        <is>
          <t>API de lectura en FastAPI con usuario de solo lectura sobre SAP HANA y respuestas JSON</t>
        </is>
      </c>
      <c r="E49" s="11" t="inlineStr">
        <is>
          <t>Alexssander López</t>
        </is>
      </c>
      <c r="F49" s="11" t="n">
        <v>4</v>
      </c>
      <c r="G49" s="11" t="n">
        <v>1</v>
      </c>
      <c r="H49" s="48">
        <f>IF($G49=1,INDEX(SprintInicio,MATCH($B49,SprintNombres,0)),INDEX(SprintInicio,MATCH($B49,SprintNombres,0))+8-WEEKDAY(INDEX(SprintInicio,MATCH($B49,SprintNombres,0)),2))</f>
        <v/>
      </c>
      <c r="I49" s="48">
        <f>IF($G49=1,MIN(INDEX(SprintInicio,MATCH($B49,SprintNombres,0))+5-WEEKDAY(INDEX(SprintInicio,MATCH($B49,SprintNombres,0)),2),INDEX(SprintFin,MATCH($B49,SprintNombres,0))),INDEX(SprintFin,MATCH($B49,SprintNombres,0)))</f>
        <v/>
      </c>
      <c r="J49" s="49" t="inlineStr">
        <is>
          <t>Por hacer</t>
        </is>
      </c>
      <c r="K49" s="13">
        <f>IFERROR(VLOOKUP($J49,EstadosAvance,2,FALSE),0)</f>
        <v/>
      </c>
      <c r="L49" s="50">
        <f>F49*K49</f>
        <v/>
      </c>
      <c r="M49" s="12" t="inlineStr"/>
    </row>
    <row r="50">
      <c r="A50" s="11" t="inlineStr">
        <is>
          <t>T-3.02</t>
        </is>
      </c>
      <c r="B50" s="11" t="inlineStr">
        <is>
          <t>Sprint 3</t>
        </is>
      </c>
      <c r="C50" s="11" t="inlineStr">
        <is>
          <t>HU-015</t>
        </is>
      </c>
      <c r="D50" s="12" t="inlineStr">
        <is>
          <t>Firma de peticiones entre la plataforma y la API, con rechazo de firmas inválidas</t>
        </is>
      </c>
      <c r="E50" s="11" t="inlineStr">
        <is>
          <t>Alexssander López</t>
        </is>
      </c>
      <c r="F50" s="11" t="n">
        <v>3</v>
      </c>
      <c r="G50" s="11" t="n">
        <v>1</v>
      </c>
      <c r="H50" s="48">
        <f>IF($G50=1,INDEX(SprintInicio,MATCH($B50,SprintNombres,0)),INDEX(SprintInicio,MATCH($B50,SprintNombres,0))+8-WEEKDAY(INDEX(SprintInicio,MATCH($B50,SprintNombres,0)),2))</f>
        <v/>
      </c>
      <c r="I50" s="48">
        <f>IF($G50=1,MIN(INDEX(SprintInicio,MATCH($B50,SprintNombres,0))+5-WEEKDAY(INDEX(SprintInicio,MATCH($B50,SprintNombres,0)),2),INDEX(SprintFin,MATCH($B50,SprintNombres,0))),INDEX(SprintFin,MATCH($B50,SprintNombres,0)))</f>
        <v/>
      </c>
      <c r="J50" s="49" t="inlineStr">
        <is>
          <t>Por hacer</t>
        </is>
      </c>
      <c r="K50" s="13">
        <f>IFERROR(VLOOKUP($J50,EstadosAvance,2,FALSE),0)</f>
        <v/>
      </c>
      <c r="L50" s="50">
        <f>F50*K50</f>
        <v/>
      </c>
      <c r="M50" s="12" t="inlineStr"/>
    </row>
    <row r="51">
      <c r="A51" s="11" t="inlineStr">
        <is>
          <t>T-3.03</t>
        </is>
      </c>
      <c r="B51" s="11" t="inlineStr">
        <is>
          <t>Sprint 3</t>
        </is>
      </c>
      <c r="C51" s="11" t="inlineStr">
        <is>
          <t>HU-015</t>
        </is>
      </c>
      <c r="D51" s="12" t="inlineStr">
        <is>
          <t>Credenciales de conexión en variables de entorno</t>
        </is>
      </c>
      <c r="E51" s="11" t="inlineStr">
        <is>
          <t>Matías Orellana</t>
        </is>
      </c>
      <c r="F51" s="11" t="n">
        <v>1</v>
      </c>
      <c r="G51" s="11" t="n">
        <v>1</v>
      </c>
      <c r="H51" s="48">
        <f>IF($G51=1,INDEX(SprintInicio,MATCH($B51,SprintNombres,0)),INDEX(SprintInicio,MATCH($B51,SprintNombres,0))+8-WEEKDAY(INDEX(SprintInicio,MATCH($B51,SprintNombres,0)),2))</f>
        <v/>
      </c>
      <c r="I51" s="48">
        <f>IF($G51=1,MIN(INDEX(SprintInicio,MATCH($B51,SprintNombres,0))+5-WEEKDAY(INDEX(SprintInicio,MATCH($B51,SprintNombres,0)),2),INDEX(SprintFin,MATCH($B51,SprintNombres,0))),INDEX(SprintFin,MATCH($B51,SprintNombres,0)))</f>
        <v/>
      </c>
      <c r="J51" s="49" t="inlineStr">
        <is>
          <t>Por hacer</t>
        </is>
      </c>
      <c r="K51" s="13">
        <f>IFERROR(VLOOKUP($J51,EstadosAvance,2,FALSE),0)</f>
        <v/>
      </c>
      <c r="L51" s="50">
        <f>F51*K51</f>
        <v/>
      </c>
      <c r="M51" s="12" t="inlineStr"/>
    </row>
    <row r="52">
      <c r="A52" s="11" t="inlineStr">
        <is>
          <t>T-3.04</t>
        </is>
      </c>
      <c r="B52" s="11" t="inlineStr">
        <is>
          <t>Sprint 3</t>
        </is>
      </c>
      <c r="C52" s="11" t="inlineStr">
        <is>
          <t>HU-015</t>
        </is>
      </c>
      <c r="D52" s="12" t="inlineStr">
        <is>
          <t>Paginación, tiempo límite, reintentos y servicio simulado con datos ficticios</t>
        </is>
      </c>
      <c r="E52" s="11" t="inlineStr">
        <is>
          <t>Matías Orellana</t>
        </is>
      </c>
      <c r="F52" s="11" t="n">
        <v>4</v>
      </c>
      <c r="G52" s="11" t="n">
        <v>1</v>
      </c>
      <c r="H52" s="48">
        <f>IF($G52=1,INDEX(SprintInicio,MATCH($B52,SprintNombres,0)),INDEX(SprintInicio,MATCH($B52,SprintNombres,0))+8-WEEKDAY(INDEX(SprintInicio,MATCH($B52,SprintNombres,0)),2))</f>
        <v/>
      </c>
      <c r="I52" s="48">
        <f>IF($G52=1,MIN(INDEX(SprintInicio,MATCH($B52,SprintNombres,0))+5-WEEKDAY(INDEX(SprintInicio,MATCH($B52,SprintNombres,0)),2),INDEX(SprintFin,MATCH($B52,SprintNombres,0))),INDEX(SprintFin,MATCH($B52,SprintNombres,0)))</f>
        <v/>
      </c>
      <c r="J52" s="49" t="inlineStr">
        <is>
          <t>Por hacer</t>
        </is>
      </c>
      <c r="K52" s="13">
        <f>IFERROR(VLOOKUP($J52,EstadosAvance,2,FALSE),0)</f>
        <v/>
      </c>
      <c r="L52" s="50">
        <f>F52*K52</f>
        <v/>
      </c>
      <c r="M52" s="12" t="inlineStr"/>
    </row>
    <row r="53">
      <c r="A53" s="11" t="inlineStr">
        <is>
          <t>T-3.05</t>
        </is>
      </c>
      <c r="B53" s="11" t="inlineStr">
        <is>
          <t>Sprint 3</t>
        </is>
      </c>
      <c r="C53" s="11" t="inlineStr">
        <is>
          <t>HU-015</t>
        </is>
      </c>
      <c r="D53" s="12" t="inlineStr">
        <is>
          <t>Registro de consultas para medir la carga sobre el ERP</t>
        </is>
      </c>
      <c r="E53" s="11" t="inlineStr">
        <is>
          <t>Matías Orellana</t>
        </is>
      </c>
      <c r="F53" s="11" t="n">
        <v>2</v>
      </c>
      <c r="G53" s="11" t="n">
        <v>1</v>
      </c>
      <c r="H53" s="48">
        <f>IF($G53=1,INDEX(SprintInicio,MATCH($B53,SprintNombres,0)),INDEX(SprintInicio,MATCH($B53,SprintNombres,0))+8-WEEKDAY(INDEX(SprintInicio,MATCH($B53,SprintNombres,0)),2))</f>
        <v/>
      </c>
      <c r="I53" s="48">
        <f>IF($G53=1,MIN(INDEX(SprintInicio,MATCH($B53,SprintNombres,0))+5-WEEKDAY(INDEX(SprintInicio,MATCH($B53,SprintNombres,0)),2),INDEX(SprintFin,MATCH($B53,SprintNombres,0))),INDEX(SprintFin,MATCH($B53,SprintNombres,0)))</f>
        <v/>
      </c>
      <c r="J53" s="49" t="inlineStr">
        <is>
          <t>Por hacer</t>
        </is>
      </c>
      <c r="K53" s="13">
        <f>IFERROR(VLOOKUP($J53,EstadosAvance,2,FALSE),0)</f>
        <v/>
      </c>
      <c r="L53" s="50">
        <f>F53*K53</f>
        <v/>
      </c>
      <c r="M53" s="12" t="inlineStr"/>
    </row>
    <row r="54">
      <c r="A54" s="11" t="inlineStr">
        <is>
          <t>T-3.06</t>
        </is>
      </c>
      <c r="B54" s="11" t="inlineStr">
        <is>
          <t>Sprint 3</t>
        </is>
      </c>
      <c r="C54" s="11" t="inlineStr">
        <is>
          <t>HU-015</t>
        </is>
      </c>
      <c r="D54" s="12" t="inlineStr">
        <is>
          <t>Pruebas, medición de tiempos y ejecución de CP-055 a CP-058</t>
        </is>
      </c>
      <c r="E54" s="11" t="inlineStr">
        <is>
          <t>Matías Orellana</t>
        </is>
      </c>
      <c r="F54" s="11" t="n">
        <v>2</v>
      </c>
      <c r="G54" s="11" t="n">
        <v>1</v>
      </c>
      <c r="H54" s="48">
        <f>IF($G54=1,INDEX(SprintInicio,MATCH($B54,SprintNombres,0)),INDEX(SprintInicio,MATCH($B54,SprintNombres,0))+8-WEEKDAY(INDEX(SprintInicio,MATCH($B54,SprintNombres,0)),2))</f>
        <v/>
      </c>
      <c r="I54" s="48">
        <f>IF($G54=1,MIN(INDEX(SprintInicio,MATCH($B54,SprintNombres,0))+5-WEEKDAY(INDEX(SprintInicio,MATCH($B54,SprintNombres,0)),2),INDEX(SprintFin,MATCH($B54,SprintNombres,0))),INDEX(SprintFin,MATCH($B54,SprintNombres,0)))</f>
        <v/>
      </c>
      <c r="J54" s="49" t="inlineStr">
        <is>
          <t>Por hacer</t>
        </is>
      </c>
      <c r="K54" s="13">
        <f>IFERROR(VLOOKUP($J54,EstadosAvance,2,FALSE),0)</f>
        <v/>
      </c>
      <c r="L54" s="50">
        <f>F54*K54</f>
        <v/>
      </c>
      <c r="M54" s="12" t="inlineStr"/>
    </row>
    <row r="55">
      <c r="A55" s="11" t="inlineStr">
        <is>
          <t>T-3.07</t>
        </is>
      </c>
      <c r="B55" s="11" t="inlineStr">
        <is>
          <t>Sprint 3</t>
        </is>
      </c>
      <c r="C55" s="11" t="inlineStr">
        <is>
          <t>HU-008</t>
        </is>
      </c>
      <c r="D55" s="12" t="inlineStr">
        <is>
          <t>Cliente de la API en la plataforma para productos, stock y clientes de la empresa activa</t>
        </is>
      </c>
      <c r="E55" s="11" t="inlineStr">
        <is>
          <t>Alexssander López</t>
        </is>
      </c>
      <c r="F55" s="11" t="n">
        <v>3</v>
      </c>
      <c r="G55" s="11" t="n">
        <v>1</v>
      </c>
      <c r="H55" s="48">
        <f>IF($G55=1,INDEX(SprintInicio,MATCH($B55,SprintNombres,0)),INDEX(SprintInicio,MATCH($B55,SprintNombres,0))+8-WEEKDAY(INDEX(SprintInicio,MATCH($B55,SprintNombres,0)),2))</f>
        <v/>
      </c>
      <c r="I55" s="48">
        <f>IF($G55=1,MIN(INDEX(SprintInicio,MATCH($B55,SprintNombres,0))+5-WEEKDAY(INDEX(SprintInicio,MATCH($B55,SprintNombres,0)),2),INDEX(SprintFin,MATCH($B55,SprintNombres,0))),INDEX(SprintFin,MATCH($B55,SprintNombres,0)))</f>
        <v/>
      </c>
      <c r="J55" s="49" t="inlineStr">
        <is>
          <t>Por hacer</t>
        </is>
      </c>
      <c r="K55" s="13">
        <f>IFERROR(VLOOKUP($J55,EstadosAvance,2,FALSE),0)</f>
        <v/>
      </c>
      <c r="L55" s="50">
        <f>F55*K55</f>
        <v/>
      </c>
      <c r="M55" s="12" t="inlineStr"/>
    </row>
    <row r="56">
      <c r="A56" s="11" t="inlineStr">
        <is>
          <t>T-3.08</t>
        </is>
      </c>
      <c r="B56" s="11" t="inlineStr">
        <is>
          <t>Sprint 3</t>
        </is>
      </c>
      <c r="C56" s="11" t="inlineStr">
        <is>
          <t>HU-008</t>
        </is>
      </c>
      <c r="D56" s="12" t="inlineStr">
        <is>
          <t>Pantallas de consulta de productos y stock</t>
        </is>
      </c>
      <c r="E56" s="11" t="inlineStr">
        <is>
          <t>Millaray Espósito</t>
        </is>
      </c>
      <c r="F56" s="11" t="n">
        <v>3</v>
      </c>
      <c r="G56" s="11" t="n">
        <v>1</v>
      </c>
      <c r="H56" s="48">
        <f>IF($G56=1,INDEX(SprintInicio,MATCH($B56,SprintNombres,0)),INDEX(SprintInicio,MATCH($B56,SprintNombres,0))+8-WEEKDAY(INDEX(SprintInicio,MATCH($B56,SprintNombres,0)),2))</f>
        <v/>
      </c>
      <c r="I56" s="48">
        <f>IF($G56=1,MIN(INDEX(SprintInicio,MATCH($B56,SprintNombres,0))+5-WEEKDAY(INDEX(SprintInicio,MATCH($B56,SprintNombres,0)),2),INDEX(SprintFin,MATCH($B56,SprintNombres,0))),INDEX(SprintFin,MATCH($B56,SprintNombres,0)))</f>
        <v/>
      </c>
      <c r="J56" s="49" t="inlineStr">
        <is>
          <t>Por hacer</t>
        </is>
      </c>
      <c r="K56" s="13">
        <f>IFERROR(VLOOKUP($J56,EstadosAvance,2,FALSE),0)</f>
        <v/>
      </c>
      <c r="L56" s="50">
        <f>F56*K56</f>
        <v/>
      </c>
      <c r="M56" s="12" t="inlineStr"/>
    </row>
    <row r="57">
      <c r="A57" s="11" t="inlineStr">
        <is>
          <t>T-3.09</t>
        </is>
      </c>
      <c r="B57" s="11" t="inlineStr">
        <is>
          <t>Sprint 3</t>
        </is>
      </c>
      <c r="C57" s="11" t="inlineStr">
        <is>
          <t>HU-008</t>
        </is>
      </c>
      <c r="D57" s="12" t="inlineStr">
        <is>
          <t>Consulta de clientes con crédito y bloqueo, según la cartera del vendedor o asistente</t>
        </is>
      </c>
      <c r="E57" s="11" t="inlineStr">
        <is>
          <t>Millaray Espósito</t>
        </is>
      </c>
      <c r="F57" s="11" t="n">
        <v>3</v>
      </c>
      <c r="G57" s="11" t="n">
        <v>1</v>
      </c>
      <c r="H57" s="48">
        <f>IF($G57=1,INDEX(SprintInicio,MATCH($B57,SprintNombres,0)),INDEX(SprintInicio,MATCH($B57,SprintNombres,0))+8-WEEKDAY(INDEX(SprintInicio,MATCH($B57,SprintNombres,0)),2))</f>
        <v/>
      </c>
      <c r="I57" s="48">
        <f>IF($G57=1,MIN(INDEX(SprintInicio,MATCH($B57,SprintNombres,0))+5-WEEKDAY(INDEX(SprintInicio,MATCH($B57,SprintNombres,0)),2),INDEX(SprintFin,MATCH($B57,SprintNombres,0))),INDEX(SprintFin,MATCH($B57,SprintNombres,0)))</f>
        <v/>
      </c>
      <c r="J57" s="49" t="inlineStr">
        <is>
          <t>Por hacer</t>
        </is>
      </c>
      <c r="K57" s="13">
        <f>IFERROR(VLOOKUP($J57,EstadosAvance,2,FALSE),0)</f>
        <v/>
      </c>
      <c r="L57" s="50">
        <f>F57*K57</f>
        <v/>
      </c>
      <c r="M57" s="12" t="inlineStr"/>
    </row>
    <row r="58">
      <c r="A58" s="11" t="inlineStr">
        <is>
          <t>T-3.10</t>
        </is>
      </c>
      <c r="B58" s="11" t="inlineStr">
        <is>
          <t>Sprint 3</t>
        </is>
      </c>
      <c r="C58" s="11" t="inlineStr">
        <is>
          <t>HU-008</t>
        </is>
      </c>
      <c r="D58" s="12" t="inlineStr">
        <is>
          <t>Indicador visible de cliente bloqueado</t>
        </is>
      </c>
      <c r="E58" s="11" t="inlineStr">
        <is>
          <t>Millaray Espósito</t>
        </is>
      </c>
      <c r="F58" s="11" t="n">
        <v>1</v>
      </c>
      <c r="G58" s="11" t="n">
        <v>1</v>
      </c>
      <c r="H58" s="48">
        <f>IF($G58=1,INDEX(SprintInicio,MATCH($B58,SprintNombres,0)),INDEX(SprintInicio,MATCH($B58,SprintNombres,0))+8-WEEKDAY(INDEX(SprintInicio,MATCH($B58,SprintNombres,0)),2))</f>
        <v/>
      </c>
      <c r="I58" s="48">
        <f>IF($G58=1,MIN(INDEX(SprintInicio,MATCH($B58,SprintNombres,0))+5-WEEKDAY(INDEX(SprintInicio,MATCH($B58,SprintNombres,0)),2),INDEX(SprintFin,MATCH($B58,SprintNombres,0))),INDEX(SprintFin,MATCH($B58,SprintNombres,0)))</f>
        <v/>
      </c>
      <c r="J58" s="49" t="inlineStr">
        <is>
          <t>Por hacer</t>
        </is>
      </c>
      <c r="K58" s="13">
        <f>IFERROR(VLOOKUP($J58,EstadosAvance,2,FALSE),0)</f>
        <v/>
      </c>
      <c r="L58" s="50">
        <f>F58*K58</f>
        <v/>
      </c>
      <c r="M58" s="12" t="inlineStr"/>
    </row>
    <row r="59">
      <c r="A59" s="11" t="inlineStr">
        <is>
          <t>T-3.11</t>
        </is>
      </c>
      <c r="B59" s="11" t="inlineStr">
        <is>
          <t>Sprint 3</t>
        </is>
      </c>
      <c r="C59" s="11" t="inlineStr">
        <is>
          <t>HU-008</t>
        </is>
      </c>
      <c r="D59" s="12" t="inlineStr">
        <is>
          <t>Pruebas automatizadas y ejecución de CP-027 a CP-030</t>
        </is>
      </c>
      <c r="E59" s="11" t="inlineStr">
        <is>
          <t>Matías Orellana</t>
        </is>
      </c>
      <c r="F59" s="11" t="n">
        <v>2</v>
      </c>
      <c r="G59" s="11" t="n">
        <v>1</v>
      </c>
      <c r="H59" s="48">
        <f>IF($G59=1,INDEX(SprintInicio,MATCH($B59,SprintNombres,0)),INDEX(SprintInicio,MATCH($B59,SprintNombres,0))+8-WEEKDAY(INDEX(SprintInicio,MATCH($B59,SprintNombres,0)),2))</f>
        <v/>
      </c>
      <c r="I59" s="48">
        <f>IF($G59=1,MIN(INDEX(SprintInicio,MATCH($B59,SprintNombres,0))+5-WEEKDAY(INDEX(SprintInicio,MATCH($B59,SprintNombres,0)),2),INDEX(SprintFin,MATCH($B59,SprintNombres,0))),INDEX(SprintFin,MATCH($B59,SprintNombres,0)))</f>
        <v/>
      </c>
      <c r="J59" s="49" t="inlineStr">
        <is>
          <t>Por hacer</t>
        </is>
      </c>
      <c r="K59" s="13">
        <f>IFERROR(VLOOKUP($J59,EstadosAvance,2,FALSE),0)</f>
        <v/>
      </c>
      <c r="L59" s="50">
        <f>F59*K59</f>
        <v/>
      </c>
      <c r="M59" s="12" t="inlineStr"/>
    </row>
    <row r="60">
      <c r="A60" s="11" t="inlineStr">
        <is>
          <t>T-3.12</t>
        </is>
      </c>
      <c r="B60" s="11" t="inlineStr">
        <is>
          <t>Sprint 3</t>
        </is>
      </c>
      <c r="C60" s="11" t="inlineStr">
        <is>
          <t>HU-009</t>
        </is>
      </c>
      <c r="D60" s="12" t="inlineStr">
        <is>
          <t>Modelos de cotización y líneas, con sus migraciones</t>
        </is>
      </c>
      <c r="E60" s="11" t="inlineStr">
        <is>
          <t>Alexssander López</t>
        </is>
      </c>
      <c r="F60" s="11" t="n">
        <v>3</v>
      </c>
      <c r="G60" s="11" t="n">
        <v>2</v>
      </c>
      <c r="H60" s="48">
        <f>IF($G60=1,INDEX(SprintInicio,MATCH($B60,SprintNombres,0)),INDEX(SprintInicio,MATCH($B60,SprintNombres,0))+8-WEEKDAY(INDEX(SprintInicio,MATCH($B60,SprintNombres,0)),2))</f>
        <v/>
      </c>
      <c r="I60" s="48">
        <f>IF($G60=1,MIN(INDEX(SprintInicio,MATCH($B60,SprintNombres,0))+5-WEEKDAY(INDEX(SprintInicio,MATCH($B60,SprintNombres,0)),2),INDEX(SprintFin,MATCH($B60,SprintNombres,0))),INDEX(SprintFin,MATCH($B60,SprintNombres,0)))</f>
        <v/>
      </c>
      <c r="J60" s="49" t="inlineStr">
        <is>
          <t>Por hacer</t>
        </is>
      </c>
      <c r="K60" s="13">
        <f>IFERROR(VLOOKUP($J60,EstadosAvance,2,FALSE),0)</f>
        <v/>
      </c>
      <c r="L60" s="50">
        <f>F60*K60</f>
        <v/>
      </c>
      <c r="M60" s="12" t="inlineStr"/>
    </row>
    <row r="61">
      <c r="A61" s="11" t="inlineStr">
        <is>
          <t>T-3.13</t>
        </is>
      </c>
      <c r="B61" s="11" t="inlineStr">
        <is>
          <t>Sprint 3</t>
        </is>
      </c>
      <c r="C61" s="11" t="inlineStr">
        <is>
          <t>HU-009</t>
        </is>
      </c>
      <c r="D61" s="12" t="inlineStr">
        <is>
          <t>Formulario de cotización con validación de cliente y líneas</t>
        </is>
      </c>
      <c r="E61" s="11" t="inlineStr">
        <is>
          <t>Millaray Espósito</t>
        </is>
      </c>
      <c r="F61" s="11" t="n">
        <v>4</v>
      </c>
      <c r="G61" s="11" t="n">
        <v>2</v>
      </c>
      <c r="H61" s="48">
        <f>IF($G61=1,INDEX(SprintInicio,MATCH($B61,SprintNombres,0)),INDEX(SprintInicio,MATCH($B61,SprintNombres,0))+8-WEEKDAY(INDEX(SprintInicio,MATCH($B61,SprintNombres,0)),2))</f>
        <v/>
      </c>
      <c r="I61" s="48">
        <f>IF($G61=1,MIN(INDEX(SprintInicio,MATCH($B61,SprintNombres,0))+5-WEEKDAY(INDEX(SprintInicio,MATCH($B61,SprintNombres,0)),2),INDEX(SprintFin,MATCH($B61,SprintNombres,0))),INDEX(SprintFin,MATCH($B61,SprintNombres,0)))</f>
        <v/>
      </c>
      <c r="J61" s="49" t="inlineStr">
        <is>
          <t>Por hacer</t>
        </is>
      </c>
      <c r="K61" s="13">
        <f>IFERROR(VLOOKUP($J61,EstadosAvance,2,FALSE),0)</f>
        <v/>
      </c>
      <c r="L61" s="50">
        <f>F61*K61</f>
        <v/>
      </c>
      <c r="M61" s="12" t="inlineStr"/>
    </row>
    <row r="62">
      <c r="A62" s="11" t="inlineStr">
        <is>
          <t>T-3.14</t>
        </is>
      </c>
      <c r="B62" s="11" t="inlineStr">
        <is>
          <t>Sprint 3</t>
        </is>
      </c>
      <c r="C62" s="11" t="inlineStr">
        <is>
          <t>HU-009</t>
        </is>
      </c>
      <c r="D62" s="12" t="inlineStr">
        <is>
          <t>Selección de SlpCode por el asistente y registro de creador y vendedor</t>
        </is>
      </c>
      <c r="E62" s="11" t="inlineStr">
        <is>
          <t>Alexssander López</t>
        </is>
      </c>
      <c r="F62" s="11" t="n">
        <v>3</v>
      </c>
      <c r="G62" s="11" t="n">
        <v>2</v>
      </c>
      <c r="H62" s="48">
        <f>IF($G62=1,INDEX(SprintInicio,MATCH($B62,SprintNombres,0)),INDEX(SprintInicio,MATCH($B62,SprintNombres,0))+8-WEEKDAY(INDEX(SprintInicio,MATCH($B62,SprintNombres,0)),2))</f>
        <v/>
      </c>
      <c r="I62" s="48">
        <f>IF($G62=1,MIN(INDEX(SprintInicio,MATCH($B62,SprintNombres,0))+5-WEEKDAY(INDEX(SprintInicio,MATCH($B62,SprintNombres,0)),2),INDEX(SprintFin,MATCH($B62,SprintNombres,0))),INDEX(SprintFin,MATCH($B62,SprintNombres,0)))</f>
        <v/>
      </c>
      <c r="J62" s="49" t="inlineStr">
        <is>
          <t>Por hacer</t>
        </is>
      </c>
      <c r="K62" s="13">
        <f>IFERROR(VLOOKUP($J62,EstadosAvance,2,FALSE),0)</f>
        <v/>
      </c>
      <c r="L62" s="50">
        <f>F62*K62</f>
        <v/>
      </c>
      <c r="M62" s="12" t="inlineStr"/>
    </row>
    <row r="63">
      <c r="A63" s="11" t="inlineStr">
        <is>
          <t>T-3.15</t>
        </is>
      </c>
      <c r="B63" s="11" t="inlineStr">
        <is>
          <t>Sprint 3</t>
        </is>
      </c>
      <c r="C63" s="11" t="inlineStr">
        <is>
          <t>HU-009</t>
        </is>
      </c>
      <c r="D63" s="12" t="inlineStr">
        <is>
          <t>Cálculo de la comisión con la escala del vendedor o la predeterminada</t>
        </is>
      </c>
      <c r="E63" s="11" t="inlineStr">
        <is>
          <t>Alexssander López</t>
        </is>
      </c>
      <c r="F63" s="11" t="n">
        <v>2</v>
      </c>
      <c r="G63" s="11" t="n">
        <v>2</v>
      </c>
      <c r="H63" s="48">
        <f>IF($G63=1,INDEX(SprintInicio,MATCH($B63,SprintNombres,0)),INDEX(SprintInicio,MATCH($B63,SprintNombres,0))+8-WEEKDAY(INDEX(SprintInicio,MATCH($B63,SprintNombres,0)),2))</f>
        <v/>
      </c>
      <c r="I63" s="48">
        <f>IF($G63=1,MIN(INDEX(SprintInicio,MATCH($B63,SprintNombres,0))+5-WEEKDAY(INDEX(SprintInicio,MATCH($B63,SprintNombres,0)),2),INDEX(SprintFin,MATCH($B63,SprintNombres,0))),INDEX(SprintFin,MATCH($B63,SprintNombres,0)))</f>
        <v/>
      </c>
      <c r="J63" s="49" t="inlineStr">
        <is>
          <t>Por hacer</t>
        </is>
      </c>
      <c r="K63" s="13">
        <f>IFERROR(VLOOKUP($J63,EstadosAvance,2,FALSE),0)</f>
        <v/>
      </c>
      <c r="L63" s="50">
        <f>F63*K63</f>
        <v/>
      </c>
      <c r="M63" s="12" t="inlineStr"/>
    </row>
    <row r="64">
      <c r="A64" s="11" t="inlineStr">
        <is>
          <t>T-3.16</t>
        </is>
      </c>
      <c r="B64" s="11" t="inlineStr">
        <is>
          <t>Sprint 3</t>
        </is>
      </c>
      <c r="C64" s="11" t="inlineStr">
        <is>
          <t>HU-009</t>
        </is>
      </c>
      <c r="D64" s="12" t="inlineStr">
        <is>
          <t>Pruebas automatizadas y ejecución de CP-031 a CP-034</t>
        </is>
      </c>
      <c r="E64" s="11" t="inlineStr">
        <is>
          <t>Matías Orellana</t>
        </is>
      </c>
      <c r="F64" s="11" t="n">
        <v>2</v>
      </c>
      <c r="G64" s="11" t="n">
        <v>2</v>
      </c>
      <c r="H64" s="48">
        <f>IF($G64=1,INDEX(SprintInicio,MATCH($B64,SprintNombres,0)),INDEX(SprintInicio,MATCH($B64,SprintNombres,0))+8-WEEKDAY(INDEX(SprintInicio,MATCH($B64,SprintNombres,0)),2))</f>
        <v/>
      </c>
      <c r="I64" s="48">
        <f>IF($G64=1,MIN(INDEX(SprintInicio,MATCH($B64,SprintNombres,0))+5-WEEKDAY(INDEX(SprintInicio,MATCH($B64,SprintNombres,0)),2),INDEX(SprintFin,MATCH($B64,SprintNombres,0))),INDEX(SprintFin,MATCH($B64,SprintNombres,0)))</f>
        <v/>
      </c>
      <c r="J64" s="49" t="inlineStr">
        <is>
          <t>Por hacer</t>
        </is>
      </c>
      <c r="K64" s="13">
        <f>IFERROR(VLOOKUP($J64,EstadosAvance,2,FALSE),0)</f>
        <v/>
      </c>
      <c r="L64" s="50">
        <f>F64*K64</f>
        <v/>
      </c>
      <c r="M64" s="12" t="inlineStr"/>
    </row>
    <row r="65">
      <c r="A65" s="11" t="inlineStr">
        <is>
          <t>T-3.17</t>
        </is>
      </c>
      <c r="B65" s="11" t="inlineStr">
        <is>
          <t>Sprint 3</t>
        </is>
      </c>
      <c r="C65" s="11" t="inlineStr">
        <is>
          <t>HU-013</t>
        </is>
      </c>
      <c r="D65" s="12" t="inlineStr">
        <is>
          <t>Notificaciones al participante ante aprobaciones, rechazos, observaciones y cambios de estado</t>
        </is>
      </c>
      <c r="E65" s="11" t="inlineStr">
        <is>
          <t>Matías Orellana</t>
        </is>
      </c>
      <c r="F65" s="11" t="n">
        <v>2</v>
      </c>
      <c r="G65" s="11" t="n">
        <v>2</v>
      </c>
      <c r="H65" s="48">
        <f>IF($G65=1,INDEX(SprintInicio,MATCH($B65,SprintNombres,0)),INDEX(SprintInicio,MATCH($B65,SprintNombres,0))+8-WEEKDAY(INDEX(SprintInicio,MATCH($B65,SprintNombres,0)),2))</f>
        <v/>
      </c>
      <c r="I65" s="48">
        <f>IF($G65=1,MIN(INDEX(SprintInicio,MATCH($B65,SprintNombres,0))+5-WEEKDAY(INDEX(SprintInicio,MATCH($B65,SprintNombres,0)),2),INDEX(SprintFin,MATCH($B65,SprintNombres,0))),INDEX(SprintFin,MATCH($B65,SprintNombres,0)))</f>
        <v/>
      </c>
      <c r="J65" s="49" t="inlineStr">
        <is>
          <t>Por hacer</t>
        </is>
      </c>
      <c r="K65" s="13">
        <f>IFERROR(VLOOKUP($J65,EstadosAvance,2,FALSE),0)</f>
        <v/>
      </c>
      <c r="L65" s="50">
        <f>F65*K65</f>
        <v/>
      </c>
      <c r="M65" s="12" t="inlineStr"/>
    </row>
    <row r="66">
      <c r="A66" s="11" t="inlineStr">
        <is>
          <t>T-3.18</t>
        </is>
      </c>
      <c r="B66" s="11" t="inlineStr">
        <is>
          <t>Sprint 3</t>
        </is>
      </c>
      <c r="C66" s="11" t="inlineStr">
        <is>
          <t>HU-013</t>
        </is>
      </c>
      <c r="D66" s="12" t="inlineStr">
        <is>
          <t>Campana de autorizaciones de órdenes de venta</t>
        </is>
      </c>
      <c r="E66" s="11" t="inlineStr">
        <is>
          <t>Millaray Espósito</t>
        </is>
      </c>
      <c r="F66" s="11" t="n">
        <v>2</v>
      </c>
      <c r="G66" s="11" t="n">
        <v>2</v>
      </c>
      <c r="H66" s="48">
        <f>IF($G66=1,INDEX(SprintInicio,MATCH($B66,SprintNombres,0)),INDEX(SprintInicio,MATCH($B66,SprintNombres,0))+8-WEEKDAY(INDEX(SprintInicio,MATCH($B66,SprintNombres,0)),2))</f>
        <v/>
      </c>
      <c r="I66" s="48">
        <f>IF($G66=1,MIN(INDEX(SprintInicio,MATCH($B66,SprintNombres,0))+5-WEEKDAY(INDEX(SprintInicio,MATCH($B66,SprintNombres,0)),2),INDEX(SprintFin,MATCH($B66,SprintNombres,0))),INDEX(SprintFin,MATCH($B66,SprintNombres,0)))</f>
        <v/>
      </c>
      <c r="J66" s="49" t="inlineStr">
        <is>
          <t>Por hacer</t>
        </is>
      </c>
      <c r="K66" s="13">
        <f>IFERROR(VLOOKUP($J66,EstadosAvance,2,FALSE),0)</f>
        <v/>
      </c>
      <c r="L66" s="50">
        <f>F66*K66</f>
        <v/>
      </c>
      <c r="M66" s="12" t="inlineStr"/>
    </row>
    <row r="67">
      <c r="A67" s="11" t="inlineStr">
        <is>
          <t>T-3.19</t>
        </is>
      </c>
      <c r="B67" s="11" t="inlineStr">
        <is>
          <t>Sprint 3</t>
        </is>
      </c>
      <c r="C67" s="11" t="inlineStr">
        <is>
          <t>HU-013</t>
        </is>
      </c>
      <c r="D67" s="12" t="inlineStr">
        <is>
          <t>Página de notificaciones: abrir, marcar como leída, marcar todas y eliminar, con fecha de lectura</t>
        </is>
      </c>
      <c r="E67" s="11" t="inlineStr">
        <is>
          <t>Millaray Espósito</t>
        </is>
      </c>
      <c r="F67" s="11" t="n">
        <v>3</v>
      </c>
      <c r="G67" s="11" t="n">
        <v>2</v>
      </c>
      <c r="H67" s="48">
        <f>IF($G67=1,INDEX(SprintInicio,MATCH($B67,SprintNombres,0)),INDEX(SprintInicio,MATCH($B67,SprintNombres,0))+8-WEEKDAY(INDEX(SprintInicio,MATCH($B67,SprintNombres,0)),2))</f>
        <v/>
      </c>
      <c r="I67" s="48">
        <f>IF($G67=1,MIN(INDEX(SprintInicio,MATCH($B67,SprintNombres,0))+5-WEEKDAY(INDEX(SprintInicio,MATCH($B67,SprintNombres,0)),2),INDEX(SprintFin,MATCH($B67,SprintNombres,0))),INDEX(SprintFin,MATCH($B67,SprintNombres,0)))</f>
        <v/>
      </c>
      <c r="J67" s="49" t="inlineStr">
        <is>
          <t>Por hacer</t>
        </is>
      </c>
      <c r="K67" s="13">
        <f>IFERROR(VLOOKUP($J67,EstadosAvance,2,FALSE),0)</f>
        <v/>
      </c>
      <c r="L67" s="50">
        <f>F67*K67</f>
        <v/>
      </c>
      <c r="M67" s="12" t="inlineStr"/>
    </row>
    <row r="68">
      <c r="A68" s="11" t="inlineStr">
        <is>
          <t>T-3.20</t>
        </is>
      </c>
      <c r="B68" s="11" t="inlineStr">
        <is>
          <t>Sprint 3</t>
        </is>
      </c>
      <c r="C68" s="11" t="inlineStr">
        <is>
          <t>HU-013</t>
        </is>
      </c>
      <c r="D68" s="12" t="inlineStr">
        <is>
          <t>Pruebas automatizadas y ejecución de CP-047 a CP-050</t>
        </is>
      </c>
      <c r="E68" s="11" t="inlineStr">
        <is>
          <t>Alexssander López</t>
        </is>
      </c>
      <c r="F68" s="11" t="n">
        <v>2</v>
      </c>
      <c r="G68" s="11" t="n">
        <v>2</v>
      </c>
      <c r="H68" s="48">
        <f>IF($G68=1,INDEX(SprintInicio,MATCH($B68,SprintNombres,0)),INDEX(SprintInicio,MATCH($B68,SprintNombres,0))+8-WEEKDAY(INDEX(SprintInicio,MATCH($B68,SprintNombres,0)),2))</f>
        <v/>
      </c>
      <c r="I68" s="48">
        <f>IF($G68=1,MIN(INDEX(SprintInicio,MATCH($B68,SprintNombres,0))+5-WEEKDAY(INDEX(SprintInicio,MATCH($B68,SprintNombres,0)),2),INDEX(SprintFin,MATCH($B68,SprintNombres,0))),INDEX(SprintFin,MATCH($B68,SprintNombres,0)))</f>
        <v/>
      </c>
      <c r="J68" s="49" t="inlineStr">
        <is>
          <t>Por hacer</t>
        </is>
      </c>
      <c r="K68" s="13">
        <f>IFERROR(VLOOKUP($J68,EstadosAvance,2,FALSE),0)</f>
        <v/>
      </c>
      <c r="L68" s="50">
        <f>F68*K68</f>
        <v/>
      </c>
      <c r="M68" s="12" t="inlineStr"/>
    </row>
    <row r="69">
      <c r="A69" s="11" t="inlineStr">
        <is>
          <t>T-3.21</t>
        </is>
      </c>
      <c r="B69" s="11" t="inlineStr">
        <is>
          <t>Sprint 3</t>
        </is>
      </c>
      <c r="C69" s="11" t="inlineStr">
        <is>
          <t>Transversal</t>
        </is>
      </c>
      <c r="D69" s="12" t="inlineStr">
        <is>
          <t>Pruebas de regresión de los módulos de usuarios y solicitudes</t>
        </is>
      </c>
      <c r="E69" s="11" t="inlineStr">
        <is>
          <t>Matías Orellana</t>
        </is>
      </c>
      <c r="F69" s="11" t="n">
        <v>2</v>
      </c>
      <c r="G69" s="11" t="n">
        <v>2</v>
      </c>
      <c r="H69" s="48">
        <f>IF($G69=1,INDEX(SprintInicio,MATCH($B69,SprintNombres,0)),INDEX(SprintInicio,MATCH($B69,SprintNombres,0))+8-WEEKDAY(INDEX(SprintInicio,MATCH($B69,SprintNombres,0)),2))</f>
        <v/>
      </c>
      <c r="I69" s="48">
        <f>IF($G69=1,MIN(INDEX(SprintInicio,MATCH($B69,SprintNombres,0))+5-WEEKDAY(INDEX(SprintInicio,MATCH($B69,SprintNombres,0)),2),INDEX(SprintFin,MATCH($B69,SprintNombres,0))),INDEX(SprintFin,MATCH($B69,SprintNombres,0)))</f>
        <v/>
      </c>
      <c r="J69" s="49" t="inlineStr">
        <is>
          <t>Por hacer</t>
        </is>
      </c>
      <c r="K69" s="13">
        <f>IFERROR(VLOOKUP($J69,EstadosAvance,2,FALSE),0)</f>
        <v/>
      </c>
      <c r="L69" s="50">
        <f>F69*K69</f>
        <v/>
      </c>
      <c r="M69" s="12" t="inlineStr"/>
    </row>
    <row r="70">
      <c r="A70" s="11" t="inlineStr">
        <is>
          <t>T-3.22</t>
        </is>
      </c>
      <c r="B70" s="11" t="inlineStr">
        <is>
          <t>Sprint 3</t>
        </is>
      </c>
      <c r="C70" s="11" t="inlineStr">
        <is>
          <t>Transversal</t>
        </is>
      </c>
      <c r="D70" s="12" t="inlineStr">
        <is>
          <t>Validar consultas y cotizaciones con la Jefatura Comercial y los ejecutivos comerciales</t>
        </is>
      </c>
      <c r="E70" s="11" t="inlineStr">
        <is>
          <t>Alexssander López</t>
        </is>
      </c>
      <c r="F70" s="11" t="n">
        <v>2</v>
      </c>
      <c r="G70" s="11" t="n">
        <v>2</v>
      </c>
      <c r="H70" s="48">
        <f>IF($G70=1,INDEX(SprintInicio,MATCH($B70,SprintNombres,0)),INDEX(SprintInicio,MATCH($B70,SprintNombres,0))+8-WEEKDAY(INDEX(SprintInicio,MATCH($B70,SprintNombres,0)),2))</f>
        <v/>
      </c>
      <c r="I70" s="48">
        <f>IF($G70=1,MIN(INDEX(SprintInicio,MATCH($B70,SprintNombres,0))+5-WEEKDAY(INDEX(SprintInicio,MATCH($B70,SprintNombres,0)),2),INDEX(SprintFin,MATCH($B70,SprintNombres,0))),INDEX(SprintFin,MATCH($B70,SprintNombres,0)))</f>
        <v/>
      </c>
      <c r="J70" s="49" t="inlineStr">
        <is>
          <t>Por hacer</t>
        </is>
      </c>
      <c r="K70" s="13">
        <f>IFERROR(VLOOKUP($J70,EstadosAvance,2,FALSE),0)</f>
        <v/>
      </c>
      <c r="L70" s="50">
        <f>F70*K70</f>
        <v/>
      </c>
      <c r="M70" s="12" t="inlineStr"/>
    </row>
    <row r="71">
      <c r="A71" s="11" t="inlineStr">
        <is>
          <t>T-3.23</t>
        </is>
      </c>
      <c r="B71" s="11" t="inlineStr">
        <is>
          <t>Sprint 3</t>
        </is>
      </c>
      <c r="C71" s="11" t="inlineStr">
        <is>
          <t>Transversal</t>
        </is>
      </c>
      <c r="D71" s="12" t="inlineStr">
        <is>
          <t>Integrar develop en main, etiquetar v0.3.0 y preparar la demostración</t>
        </is>
      </c>
      <c r="E71" s="11" t="inlineStr">
        <is>
          <t>Millaray Espósito</t>
        </is>
      </c>
      <c r="F71" s="11" t="n">
        <v>2</v>
      </c>
      <c r="G71" s="11" t="n">
        <v>2</v>
      </c>
      <c r="H71" s="48">
        <f>IF($G71=1,INDEX(SprintInicio,MATCH($B71,SprintNombres,0)),INDEX(SprintInicio,MATCH($B71,SprintNombres,0))+8-WEEKDAY(INDEX(SprintInicio,MATCH($B71,SprintNombres,0)),2))</f>
        <v/>
      </c>
      <c r="I71" s="48">
        <f>IF($G71=1,MIN(INDEX(SprintInicio,MATCH($B71,SprintNombres,0))+5-WEEKDAY(INDEX(SprintInicio,MATCH($B71,SprintNombres,0)),2),INDEX(SprintFin,MATCH($B71,SprintNombres,0))),INDEX(SprintFin,MATCH($B71,SprintNombres,0)))</f>
        <v/>
      </c>
      <c r="J71" s="49" t="inlineStr">
        <is>
          <t>Por hacer</t>
        </is>
      </c>
      <c r="K71" s="13">
        <f>IFERROR(VLOOKUP($J71,EstadosAvance,2,FALSE),0)</f>
        <v/>
      </c>
      <c r="L71" s="50">
        <f>F71*K71</f>
        <v/>
      </c>
      <c r="M71" s="12" t="inlineStr"/>
    </row>
    <row r="72">
      <c r="A72" s="11" t="inlineStr">
        <is>
          <t>T-3.24</t>
        </is>
      </c>
      <c r="B72" s="11" t="inlineStr">
        <is>
          <t>Sprint 3</t>
        </is>
      </c>
      <c r="C72" s="11" t="inlineStr">
        <is>
          <t>Transversal</t>
        </is>
      </c>
      <c r="D72" s="12" t="inlineStr">
        <is>
          <t>Actualizar la matriz de trazabilidad y el Expediente de Sprint</t>
        </is>
      </c>
      <c r="E72" s="11" t="inlineStr">
        <is>
          <t>Matías Orellana</t>
        </is>
      </c>
      <c r="F72" s="11" t="n">
        <v>2</v>
      </c>
      <c r="G72" s="11" t="n">
        <v>2</v>
      </c>
      <c r="H72" s="48">
        <f>IF($G72=1,INDEX(SprintInicio,MATCH($B72,SprintNombres,0)),INDEX(SprintInicio,MATCH($B72,SprintNombres,0))+8-WEEKDAY(INDEX(SprintInicio,MATCH($B72,SprintNombres,0)),2))</f>
        <v/>
      </c>
      <c r="I72" s="48">
        <f>IF($G72=1,MIN(INDEX(SprintInicio,MATCH($B72,SprintNombres,0))+5-WEEKDAY(INDEX(SprintInicio,MATCH($B72,SprintNombres,0)),2),INDEX(SprintFin,MATCH($B72,SprintNombres,0))),INDEX(SprintFin,MATCH($B72,SprintNombres,0)))</f>
        <v/>
      </c>
      <c r="J72" s="49" t="inlineStr">
        <is>
          <t>Por hacer</t>
        </is>
      </c>
      <c r="K72" s="13">
        <f>IFERROR(VLOOKUP($J72,EstadosAvance,2,FALSE),0)</f>
        <v/>
      </c>
      <c r="L72" s="50">
        <f>F72*K72</f>
        <v/>
      </c>
      <c r="M72" s="12" t="inlineStr"/>
    </row>
    <row r="73">
      <c r="A73" s="11" t="inlineStr">
        <is>
          <t>T-4.01</t>
        </is>
      </c>
      <c r="B73" s="11" t="inlineStr">
        <is>
          <t>Sprint 4</t>
        </is>
      </c>
      <c r="C73" s="11" t="inlineStr">
        <is>
          <t>HU-010</t>
        </is>
      </c>
      <c r="D73" s="12" t="inlineStr">
        <is>
          <t>Generación de la cotización en formato imprimible o descargable</t>
        </is>
      </c>
      <c r="E73" s="11" t="inlineStr">
        <is>
          <t>Millaray Espósito</t>
        </is>
      </c>
      <c r="F73" s="11" t="n">
        <v>3</v>
      </c>
      <c r="G73" s="11" t="n">
        <v>1</v>
      </c>
      <c r="H73" s="48">
        <f>IF($G73=1,INDEX(SprintInicio,MATCH($B73,SprintNombres,0)),INDEX(SprintInicio,MATCH($B73,SprintNombres,0))+8-WEEKDAY(INDEX(SprintInicio,MATCH($B73,SprintNombres,0)),2))</f>
        <v/>
      </c>
      <c r="I73" s="48">
        <f>IF($G73=1,MIN(INDEX(SprintInicio,MATCH($B73,SprintNombres,0))+5-WEEKDAY(INDEX(SprintInicio,MATCH($B73,SprintNombres,0)),2),INDEX(SprintFin,MATCH($B73,SprintNombres,0))),INDEX(SprintFin,MATCH($B73,SprintNombres,0)))</f>
        <v/>
      </c>
      <c r="J73" s="49" t="inlineStr">
        <is>
          <t>Por hacer</t>
        </is>
      </c>
      <c r="K73" s="13">
        <f>IFERROR(VLOOKUP($J73,EstadosAvance,2,FALSE),0)</f>
        <v/>
      </c>
      <c r="L73" s="50">
        <f>F73*K73</f>
        <v/>
      </c>
      <c r="M73" s="12" t="inlineStr"/>
    </row>
    <row r="74">
      <c r="A74" s="11" t="inlineStr">
        <is>
          <t>T-4.02</t>
        </is>
      </c>
      <c r="B74" s="11" t="inlineStr">
        <is>
          <t>Sprint 4</t>
        </is>
      </c>
      <c r="C74" s="11" t="inlineStr">
        <is>
          <t>HU-010</t>
        </is>
      </c>
      <c r="D74" s="12" t="inlineStr">
        <is>
          <t>Conversión de la cotización aceptada en solicitud de orden de venta, con su vínculo</t>
        </is>
      </c>
      <c r="E74" s="11" t="inlineStr">
        <is>
          <t>Alexssander López</t>
        </is>
      </c>
      <c r="F74" s="11" t="n">
        <v>3</v>
      </c>
      <c r="G74" s="11" t="n">
        <v>1</v>
      </c>
      <c r="H74" s="48">
        <f>IF($G74=1,INDEX(SprintInicio,MATCH($B74,SprintNombres,0)),INDEX(SprintInicio,MATCH($B74,SprintNombres,0))+8-WEEKDAY(INDEX(SprintInicio,MATCH($B74,SprintNombres,0)),2))</f>
        <v/>
      </c>
      <c r="I74" s="48">
        <f>IF($G74=1,MIN(INDEX(SprintInicio,MATCH($B74,SprintNombres,0))+5-WEEKDAY(INDEX(SprintInicio,MATCH($B74,SprintNombres,0)),2),INDEX(SprintFin,MATCH($B74,SprintNombres,0))),INDEX(SprintFin,MATCH($B74,SprintNombres,0)))</f>
        <v/>
      </c>
      <c r="J74" s="49" t="inlineStr">
        <is>
          <t>Por hacer</t>
        </is>
      </c>
      <c r="K74" s="13">
        <f>IFERROR(VLOOKUP($J74,EstadosAvance,2,FALSE),0)</f>
        <v/>
      </c>
      <c r="L74" s="50">
        <f>F74*K74</f>
        <v/>
      </c>
      <c r="M74" s="12" t="inlineStr"/>
    </row>
    <row r="75">
      <c r="A75" s="11" t="inlineStr">
        <is>
          <t>T-4.03</t>
        </is>
      </c>
      <c r="B75" s="11" t="inlineStr">
        <is>
          <t>Sprint 4</t>
        </is>
      </c>
      <c r="C75" s="11" t="inlineStr">
        <is>
          <t>HU-010</t>
        </is>
      </c>
      <c r="D75" s="12" t="inlineStr">
        <is>
          <t>Validación de cotización abierta y aceptada, y bloqueo por cliente bloqueado</t>
        </is>
      </c>
      <c r="E75" s="11" t="inlineStr">
        <is>
          <t>Alexssander López</t>
        </is>
      </c>
      <c r="F75" s="11" t="n">
        <v>2</v>
      </c>
      <c r="G75" s="11" t="n">
        <v>1</v>
      </c>
      <c r="H75" s="48">
        <f>IF($G75=1,INDEX(SprintInicio,MATCH($B75,SprintNombres,0)),INDEX(SprintInicio,MATCH($B75,SprintNombres,0))+8-WEEKDAY(INDEX(SprintInicio,MATCH($B75,SprintNombres,0)),2))</f>
        <v/>
      </c>
      <c r="I75" s="48">
        <f>IF($G75=1,MIN(INDEX(SprintInicio,MATCH($B75,SprintNombres,0))+5-WEEKDAY(INDEX(SprintInicio,MATCH($B75,SprintNombres,0)),2),INDEX(SprintFin,MATCH($B75,SprintNombres,0))),INDEX(SprintFin,MATCH($B75,SprintNombres,0)))</f>
        <v/>
      </c>
      <c r="J75" s="49" t="inlineStr">
        <is>
          <t>Por hacer</t>
        </is>
      </c>
      <c r="K75" s="13">
        <f>IFERROR(VLOOKUP($J75,EstadosAvance,2,FALSE),0)</f>
        <v/>
      </c>
      <c r="L75" s="50">
        <f>F75*K75</f>
        <v/>
      </c>
      <c r="M75" s="12" t="inlineStr"/>
    </row>
    <row r="76">
      <c r="A76" s="11" t="inlineStr">
        <is>
          <t>T-4.04</t>
        </is>
      </c>
      <c r="B76" s="11" t="inlineStr">
        <is>
          <t>Sprint 4</t>
        </is>
      </c>
      <c r="C76" s="11" t="inlineStr">
        <is>
          <t>HU-010</t>
        </is>
      </c>
      <c r="D76" s="12" t="inlineStr">
        <is>
          <t>Pruebas automatizadas y ejecución de CP-035 a CP-038</t>
        </is>
      </c>
      <c r="E76" s="11" t="inlineStr">
        <is>
          <t>Matías Orellana</t>
        </is>
      </c>
      <c r="F76" s="11" t="n">
        <v>2</v>
      </c>
      <c r="G76" s="11" t="n">
        <v>1</v>
      </c>
      <c r="H76" s="48">
        <f>IF($G76=1,INDEX(SprintInicio,MATCH($B76,SprintNombres,0)),INDEX(SprintInicio,MATCH($B76,SprintNombres,0))+8-WEEKDAY(INDEX(SprintInicio,MATCH($B76,SprintNombres,0)),2))</f>
        <v/>
      </c>
      <c r="I76" s="48">
        <f>IF($G76=1,MIN(INDEX(SprintInicio,MATCH($B76,SprintNombres,0))+5-WEEKDAY(INDEX(SprintInicio,MATCH($B76,SprintNombres,0)),2),INDEX(SprintFin,MATCH($B76,SprintNombres,0))),INDEX(SprintFin,MATCH($B76,SprintNombres,0)))</f>
        <v/>
      </c>
      <c r="J76" s="49" t="inlineStr">
        <is>
          <t>Por hacer</t>
        </is>
      </c>
      <c r="K76" s="13">
        <f>IFERROR(VLOOKUP($J76,EstadosAvance,2,FALSE),0)</f>
        <v/>
      </c>
      <c r="L76" s="50">
        <f>F76*K76</f>
        <v/>
      </c>
      <c r="M76" s="12" t="inlineStr"/>
    </row>
    <row r="77">
      <c r="A77" s="11" t="inlineStr">
        <is>
          <t>T-4.05</t>
        </is>
      </c>
      <c r="B77" s="11" t="inlineStr">
        <is>
          <t>Sprint 4</t>
        </is>
      </c>
      <c r="C77" s="11" t="inlineStr">
        <is>
          <t>HU-016</t>
        </is>
      </c>
      <c r="D77" s="12" t="inlineStr">
        <is>
          <t>Cliente de Service Layer y servicio simulado equivalente</t>
        </is>
      </c>
      <c r="E77" s="11" t="inlineStr">
        <is>
          <t>Alexssander López</t>
        </is>
      </c>
      <c r="F77" s="11" t="n">
        <v>5</v>
      </c>
      <c r="G77" s="11" t="n">
        <v>1</v>
      </c>
      <c r="H77" s="48">
        <f>IF($G77=1,INDEX(SprintInicio,MATCH($B77,SprintNombres,0)),INDEX(SprintInicio,MATCH($B77,SprintNombres,0))+8-WEEKDAY(INDEX(SprintInicio,MATCH($B77,SprintNombres,0)),2))</f>
        <v/>
      </c>
      <c r="I77" s="48">
        <f>IF($G77=1,MIN(INDEX(SprintInicio,MATCH($B77,SprintNombres,0))+5-WEEKDAY(INDEX(SprintInicio,MATCH($B77,SprintNombres,0)),2),INDEX(SprintFin,MATCH($B77,SprintNombres,0))),INDEX(SprintFin,MATCH($B77,SprintNombres,0)))</f>
        <v/>
      </c>
      <c r="J77" s="49" t="inlineStr">
        <is>
          <t>Por hacer</t>
        </is>
      </c>
      <c r="K77" s="13">
        <f>IFERROR(VLOOKUP($J77,EstadosAvance,2,FALSE),0)</f>
        <v/>
      </c>
      <c r="L77" s="50">
        <f>F77*K77</f>
        <v/>
      </c>
      <c r="M77" s="12" t="inlineStr"/>
    </row>
    <row r="78">
      <c r="A78" s="11" t="inlineStr">
        <is>
          <t>T-4.06</t>
        </is>
      </c>
      <c r="B78" s="11" t="inlineStr">
        <is>
          <t>Sprint 4</t>
        </is>
      </c>
      <c r="C78" s="11" t="inlineStr">
        <is>
          <t>HU-016</t>
        </is>
      </c>
      <c r="D78" s="12" t="inlineStr">
        <is>
          <t>Validación de autorización registrada antes de cada envío</t>
        </is>
      </c>
      <c r="E78" s="11" t="inlineStr">
        <is>
          <t>Matías Orellana</t>
        </is>
      </c>
      <c r="F78" s="11" t="n">
        <v>2</v>
      </c>
      <c r="G78" s="11" t="n">
        <v>1</v>
      </c>
      <c r="H78" s="48">
        <f>IF($G78=1,INDEX(SprintInicio,MATCH($B78,SprintNombres,0)),INDEX(SprintInicio,MATCH($B78,SprintNombres,0))+8-WEEKDAY(INDEX(SprintInicio,MATCH($B78,SprintNombres,0)),2))</f>
        <v/>
      </c>
      <c r="I78" s="48">
        <f>IF($G78=1,MIN(INDEX(SprintInicio,MATCH($B78,SprintNombres,0))+5-WEEKDAY(INDEX(SprintInicio,MATCH($B78,SprintNombres,0)),2),INDEX(SprintFin,MATCH($B78,SprintNombres,0))),INDEX(SprintFin,MATCH($B78,SprintNombres,0)))</f>
        <v/>
      </c>
      <c r="J78" s="49" t="inlineStr">
        <is>
          <t>Por hacer</t>
        </is>
      </c>
      <c r="K78" s="13">
        <f>IFERROR(VLOOKUP($J78,EstadosAvance,2,FALSE),0)</f>
        <v/>
      </c>
      <c r="L78" s="50">
        <f>F78*K78</f>
        <v/>
      </c>
      <c r="M78" s="12" t="inlineStr"/>
    </row>
    <row r="79">
      <c r="A79" s="11" t="inlineStr">
        <is>
          <t>T-4.07</t>
        </is>
      </c>
      <c r="B79" s="11" t="inlineStr">
        <is>
          <t>Sprint 4</t>
        </is>
      </c>
      <c r="C79" s="11" t="inlineStr">
        <is>
          <t>HU-016</t>
        </is>
      </c>
      <c r="D79" s="12" t="inlineStr">
        <is>
          <t>Conservación inmutable del documento autorizado para su envío</t>
        </is>
      </c>
      <c r="E79" s="11" t="inlineStr">
        <is>
          <t>Matías Orellana</t>
        </is>
      </c>
      <c r="F79" s="11" t="n">
        <v>2</v>
      </c>
      <c r="G79" s="11" t="n">
        <v>1</v>
      </c>
      <c r="H79" s="48">
        <f>IF($G79=1,INDEX(SprintInicio,MATCH($B79,SprintNombres,0)),INDEX(SprintInicio,MATCH($B79,SprintNombres,0))+8-WEEKDAY(INDEX(SprintInicio,MATCH($B79,SprintNombres,0)),2))</f>
        <v/>
      </c>
      <c r="I79" s="48">
        <f>IF($G79=1,MIN(INDEX(SprintInicio,MATCH($B79,SprintNombres,0))+5-WEEKDAY(INDEX(SprintInicio,MATCH($B79,SprintNombres,0)),2),INDEX(SprintFin,MATCH($B79,SprintNombres,0))),INDEX(SprintFin,MATCH($B79,SprintNombres,0)))</f>
        <v/>
      </c>
      <c r="J79" s="49" t="inlineStr">
        <is>
          <t>Por hacer</t>
        </is>
      </c>
      <c r="K79" s="13">
        <f>IFERROR(VLOOKUP($J79,EstadosAvance,2,FALSE),0)</f>
        <v/>
      </c>
      <c r="L79" s="50">
        <f>F79*K79</f>
        <v/>
      </c>
      <c r="M79" s="12" t="inlineStr"/>
    </row>
    <row r="80">
      <c r="A80" s="11" t="inlineStr">
        <is>
          <t>T-4.08</t>
        </is>
      </c>
      <c r="B80" s="11" t="inlineStr">
        <is>
          <t>Sprint 4</t>
        </is>
      </c>
      <c r="C80" s="11" t="inlineStr">
        <is>
          <t>HU-016</t>
        </is>
      </c>
      <c r="D80" s="12" t="inlineStr">
        <is>
          <t>Registro del resultado devuelto por Service Layer</t>
        </is>
      </c>
      <c r="E80" s="11" t="inlineStr">
        <is>
          <t>Alexssander López</t>
        </is>
      </c>
      <c r="F80" s="11" t="n">
        <v>2</v>
      </c>
      <c r="G80" s="11" t="n">
        <v>1</v>
      </c>
      <c r="H80" s="48">
        <f>IF($G80=1,INDEX(SprintInicio,MATCH($B80,SprintNombres,0)),INDEX(SprintInicio,MATCH($B80,SprintNombres,0))+8-WEEKDAY(INDEX(SprintInicio,MATCH($B80,SprintNombres,0)),2))</f>
        <v/>
      </c>
      <c r="I80" s="48">
        <f>IF($G80=1,MIN(INDEX(SprintInicio,MATCH($B80,SprintNombres,0))+5-WEEKDAY(INDEX(SprintInicio,MATCH($B80,SprintNombres,0)),2),INDEX(SprintFin,MATCH($B80,SprintNombres,0))),INDEX(SprintFin,MATCH($B80,SprintNombres,0)))</f>
        <v/>
      </c>
      <c r="J80" s="49" t="inlineStr">
        <is>
          <t>Por hacer</t>
        </is>
      </c>
      <c r="K80" s="13">
        <f>IFERROR(VLOOKUP($J80,EstadosAvance,2,FALSE),0)</f>
        <v/>
      </c>
      <c r="L80" s="50">
        <f>F80*K80</f>
        <v/>
      </c>
      <c r="M80" s="12" t="inlineStr"/>
    </row>
    <row r="81">
      <c r="A81" s="11" t="inlineStr">
        <is>
          <t>T-4.09</t>
        </is>
      </c>
      <c r="B81" s="11" t="inlineStr">
        <is>
          <t>Sprint 4</t>
        </is>
      </c>
      <c r="C81" s="11" t="inlineStr">
        <is>
          <t>HU-016</t>
        </is>
      </c>
      <c r="D81" s="12" t="inlineStr">
        <is>
          <t>Pruebas automatizadas y ejecución de CP-059 a CP-062</t>
        </is>
      </c>
      <c r="E81" s="11" t="inlineStr">
        <is>
          <t>Millaray Espósito</t>
        </is>
      </c>
      <c r="F81" s="11" t="n">
        <v>2</v>
      </c>
      <c r="G81" s="11" t="n">
        <v>1</v>
      </c>
      <c r="H81" s="48">
        <f>IF($G81=1,INDEX(SprintInicio,MATCH($B81,SprintNombres,0)),INDEX(SprintInicio,MATCH($B81,SprintNombres,0))+8-WEEKDAY(INDEX(SprintInicio,MATCH($B81,SprintNombres,0)),2))</f>
        <v/>
      </c>
      <c r="I81" s="48">
        <f>IF($G81=1,MIN(INDEX(SprintInicio,MATCH($B81,SprintNombres,0))+5-WEEKDAY(INDEX(SprintInicio,MATCH($B81,SprintNombres,0)),2),INDEX(SprintFin,MATCH($B81,SprintNombres,0))),INDEX(SprintFin,MATCH($B81,SprintNombres,0)))</f>
        <v/>
      </c>
      <c r="J81" s="49" t="inlineStr">
        <is>
          <t>Por hacer</t>
        </is>
      </c>
      <c r="K81" s="13">
        <f>IFERROR(VLOOKUP($J81,EstadosAvance,2,FALSE),0)</f>
        <v/>
      </c>
      <c r="L81" s="50">
        <f>F81*K81</f>
        <v/>
      </c>
      <c r="M81" s="12" t="inlineStr"/>
    </row>
    <row r="82">
      <c r="A82" s="11" t="inlineStr">
        <is>
          <t>T-4.10</t>
        </is>
      </c>
      <c r="B82" s="11" t="inlineStr">
        <is>
          <t>Sprint 4</t>
        </is>
      </c>
      <c r="C82" s="11" t="inlineStr">
        <is>
          <t>HU-017</t>
        </is>
      </c>
      <c r="D82" s="12" t="inlineStr">
        <is>
          <t>Registro de operaciones (documento, resultado, identificador y error) y pantalla de consulta</t>
        </is>
      </c>
      <c r="E82" s="11" t="inlineStr">
        <is>
          <t>Matías Orellana</t>
        </is>
      </c>
      <c r="F82" s="11" t="n">
        <v>3</v>
      </c>
      <c r="G82" s="11" t="n">
        <v>2</v>
      </c>
      <c r="H82" s="48">
        <f>IF($G82=1,INDEX(SprintInicio,MATCH($B82,SprintNombres,0)),INDEX(SprintInicio,MATCH($B82,SprintNombres,0))+8-WEEKDAY(INDEX(SprintInicio,MATCH($B82,SprintNombres,0)),2))</f>
        <v/>
      </c>
      <c r="I82" s="48">
        <f>IF($G82=1,MIN(INDEX(SprintInicio,MATCH($B82,SprintNombres,0))+5-WEEKDAY(INDEX(SprintInicio,MATCH($B82,SprintNombres,0)),2),INDEX(SprintFin,MATCH($B82,SprintNombres,0))),INDEX(SprintFin,MATCH($B82,SprintNombres,0)))</f>
        <v/>
      </c>
      <c r="J82" s="49" t="inlineStr">
        <is>
          <t>Por hacer</t>
        </is>
      </c>
      <c r="K82" s="13">
        <f>IFERROR(VLOOKUP($J82,EstadosAvance,2,FALSE),0)</f>
        <v/>
      </c>
      <c r="L82" s="50">
        <f>F82*K82</f>
        <v/>
      </c>
      <c r="M82" s="12" t="inlineStr"/>
    </row>
    <row r="83">
      <c r="A83" s="11" t="inlineStr">
        <is>
          <t>T-4.11</t>
        </is>
      </c>
      <c r="B83" s="11" t="inlineStr">
        <is>
          <t>Sprint 4</t>
        </is>
      </c>
      <c r="C83" s="11" t="inlineStr">
        <is>
          <t>HU-017</t>
        </is>
      </c>
      <c r="D83" s="12" t="inlineStr">
        <is>
          <t>Mensajes de error comprensibles para el usuario</t>
        </is>
      </c>
      <c r="E83" s="11" t="inlineStr">
        <is>
          <t>Millaray Espósito</t>
        </is>
      </c>
      <c r="F83" s="11" t="n">
        <v>2</v>
      </c>
      <c r="G83" s="11" t="n">
        <v>2</v>
      </c>
      <c r="H83" s="48">
        <f>IF($G83=1,INDEX(SprintInicio,MATCH($B83,SprintNombres,0)),INDEX(SprintInicio,MATCH($B83,SprintNombres,0))+8-WEEKDAY(INDEX(SprintInicio,MATCH($B83,SprintNombres,0)),2))</f>
        <v/>
      </c>
      <c r="I83" s="48">
        <f>IF($G83=1,MIN(INDEX(SprintInicio,MATCH($B83,SprintNombres,0))+5-WEEKDAY(INDEX(SprintInicio,MATCH($B83,SprintNombres,0)),2),INDEX(SprintFin,MATCH($B83,SprintNombres,0))),INDEX(SprintFin,MATCH($B83,SprintNombres,0)))</f>
        <v/>
      </c>
      <c r="J83" s="49" t="inlineStr">
        <is>
          <t>Por hacer</t>
        </is>
      </c>
      <c r="K83" s="13">
        <f>IFERROR(VLOOKUP($J83,EstadosAvance,2,FALSE),0)</f>
        <v/>
      </c>
      <c r="L83" s="50">
        <f>F83*K83</f>
        <v/>
      </c>
      <c r="M83" s="12" t="inlineStr"/>
    </row>
    <row r="84">
      <c r="A84" s="11" t="inlineStr">
        <is>
          <t>T-4.12</t>
        </is>
      </c>
      <c r="B84" s="11" t="inlineStr">
        <is>
          <t>Sprint 4</t>
        </is>
      </c>
      <c r="C84" s="11" t="inlineStr">
        <is>
          <t>HU-017</t>
        </is>
      </c>
      <c r="D84" s="12" t="inlineStr">
        <is>
          <t>Reintento seguro que reutiliza el documento autorizado sin duplicar líneas</t>
        </is>
      </c>
      <c r="E84" s="11" t="inlineStr">
        <is>
          <t>Alexssander López</t>
        </is>
      </c>
      <c r="F84" s="11" t="n">
        <v>4</v>
      </c>
      <c r="G84" s="11" t="n">
        <v>2</v>
      </c>
      <c r="H84" s="48">
        <f>IF($G84=1,INDEX(SprintInicio,MATCH($B84,SprintNombres,0)),INDEX(SprintInicio,MATCH($B84,SprintNombres,0))+8-WEEKDAY(INDEX(SprintInicio,MATCH($B84,SprintNombres,0)),2))</f>
        <v/>
      </c>
      <c r="I84" s="48">
        <f>IF($G84=1,MIN(INDEX(SprintInicio,MATCH($B84,SprintNombres,0))+5-WEEKDAY(INDEX(SprintInicio,MATCH($B84,SprintNombres,0)),2),INDEX(SprintFin,MATCH($B84,SprintNombres,0))),INDEX(SprintFin,MATCH($B84,SprintNombres,0)))</f>
        <v/>
      </c>
      <c r="J84" s="49" t="inlineStr">
        <is>
          <t>Por hacer</t>
        </is>
      </c>
      <c r="K84" s="13">
        <f>IFERROR(VLOOKUP($J84,EstadosAvance,2,FALSE),0)</f>
        <v/>
      </c>
      <c r="L84" s="50">
        <f>F84*K84</f>
        <v/>
      </c>
      <c r="M84" s="12" t="inlineStr"/>
    </row>
    <row r="85">
      <c r="A85" s="11" t="inlineStr">
        <is>
          <t>T-4.13</t>
        </is>
      </c>
      <c r="B85" s="11" t="inlineStr">
        <is>
          <t>Sprint 4</t>
        </is>
      </c>
      <c r="C85" s="11" t="inlineStr">
        <is>
          <t>HU-017</t>
        </is>
      </c>
      <c r="D85" s="12" t="inlineStr">
        <is>
          <t>Operaciones atómicas ante errores</t>
        </is>
      </c>
      <c r="E85" s="11" t="inlineStr">
        <is>
          <t>Matías Orellana</t>
        </is>
      </c>
      <c r="F85" s="11" t="n">
        <v>2</v>
      </c>
      <c r="G85" s="11" t="n">
        <v>2</v>
      </c>
      <c r="H85" s="48">
        <f>IF($G85=1,INDEX(SprintInicio,MATCH($B85,SprintNombres,0)),INDEX(SprintInicio,MATCH($B85,SprintNombres,0))+8-WEEKDAY(INDEX(SprintInicio,MATCH($B85,SprintNombres,0)),2))</f>
        <v/>
      </c>
      <c r="I85" s="48">
        <f>IF($G85=1,MIN(INDEX(SprintInicio,MATCH($B85,SprintNombres,0))+5-WEEKDAY(INDEX(SprintInicio,MATCH($B85,SprintNombres,0)),2),INDEX(SprintFin,MATCH($B85,SprintNombres,0))),INDEX(SprintFin,MATCH($B85,SprintNombres,0)))</f>
        <v/>
      </c>
      <c r="J85" s="49" t="inlineStr">
        <is>
          <t>Por hacer</t>
        </is>
      </c>
      <c r="K85" s="13">
        <f>IFERROR(VLOOKUP($J85,EstadosAvance,2,FALSE),0)</f>
        <v/>
      </c>
      <c r="L85" s="50">
        <f>F85*K85</f>
        <v/>
      </c>
      <c r="M85" s="12" t="inlineStr"/>
    </row>
    <row r="86">
      <c r="A86" s="11" t="inlineStr">
        <is>
          <t>T-4.14</t>
        </is>
      </c>
      <c r="B86" s="11" t="inlineStr">
        <is>
          <t>Sprint 4</t>
        </is>
      </c>
      <c r="C86" s="11" t="inlineStr">
        <is>
          <t>HU-017</t>
        </is>
      </c>
      <c r="D86" s="12" t="inlineStr">
        <is>
          <t>Pruebas automatizadas y ejecución de CP-063 a CP-066</t>
        </is>
      </c>
      <c r="E86" s="11" t="inlineStr">
        <is>
          <t>Millaray Espósito</t>
        </is>
      </c>
      <c r="F86" s="11" t="n">
        <v>2</v>
      </c>
      <c r="G86" s="11" t="n">
        <v>2</v>
      </c>
      <c r="H86" s="48">
        <f>IF($G86=1,INDEX(SprintInicio,MATCH($B86,SprintNombres,0)),INDEX(SprintInicio,MATCH($B86,SprintNombres,0))+8-WEEKDAY(INDEX(SprintInicio,MATCH($B86,SprintNombres,0)),2))</f>
        <v/>
      </c>
      <c r="I86" s="48">
        <f>IF($G86=1,MIN(INDEX(SprintInicio,MATCH($B86,SprintNombres,0))+5-WEEKDAY(INDEX(SprintInicio,MATCH($B86,SprintNombres,0)),2),INDEX(SprintFin,MATCH($B86,SprintNombres,0))),INDEX(SprintFin,MATCH($B86,SprintNombres,0)))</f>
        <v/>
      </c>
      <c r="J86" s="49" t="inlineStr">
        <is>
          <t>Por hacer</t>
        </is>
      </c>
      <c r="K86" s="13">
        <f>IFERROR(VLOOKUP($J86,EstadosAvance,2,FALSE),0)</f>
        <v/>
      </c>
      <c r="L86" s="50">
        <f>F86*K86</f>
        <v/>
      </c>
      <c r="M86" s="12" t="inlineStr"/>
    </row>
    <row r="87">
      <c r="A87" s="11" t="inlineStr">
        <is>
          <t>T-4.15</t>
        </is>
      </c>
      <c r="B87" s="11" t="inlineStr">
        <is>
          <t>Sprint 4</t>
        </is>
      </c>
      <c r="C87" s="11" t="inlineStr">
        <is>
          <t>HU-011</t>
        </is>
      </c>
      <c r="D87" s="12" t="inlineStr">
        <is>
          <t>Regla de límites de autorización y estado pendiente de autorización</t>
        </is>
      </c>
      <c r="E87" s="11" t="inlineStr">
        <is>
          <t>Matías Orellana</t>
        </is>
      </c>
      <c r="F87" s="11" t="n">
        <v>3</v>
      </c>
      <c r="G87" s="11" t="n">
        <v>2</v>
      </c>
      <c r="H87" s="48">
        <f>IF($G87=1,INDEX(SprintInicio,MATCH($B87,SprintNombres,0)),INDEX(SprintInicio,MATCH($B87,SprintNombres,0))+8-WEEKDAY(INDEX(SprintInicio,MATCH($B87,SprintNombres,0)),2))</f>
        <v/>
      </c>
      <c r="I87" s="48">
        <f>IF($G87=1,MIN(INDEX(SprintInicio,MATCH($B87,SprintNombres,0))+5-WEEKDAY(INDEX(SprintInicio,MATCH($B87,SprintNombres,0)),2),INDEX(SprintFin,MATCH($B87,SprintNombres,0))),INDEX(SprintFin,MATCH($B87,SprintNombres,0)))</f>
        <v/>
      </c>
      <c r="J87" s="49" t="inlineStr">
        <is>
          <t>Por hacer</t>
        </is>
      </c>
      <c r="K87" s="13">
        <f>IFERROR(VLOOKUP($J87,EstadosAvance,2,FALSE),0)</f>
        <v/>
      </c>
      <c r="L87" s="50">
        <f>F87*K87</f>
        <v/>
      </c>
      <c r="M87" s="12" t="inlineStr"/>
    </row>
    <row r="88">
      <c r="A88" s="11" t="inlineStr">
        <is>
          <t>T-4.16</t>
        </is>
      </c>
      <c r="B88" s="11" t="inlineStr">
        <is>
          <t>Sprint 4</t>
        </is>
      </c>
      <c r="C88" s="11" t="inlineStr">
        <is>
          <t>HU-011</t>
        </is>
      </c>
      <c r="D88" s="12" t="inlineStr">
        <is>
          <t>Bandeja y aprobación del autorizador comercial</t>
        </is>
      </c>
      <c r="E88" s="11" t="inlineStr">
        <is>
          <t>Millaray Espósito</t>
        </is>
      </c>
      <c r="F88" s="11" t="n">
        <v>3</v>
      </c>
      <c r="G88" s="11" t="n">
        <v>2</v>
      </c>
      <c r="H88" s="48">
        <f>IF($G88=1,INDEX(SprintInicio,MATCH($B88,SprintNombres,0)),INDEX(SprintInicio,MATCH($B88,SprintNombres,0))+8-WEEKDAY(INDEX(SprintInicio,MATCH($B88,SprintNombres,0)),2))</f>
        <v/>
      </c>
      <c r="I88" s="48">
        <f>IF($G88=1,MIN(INDEX(SprintInicio,MATCH($B88,SprintNombres,0))+5-WEEKDAY(INDEX(SprintInicio,MATCH($B88,SprintNombres,0)),2),INDEX(SprintFin,MATCH($B88,SprintNombres,0))),INDEX(SprintFin,MATCH($B88,SprintNombres,0)))</f>
        <v/>
      </c>
      <c r="J88" s="49" t="inlineStr">
        <is>
          <t>Por hacer</t>
        </is>
      </c>
      <c r="K88" s="13">
        <f>IFERROR(VLOOKUP($J88,EstadosAvance,2,FALSE),0)</f>
        <v/>
      </c>
      <c r="L88" s="50">
        <f>F88*K88</f>
        <v/>
      </c>
      <c r="M88" s="12" t="inlineStr"/>
    </row>
    <row r="89">
      <c r="A89" s="11" t="inlineStr">
        <is>
          <t>T-4.17</t>
        </is>
      </c>
      <c r="B89" s="11" t="inlineStr">
        <is>
          <t>Sprint 4</t>
        </is>
      </c>
      <c r="C89" s="11" t="inlineStr">
        <is>
          <t>HU-011</t>
        </is>
      </c>
      <c r="D89" s="12" t="inlineStr">
        <is>
          <t>Envío de la orden autorizada por Service Layer y registro del identificador</t>
        </is>
      </c>
      <c r="E89" s="11" t="inlineStr">
        <is>
          <t>Alexssander López</t>
        </is>
      </c>
      <c r="F89" s="11" t="n">
        <v>3</v>
      </c>
      <c r="G89" s="11" t="n">
        <v>2</v>
      </c>
      <c r="H89" s="48">
        <f>IF($G89=1,INDEX(SprintInicio,MATCH($B89,SprintNombres,0)),INDEX(SprintInicio,MATCH($B89,SprintNombres,0))+8-WEEKDAY(INDEX(SprintInicio,MATCH($B89,SprintNombres,0)),2))</f>
        <v/>
      </c>
      <c r="I89" s="48">
        <f>IF($G89=1,MIN(INDEX(SprintInicio,MATCH($B89,SprintNombres,0))+5-WEEKDAY(INDEX(SprintInicio,MATCH($B89,SprintNombres,0)),2),INDEX(SprintFin,MATCH($B89,SprintNombres,0))),INDEX(SprintFin,MATCH($B89,SprintNombres,0)))</f>
        <v/>
      </c>
      <c r="J89" s="49" t="inlineStr">
        <is>
          <t>Por hacer</t>
        </is>
      </c>
      <c r="K89" s="13">
        <f>IFERROR(VLOOKUP($J89,EstadosAvance,2,FALSE),0)</f>
        <v/>
      </c>
      <c r="L89" s="50">
        <f>F89*K89</f>
        <v/>
      </c>
      <c r="M89" s="12" t="inlineStr"/>
    </row>
    <row r="90">
      <c r="A90" s="11" t="inlineStr">
        <is>
          <t>T-4.18</t>
        </is>
      </c>
      <c r="B90" s="11" t="inlineStr">
        <is>
          <t>Sprint 4</t>
        </is>
      </c>
      <c r="C90" s="11" t="inlineStr">
        <is>
          <t>HU-011</t>
        </is>
      </c>
      <c r="D90" s="12" t="inlineStr">
        <is>
          <t>Consulta del estado, vínculo y trazabilidad del documento</t>
        </is>
      </c>
      <c r="E90" s="11" t="inlineStr">
        <is>
          <t>Millaray Espósito</t>
        </is>
      </c>
      <c r="F90" s="11" t="n">
        <v>2</v>
      </c>
      <c r="G90" s="11" t="n">
        <v>2</v>
      </c>
      <c r="H90" s="48">
        <f>IF($G90=1,INDEX(SprintInicio,MATCH($B90,SprintNombres,0)),INDEX(SprintInicio,MATCH($B90,SprintNombres,0))+8-WEEKDAY(INDEX(SprintInicio,MATCH($B90,SprintNombres,0)),2))</f>
        <v/>
      </c>
      <c r="I90" s="48">
        <f>IF($G90=1,MIN(INDEX(SprintInicio,MATCH($B90,SprintNombres,0))+5-WEEKDAY(INDEX(SprintInicio,MATCH($B90,SprintNombres,0)),2),INDEX(SprintFin,MATCH($B90,SprintNombres,0))),INDEX(SprintFin,MATCH($B90,SprintNombres,0)))</f>
        <v/>
      </c>
      <c r="J90" s="49" t="inlineStr">
        <is>
          <t>Por hacer</t>
        </is>
      </c>
      <c r="K90" s="13">
        <f>IFERROR(VLOOKUP($J90,EstadosAvance,2,FALSE),0)</f>
        <v/>
      </c>
      <c r="L90" s="50">
        <f>F90*K90</f>
        <v/>
      </c>
      <c r="M90" s="12" t="inlineStr"/>
    </row>
    <row r="91">
      <c r="A91" s="11" t="inlineStr">
        <is>
          <t>T-4.19</t>
        </is>
      </c>
      <c r="B91" s="11" t="inlineStr">
        <is>
          <t>Sprint 4</t>
        </is>
      </c>
      <c r="C91" s="11" t="inlineStr">
        <is>
          <t>HU-011</t>
        </is>
      </c>
      <c r="D91" s="12" t="inlineStr">
        <is>
          <t>Pruebas automatizadas y ejecución de CP-039 a CP-042</t>
        </is>
      </c>
      <c r="E91" s="11" t="inlineStr">
        <is>
          <t>Matías Orellana</t>
        </is>
      </c>
      <c r="F91" s="11" t="n">
        <v>2</v>
      </c>
      <c r="G91" s="11" t="n">
        <v>2</v>
      </c>
      <c r="H91" s="48">
        <f>IF($G91=1,INDEX(SprintInicio,MATCH($B91,SprintNombres,0)),INDEX(SprintInicio,MATCH($B91,SprintNombres,0))+8-WEEKDAY(INDEX(SprintInicio,MATCH($B91,SprintNombres,0)),2))</f>
        <v/>
      </c>
      <c r="I91" s="48">
        <f>IF($G91=1,MIN(INDEX(SprintInicio,MATCH($B91,SprintNombres,0))+5-WEEKDAY(INDEX(SprintInicio,MATCH($B91,SprintNombres,0)),2),INDEX(SprintFin,MATCH($B91,SprintNombres,0))),INDEX(SprintFin,MATCH($B91,SprintNombres,0)))</f>
        <v/>
      </c>
      <c r="J91" s="49" t="inlineStr">
        <is>
          <t>Por hacer</t>
        </is>
      </c>
      <c r="K91" s="13">
        <f>IFERROR(VLOOKUP($J91,EstadosAvance,2,FALSE),0)</f>
        <v/>
      </c>
      <c r="L91" s="50">
        <f>F91*K91</f>
        <v/>
      </c>
      <c r="M91" s="12" t="inlineStr"/>
    </row>
    <row r="92">
      <c r="A92" s="11" t="inlineStr">
        <is>
          <t>T-4.20</t>
        </is>
      </c>
      <c r="B92" s="11" t="inlineStr">
        <is>
          <t>Sprint 4</t>
        </is>
      </c>
      <c r="C92" s="11" t="inlineStr">
        <is>
          <t>Transversal</t>
        </is>
      </c>
      <c r="D92" s="12" t="inlineStr">
        <is>
          <t>Validar el flujo comercial completo con la Jefatura Comercial y el Administrador de SAP</t>
        </is>
      </c>
      <c r="E92" s="11" t="inlineStr">
        <is>
          <t>Matías Orellana</t>
        </is>
      </c>
      <c r="F92" s="11" t="n">
        <v>2</v>
      </c>
      <c r="G92" s="11" t="n">
        <v>2</v>
      </c>
      <c r="H92" s="48">
        <f>IF($G92=1,INDEX(SprintInicio,MATCH($B92,SprintNombres,0)),INDEX(SprintInicio,MATCH($B92,SprintNombres,0))+8-WEEKDAY(INDEX(SprintInicio,MATCH($B92,SprintNombres,0)),2))</f>
        <v/>
      </c>
      <c r="I92" s="48">
        <f>IF($G92=1,MIN(INDEX(SprintInicio,MATCH($B92,SprintNombres,0))+5-WEEKDAY(INDEX(SprintInicio,MATCH($B92,SprintNombres,0)),2),INDEX(SprintFin,MATCH($B92,SprintNombres,0))),INDEX(SprintFin,MATCH($B92,SprintNombres,0)))</f>
        <v/>
      </c>
      <c r="J92" s="49" t="inlineStr">
        <is>
          <t>Por hacer</t>
        </is>
      </c>
      <c r="K92" s="13">
        <f>IFERROR(VLOOKUP($J92,EstadosAvance,2,FALSE),0)</f>
        <v/>
      </c>
      <c r="L92" s="50">
        <f>F92*K92</f>
        <v/>
      </c>
      <c r="M92" s="12" t="inlineStr"/>
    </row>
    <row r="93">
      <c r="A93" s="11" t="inlineStr">
        <is>
          <t>T-4.21</t>
        </is>
      </c>
      <c r="B93" s="11" t="inlineStr">
        <is>
          <t>Sprint 4</t>
        </is>
      </c>
      <c r="C93" s="11" t="inlineStr">
        <is>
          <t>Transversal</t>
        </is>
      </c>
      <c r="D93" s="12" t="inlineStr">
        <is>
          <t>Integrar develop en main, etiquetar v0.4.0 y preparar la demostración</t>
        </is>
      </c>
      <c r="E93" s="11" t="inlineStr">
        <is>
          <t>Alexssander López</t>
        </is>
      </c>
      <c r="F93" s="11" t="n">
        <v>2</v>
      </c>
      <c r="G93" s="11" t="n">
        <v>2</v>
      </c>
      <c r="H93" s="48">
        <f>IF($G93=1,INDEX(SprintInicio,MATCH($B93,SprintNombres,0)),INDEX(SprintInicio,MATCH($B93,SprintNombres,0))+8-WEEKDAY(INDEX(SprintInicio,MATCH($B93,SprintNombres,0)),2))</f>
        <v/>
      </c>
      <c r="I93" s="48">
        <f>IF($G93=1,MIN(INDEX(SprintInicio,MATCH($B93,SprintNombres,0))+5-WEEKDAY(INDEX(SprintInicio,MATCH($B93,SprintNombres,0)),2),INDEX(SprintFin,MATCH($B93,SprintNombres,0))),INDEX(SprintFin,MATCH($B93,SprintNombres,0)))</f>
        <v/>
      </c>
      <c r="J93" s="49" t="inlineStr">
        <is>
          <t>Por hacer</t>
        </is>
      </c>
      <c r="K93" s="13">
        <f>IFERROR(VLOOKUP($J93,EstadosAvance,2,FALSE),0)</f>
        <v/>
      </c>
      <c r="L93" s="50">
        <f>F93*K93</f>
        <v/>
      </c>
      <c r="M93" s="12" t="inlineStr"/>
    </row>
    <row r="94">
      <c r="A94" s="11" t="inlineStr">
        <is>
          <t>T-4.22</t>
        </is>
      </c>
      <c r="B94" s="11" t="inlineStr">
        <is>
          <t>Sprint 4</t>
        </is>
      </c>
      <c r="C94" s="11" t="inlineStr">
        <is>
          <t>Transversal</t>
        </is>
      </c>
      <c r="D94" s="12" t="inlineStr">
        <is>
          <t>Actualizar la matriz de trazabilidad y el Expediente de Sprint</t>
        </is>
      </c>
      <c r="E94" s="11" t="inlineStr">
        <is>
          <t>Millaray Espósito</t>
        </is>
      </c>
      <c r="F94" s="11" t="n">
        <v>2</v>
      </c>
      <c r="G94" s="11" t="n">
        <v>2</v>
      </c>
      <c r="H94" s="48">
        <f>IF($G94=1,INDEX(SprintInicio,MATCH($B94,SprintNombres,0)),INDEX(SprintInicio,MATCH($B94,SprintNombres,0))+8-WEEKDAY(INDEX(SprintInicio,MATCH($B94,SprintNombres,0)),2))</f>
        <v/>
      </c>
      <c r="I94" s="48">
        <f>IF($G94=1,MIN(INDEX(SprintInicio,MATCH($B94,SprintNombres,0))+5-WEEKDAY(INDEX(SprintInicio,MATCH($B94,SprintNombres,0)),2),INDEX(SprintFin,MATCH($B94,SprintNombres,0))),INDEX(SprintFin,MATCH($B94,SprintNombres,0)))</f>
        <v/>
      </c>
      <c r="J94" s="49" t="inlineStr">
        <is>
          <t>Por hacer</t>
        </is>
      </c>
      <c r="K94" s="13">
        <f>IFERROR(VLOOKUP($J94,EstadosAvance,2,FALSE),0)</f>
        <v/>
      </c>
      <c r="L94" s="50">
        <f>F94*K94</f>
        <v/>
      </c>
      <c r="M94" s="12" t="inlineStr"/>
    </row>
    <row r="95">
      <c r="A95" s="11" t="inlineStr">
        <is>
          <t>T-5.01</t>
        </is>
      </c>
      <c r="B95" s="11" t="inlineStr">
        <is>
          <t>Sprint 5</t>
        </is>
      </c>
      <c r="C95" s="11" t="inlineStr">
        <is>
          <t>HU-018</t>
        </is>
      </c>
      <c r="D95" s="12" t="inlineStr">
        <is>
          <t>Modelos de caso de posventa, productos y documento de respaldo, con sus migraciones</t>
        </is>
      </c>
      <c r="E95" s="11" t="inlineStr">
        <is>
          <t>Alexssander López</t>
        </is>
      </c>
      <c r="F95" s="11" t="n">
        <v>3</v>
      </c>
      <c r="G95" s="11" t="n">
        <v>1</v>
      </c>
      <c r="H95" s="48">
        <f>IF($G95=1,INDEX(SprintInicio,MATCH($B95,SprintNombres,0)),INDEX(SprintInicio,MATCH($B95,SprintNombres,0))+8-WEEKDAY(INDEX(SprintInicio,MATCH($B95,SprintNombres,0)),2))</f>
        <v/>
      </c>
      <c r="I95" s="48">
        <f>IF($G95=1,MIN(INDEX(SprintInicio,MATCH($B95,SprintNombres,0))+5-WEEKDAY(INDEX(SprintInicio,MATCH($B95,SprintNombres,0)),2),INDEX(SprintFin,MATCH($B95,SprintNombres,0))),INDEX(SprintFin,MATCH($B95,SprintNombres,0)))</f>
        <v/>
      </c>
      <c r="J95" s="49" t="inlineStr">
        <is>
          <t>Por hacer</t>
        </is>
      </c>
      <c r="K95" s="13">
        <f>IFERROR(VLOOKUP($J95,EstadosAvance,2,FALSE),0)</f>
        <v/>
      </c>
      <c r="L95" s="50">
        <f>F95*K95</f>
        <v/>
      </c>
      <c r="M95" s="12" t="inlineStr"/>
    </row>
    <row r="96">
      <c r="A96" s="11" t="inlineStr">
        <is>
          <t>T-5.02</t>
        </is>
      </c>
      <c r="B96" s="11" t="inlineStr">
        <is>
          <t>Sprint 5</t>
        </is>
      </c>
      <c r="C96" s="11" t="inlineStr">
        <is>
          <t>HU-018</t>
        </is>
      </c>
      <c r="D96" s="12" t="inlineStr">
        <is>
          <t>Formulario de registro por tipo de caso, con consulta de cliente y documentos por la API</t>
        </is>
      </c>
      <c r="E96" s="11" t="inlineStr">
        <is>
          <t>Millaray Espósito</t>
        </is>
      </c>
      <c r="F96" s="11" t="n">
        <v>4</v>
      </c>
      <c r="G96" s="11" t="n">
        <v>1</v>
      </c>
      <c r="H96" s="48">
        <f>IF($G96=1,INDEX(SprintInicio,MATCH($B96,SprintNombres,0)),INDEX(SprintInicio,MATCH($B96,SprintNombres,0))+8-WEEKDAY(INDEX(SprintInicio,MATCH($B96,SprintNombres,0)),2))</f>
        <v/>
      </c>
      <c r="I96" s="48">
        <f>IF($G96=1,MIN(INDEX(SprintInicio,MATCH($B96,SprintNombres,0))+5-WEEKDAY(INDEX(SprintInicio,MATCH($B96,SprintNombres,0)),2),INDEX(SprintFin,MATCH($B96,SprintNombres,0))),INDEX(SprintFin,MATCH($B96,SprintNombres,0)))</f>
        <v/>
      </c>
      <c r="J96" s="49" t="inlineStr">
        <is>
          <t>Por hacer</t>
        </is>
      </c>
      <c r="K96" s="13">
        <f>IFERROR(VLOOKUP($J96,EstadosAvance,2,FALSE),0)</f>
        <v/>
      </c>
      <c r="L96" s="50">
        <f>F96*K96</f>
        <v/>
      </c>
      <c r="M96" s="12" t="inlineStr"/>
    </row>
    <row r="97">
      <c r="A97" s="11" t="inlineStr">
        <is>
          <t>T-5.03</t>
        </is>
      </c>
      <c r="B97" s="11" t="inlineStr">
        <is>
          <t>Sprint 5</t>
        </is>
      </c>
      <c r="C97" s="11" t="inlineStr">
        <is>
          <t>HU-018</t>
        </is>
      </c>
      <c r="D97" s="12" t="inlineStr">
        <is>
          <t>Carga de evidencias con validación y excepción para factura de reserva</t>
        </is>
      </c>
      <c r="E97" s="11" t="inlineStr">
        <is>
          <t>Alexssander López</t>
        </is>
      </c>
      <c r="F97" s="11" t="n">
        <v>3</v>
      </c>
      <c r="G97" s="11" t="n">
        <v>1</v>
      </c>
      <c r="H97" s="48">
        <f>IF($G97=1,INDEX(SprintInicio,MATCH($B97,SprintNombres,0)),INDEX(SprintInicio,MATCH($B97,SprintNombres,0))+8-WEEKDAY(INDEX(SprintInicio,MATCH($B97,SprintNombres,0)),2))</f>
        <v/>
      </c>
      <c r="I97" s="48">
        <f>IF($G97=1,MIN(INDEX(SprintInicio,MATCH($B97,SprintNombres,0))+5-WEEKDAY(INDEX(SprintInicio,MATCH($B97,SprintNombres,0)),2),INDEX(SprintFin,MATCH($B97,SprintNombres,0))),INDEX(SprintFin,MATCH($B97,SprintNombres,0)))</f>
        <v/>
      </c>
      <c r="J97" s="49" t="inlineStr">
        <is>
          <t>Por hacer</t>
        </is>
      </c>
      <c r="K97" s="13">
        <f>IFERROR(VLOOKUP($J97,EstadosAvance,2,FALSE),0)</f>
        <v/>
      </c>
      <c r="L97" s="50">
        <f>F97*K97</f>
        <v/>
      </c>
      <c r="M97" s="12" t="inlineStr"/>
    </row>
    <row r="98">
      <c r="A98" s="11" t="inlineStr">
        <is>
          <t>T-5.04</t>
        </is>
      </c>
      <c r="B98" s="11" t="inlineStr">
        <is>
          <t>Sprint 5</t>
        </is>
      </c>
      <c r="C98" s="11" t="inlineStr">
        <is>
          <t>HU-018</t>
        </is>
      </c>
      <c r="D98" s="12" t="inlineStr">
        <is>
          <t>Acceso a las evidencias restringido a los participantes autorizados</t>
        </is>
      </c>
      <c r="E98" s="11" t="inlineStr">
        <is>
          <t>Alexssander López</t>
        </is>
      </c>
      <c r="F98" s="11" t="n">
        <v>2</v>
      </c>
      <c r="G98" s="11" t="n">
        <v>1</v>
      </c>
      <c r="H98" s="48">
        <f>IF($G98=1,INDEX(SprintInicio,MATCH($B98,SprintNombres,0)),INDEX(SprintInicio,MATCH($B98,SprintNombres,0))+8-WEEKDAY(INDEX(SprintInicio,MATCH($B98,SprintNombres,0)),2))</f>
        <v/>
      </c>
      <c r="I98" s="48">
        <f>IF($G98=1,MIN(INDEX(SprintInicio,MATCH($B98,SprintNombres,0))+5-WEEKDAY(INDEX(SprintInicio,MATCH($B98,SprintNombres,0)),2),INDEX(SprintFin,MATCH($B98,SprintNombres,0))),INDEX(SprintFin,MATCH($B98,SprintNombres,0)))</f>
        <v/>
      </c>
      <c r="J98" s="49" t="inlineStr">
        <is>
          <t>Por hacer</t>
        </is>
      </c>
      <c r="K98" s="13">
        <f>IFERROR(VLOOKUP($J98,EstadosAvance,2,FALSE),0)</f>
        <v/>
      </c>
      <c r="L98" s="50">
        <f>F98*K98</f>
        <v/>
      </c>
      <c r="M98" s="12" t="inlineStr"/>
    </row>
    <row r="99">
      <c r="A99" s="11" t="inlineStr">
        <is>
          <t>T-5.05</t>
        </is>
      </c>
      <c r="B99" s="11" t="inlineStr">
        <is>
          <t>Sprint 5</t>
        </is>
      </c>
      <c r="C99" s="11" t="inlineStr">
        <is>
          <t>HU-018</t>
        </is>
      </c>
      <c r="D99" s="12" t="inlineStr">
        <is>
          <t>Pruebas automatizadas y ejecución de CP-067 a CP-070</t>
        </is>
      </c>
      <c r="E99" s="11" t="inlineStr">
        <is>
          <t>Matías Orellana</t>
        </is>
      </c>
      <c r="F99" s="11" t="n">
        <v>2</v>
      </c>
      <c r="G99" s="11" t="n">
        <v>1</v>
      </c>
      <c r="H99" s="48">
        <f>IF($G99=1,INDEX(SprintInicio,MATCH($B99,SprintNombres,0)),INDEX(SprintInicio,MATCH($B99,SprintNombres,0))+8-WEEKDAY(INDEX(SprintInicio,MATCH($B99,SprintNombres,0)),2))</f>
        <v/>
      </c>
      <c r="I99" s="48">
        <f>IF($G99=1,MIN(INDEX(SprintInicio,MATCH($B99,SprintNombres,0))+5-WEEKDAY(INDEX(SprintInicio,MATCH($B99,SprintNombres,0)),2),INDEX(SprintFin,MATCH($B99,SprintNombres,0))),INDEX(SprintFin,MATCH($B99,SprintNombres,0)))</f>
        <v/>
      </c>
      <c r="J99" s="49" t="inlineStr">
        <is>
          <t>Por hacer</t>
        </is>
      </c>
      <c r="K99" s="13">
        <f>IFERROR(VLOOKUP($J99,EstadosAvance,2,FALSE),0)</f>
        <v/>
      </c>
      <c r="L99" s="50">
        <f>F99*K99</f>
        <v/>
      </c>
      <c r="M99" s="12" t="inlineStr"/>
    </row>
    <row r="100">
      <c r="A100" s="11" t="inlineStr">
        <is>
          <t>T-5.06</t>
        </is>
      </c>
      <c r="B100" s="11" t="inlineStr">
        <is>
          <t>Sprint 5</t>
        </is>
      </c>
      <c r="C100" s="11" t="inlineStr">
        <is>
          <t>HU-019</t>
        </is>
      </c>
      <c r="D100" s="12" t="inlineStr">
        <is>
          <t>Evaluación de producto, accesorios, manual y embalaje con los valores definidos</t>
        </is>
      </c>
      <c r="E100" s="11" t="inlineStr">
        <is>
          <t>Millaray Espósito</t>
        </is>
      </c>
      <c r="F100" s="11" t="n">
        <v>2</v>
      </c>
      <c r="G100" s="11" t="n">
        <v>1</v>
      </c>
      <c r="H100" s="48">
        <f>IF($G100=1,INDEX(SprintInicio,MATCH($B100,SprintNombres,0)),INDEX(SprintInicio,MATCH($B100,SprintNombres,0))+8-WEEKDAY(INDEX(SprintInicio,MATCH($B100,SprintNombres,0)),2))</f>
        <v/>
      </c>
      <c r="I100" s="48">
        <f>IF($G100=1,MIN(INDEX(SprintInicio,MATCH($B100,SprintNombres,0))+5-WEEKDAY(INDEX(SprintInicio,MATCH($B100,SprintNombres,0)),2),INDEX(SprintFin,MATCH($B100,SprintNombres,0))),INDEX(SprintFin,MATCH($B100,SprintNombres,0)))</f>
        <v/>
      </c>
      <c r="J100" s="49" t="inlineStr">
        <is>
          <t>Por hacer</t>
        </is>
      </c>
      <c r="K100" s="13">
        <f>IFERROR(VLOOKUP($J100,EstadosAvance,2,FALSE),0)</f>
        <v/>
      </c>
      <c r="L100" s="50">
        <f>F100*K100</f>
        <v/>
      </c>
      <c r="M100" s="12" t="inlineStr"/>
    </row>
    <row r="101">
      <c r="A101" s="11" t="inlineStr">
        <is>
          <t>T-5.07</t>
        </is>
      </c>
      <c r="B101" s="11" t="inlineStr">
        <is>
          <t>Sprint 5</t>
        </is>
      </c>
      <c r="C101" s="11" t="inlineStr">
        <is>
          <t>HU-019</t>
        </is>
      </c>
      <c r="D101" s="12" t="inlineStr">
        <is>
          <t>Aprobación o rechazo con motivo, corrección y reenvío a Pendiente</t>
        </is>
      </c>
      <c r="E101" s="11" t="inlineStr">
        <is>
          <t>Matías Orellana</t>
        </is>
      </c>
      <c r="F101" s="11" t="n">
        <v>3</v>
      </c>
      <c r="G101" s="11" t="n">
        <v>1</v>
      </c>
      <c r="H101" s="48">
        <f>IF($G101=1,INDEX(SprintInicio,MATCH($B101,SprintNombres,0)),INDEX(SprintInicio,MATCH($B101,SprintNombres,0))+8-WEEKDAY(INDEX(SprintInicio,MATCH($B101,SprintNombres,0)),2))</f>
        <v/>
      </c>
      <c r="I101" s="48">
        <f>IF($G101=1,MIN(INDEX(SprintInicio,MATCH($B101,SprintNombres,0))+5-WEEKDAY(INDEX(SprintInicio,MATCH($B101,SprintNombres,0)),2),INDEX(SprintFin,MATCH($B101,SprintNombres,0))),INDEX(SprintFin,MATCH($B101,SprintNombres,0)))</f>
        <v/>
      </c>
      <c r="J101" s="49" t="inlineStr">
        <is>
          <t>Por hacer</t>
        </is>
      </c>
      <c r="K101" s="13">
        <f>IFERROR(VLOOKUP($J101,EstadosAvance,2,FALSE),0)</f>
        <v/>
      </c>
      <c r="L101" s="50">
        <f>F101*K101</f>
        <v/>
      </c>
      <c r="M101" s="12" t="inlineStr"/>
    </row>
    <row r="102">
      <c r="A102" s="11" t="inlineStr">
        <is>
          <t>T-5.08</t>
        </is>
      </c>
      <c r="B102" s="11" t="inlineStr">
        <is>
          <t>Sprint 5</t>
        </is>
      </c>
      <c r="C102" s="11" t="inlineStr">
        <is>
          <t>HU-019</t>
        </is>
      </c>
      <c r="D102" s="12" t="inlineStr">
        <is>
          <t>Generación del comprobante con código QR</t>
        </is>
      </c>
      <c r="E102" s="11" t="inlineStr">
        <is>
          <t>Matías Orellana</t>
        </is>
      </c>
      <c r="F102" s="11" t="n">
        <v>3</v>
      </c>
      <c r="G102" s="11" t="n">
        <v>2</v>
      </c>
      <c r="H102" s="48">
        <f>IF($G102=1,INDEX(SprintInicio,MATCH($B102,SprintNombres,0)),INDEX(SprintInicio,MATCH($B102,SprintNombres,0))+8-WEEKDAY(INDEX(SprintInicio,MATCH($B102,SprintNombres,0)),2))</f>
        <v/>
      </c>
      <c r="I102" s="48">
        <f>IF($G102=1,MIN(INDEX(SprintInicio,MATCH($B102,SprintNombres,0))+5-WEEKDAY(INDEX(SprintInicio,MATCH($B102,SprintNombres,0)),2),INDEX(SprintFin,MATCH($B102,SprintNombres,0))),INDEX(SprintFin,MATCH($B102,SprintNombres,0)))</f>
        <v/>
      </c>
      <c r="J102" s="49" t="inlineStr">
        <is>
          <t>Por hacer</t>
        </is>
      </c>
      <c r="K102" s="13">
        <f>IFERROR(VLOOKUP($J102,EstadosAvance,2,FALSE),0)</f>
        <v/>
      </c>
      <c r="L102" s="50">
        <f>F102*K102</f>
        <v/>
      </c>
      <c r="M102" s="12" t="inlineStr"/>
    </row>
    <row r="103">
      <c r="A103" s="11" t="inlineStr">
        <is>
          <t>T-5.09</t>
        </is>
      </c>
      <c r="B103" s="11" t="inlineStr">
        <is>
          <t>Sprint 5</t>
        </is>
      </c>
      <c r="C103" s="11" t="inlineStr">
        <is>
          <t>HU-019</t>
        </is>
      </c>
      <c r="D103" s="12" t="inlineStr">
        <is>
          <t>Descarga del comprobante y marca de QR enviado al cliente</t>
        </is>
      </c>
      <c r="E103" s="11" t="inlineStr">
        <is>
          <t>Millaray Espósito</t>
        </is>
      </c>
      <c r="F103" s="11" t="n">
        <v>2</v>
      </c>
      <c r="G103" s="11" t="n">
        <v>2</v>
      </c>
      <c r="H103" s="48">
        <f>IF($G103=1,INDEX(SprintInicio,MATCH($B103,SprintNombres,0)),INDEX(SprintInicio,MATCH($B103,SprintNombres,0))+8-WEEKDAY(INDEX(SprintInicio,MATCH($B103,SprintNombres,0)),2))</f>
        <v/>
      </c>
      <c r="I103" s="48">
        <f>IF($G103=1,MIN(INDEX(SprintInicio,MATCH($B103,SprintNombres,0))+5-WEEKDAY(INDEX(SprintInicio,MATCH($B103,SprintNombres,0)),2),INDEX(SprintFin,MATCH($B103,SprintNombres,0))),INDEX(SprintFin,MATCH($B103,SprintNombres,0)))</f>
        <v/>
      </c>
      <c r="J103" s="49" t="inlineStr">
        <is>
          <t>Por hacer</t>
        </is>
      </c>
      <c r="K103" s="13">
        <f>IFERROR(VLOOKUP($J103,EstadosAvance,2,FALSE),0)</f>
        <v/>
      </c>
      <c r="L103" s="50">
        <f>F103*K103</f>
        <v/>
      </c>
      <c r="M103" s="12" t="inlineStr"/>
    </row>
    <row r="104">
      <c r="A104" s="11" t="inlineStr">
        <is>
          <t>T-5.10</t>
        </is>
      </c>
      <c r="B104" s="11" t="inlineStr">
        <is>
          <t>Sprint 5</t>
        </is>
      </c>
      <c r="C104" s="11" t="inlineStr">
        <is>
          <t>HU-019</t>
        </is>
      </c>
      <c r="D104" s="12" t="inlineStr">
        <is>
          <t>Pruebas automatizadas y ejecución de CP-071 a CP-074</t>
        </is>
      </c>
      <c r="E104" s="11" t="inlineStr">
        <is>
          <t>Alexssander López</t>
        </is>
      </c>
      <c r="F104" s="11" t="n">
        <v>2</v>
      </c>
      <c r="G104" s="11" t="n">
        <v>2</v>
      </c>
      <c r="H104" s="48">
        <f>IF($G104=1,INDEX(SprintInicio,MATCH($B104,SprintNombres,0)),INDEX(SprintInicio,MATCH($B104,SprintNombres,0))+8-WEEKDAY(INDEX(SprintInicio,MATCH($B104,SprintNombres,0)),2))</f>
        <v/>
      </c>
      <c r="I104" s="48">
        <f>IF($G104=1,MIN(INDEX(SprintInicio,MATCH($B104,SprintNombres,0))+5-WEEKDAY(INDEX(SprintInicio,MATCH($B104,SprintNombres,0)),2),INDEX(SprintFin,MATCH($B104,SprintNombres,0))),INDEX(SprintFin,MATCH($B104,SprintNombres,0)))</f>
        <v/>
      </c>
      <c r="J104" s="49" t="inlineStr">
        <is>
          <t>Por hacer</t>
        </is>
      </c>
      <c r="K104" s="13">
        <f>IFERROR(VLOOKUP($J104,EstadosAvance,2,FALSE),0)</f>
        <v/>
      </c>
      <c r="L104" s="50">
        <f>F104*K104</f>
        <v/>
      </c>
      <c r="M104" s="12" t="inlineStr"/>
    </row>
    <row r="105">
      <c r="A105" s="11" t="inlineStr">
        <is>
          <t>T-5.11</t>
        </is>
      </c>
      <c r="B105" s="11" t="inlineStr">
        <is>
          <t>Sprint 5</t>
        </is>
      </c>
      <c r="C105" s="11" t="inlineStr">
        <is>
          <t>HU-014</t>
        </is>
      </c>
      <c r="D105" s="12" t="inlineStr">
        <is>
          <t>Historial de estados común para solicitudes, órdenes y casos</t>
        </is>
      </c>
      <c r="E105" s="11" t="inlineStr">
        <is>
          <t>Matías Orellana</t>
        </is>
      </c>
      <c r="F105" s="11" t="n">
        <v>4</v>
      </c>
      <c r="G105" s="11" t="n">
        <v>2</v>
      </c>
      <c r="H105" s="48">
        <f>IF($G105=1,INDEX(SprintInicio,MATCH($B105,SprintNombres,0)),INDEX(SprintInicio,MATCH($B105,SprintNombres,0))+8-WEEKDAY(INDEX(SprintInicio,MATCH($B105,SprintNombres,0)),2))</f>
        <v/>
      </c>
      <c r="I105" s="48">
        <f>IF($G105=1,MIN(INDEX(SprintInicio,MATCH($B105,SprintNombres,0))+5-WEEKDAY(INDEX(SprintInicio,MATCH($B105,SprintNombres,0)),2),INDEX(SprintFin,MATCH($B105,SprintNombres,0))),INDEX(SprintFin,MATCH($B105,SprintNombres,0)))</f>
        <v/>
      </c>
      <c r="J105" s="49" t="inlineStr">
        <is>
          <t>Por hacer</t>
        </is>
      </c>
      <c r="K105" s="13">
        <f>IFERROR(VLOOKUP($J105,EstadosAvance,2,FALSE),0)</f>
        <v/>
      </c>
      <c r="L105" s="50">
        <f>F105*K105</f>
        <v/>
      </c>
      <c r="M105" s="12" t="inlineStr"/>
    </row>
    <row r="106">
      <c r="A106" s="11" t="inlineStr">
        <is>
          <t>T-5.12</t>
        </is>
      </c>
      <c r="B106" s="11" t="inlineStr">
        <is>
          <t>Sprint 5</t>
        </is>
      </c>
      <c r="C106" s="11" t="inlineStr">
        <is>
          <t>HU-014</t>
        </is>
      </c>
      <c r="D106" s="12" t="inlineStr">
        <is>
          <t>Pantalla de trazabilidad con estado actual, responsable y secuencia histórica</t>
        </is>
      </c>
      <c r="E106" s="11" t="inlineStr">
        <is>
          <t>Millaray Espósito</t>
        </is>
      </c>
      <c r="F106" s="11" t="n">
        <v>3</v>
      </c>
      <c r="G106" s="11" t="n">
        <v>2</v>
      </c>
      <c r="H106" s="48">
        <f>IF($G106=1,INDEX(SprintInicio,MATCH($B106,SprintNombres,0)),INDEX(SprintInicio,MATCH($B106,SprintNombres,0))+8-WEEKDAY(INDEX(SprintInicio,MATCH($B106,SprintNombres,0)),2))</f>
        <v/>
      </c>
      <c r="I106" s="48">
        <f>IF($G106=1,MIN(INDEX(SprintInicio,MATCH($B106,SprintNombres,0))+5-WEEKDAY(INDEX(SprintInicio,MATCH($B106,SprintNombres,0)),2),INDEX(SprintFin,MATCH($B106,SprintNombres,0))),INDEX(SprintFin,MATCH($B106,SprintNombres,0)))</f>
        <v/>
      </c>
      <c r="J106" s="49" t="inlineStr">
        <is>
          <t>Por hacer</t>
        </is>
      </c>
      <c r="K106" s="13">
        <f>IFERROR(VLOOKUP($J106,EstadosAvance,2,FALSE),0)</f>
        <v/>
      </c>
      <c r="L106" s="50">
        <f>F106*K106</f>
        <v/>
      </c>
      <c r="M106" s="12" t="inlineStr"/>
    </row>
    <row r="107">
      <c r="A107" s="11" t="inlineStr">
        <is>
          <t>T-5.13</t>
        </is>
      </c>
      <c r="B107" s="11" t="inlineStr">
        <is>
          <t>Sprint 5</t>
        </is>
      </c>
      <c r="C107" s="11" t="inlineStr">
        <is>
          <t>HU-014</t>
        </is>
      </c>
      <c r="D107" s="12" t="inlineStr">
        <is>
          <t>Bloqueo de edición de las respuestas resueltas</t>
        </is>
      </c>
      <c r="E107" s="11" t="inlineStr">
        <is>
          <t>Matías Orellana</t>
        </is>
      </c>
      <c r="F107" s="11" t="n">
        <v>2</v>
      </c>
      <c r="G107" s="11" t="n">
        <v>2</v>
      </c>
      <c r="H107" s="48">
        <f>IF($G107=1,INDEX(SprintInicio,MATCH($B107,SprintNombres,0)),INDEX(SprintInicio,MATCH($B107,SprintNombres,0))+8-WEEKDAY(INDEX(SprintInicio,MATCH($B107,SprintNombres,0)),2))</f>
        <v/>
      </c>
      <c r="I107" s="48">
        <f>IF($G107=1,MIN(INDEX(SprintInicio,MATCH($B107,SprintNombres,0))+5-WEEKDAY(INDEX(SprintInicio,MATCH($B107,SprintNombres,0)),2),INDEX(SprintFin,MATCH($B107,SprintNombres,0))),INDEX(SprintFin,MATCH($B107,SprintNombres,0)))</f>
        <v/>
      </c>
      <c r="J107" s="49" t="inlineStr">
        <is>
          <t>Por hacer</t>
        </is>
      </c>
      <c r="K107" s="13">
        <f>IFERROR(VLOOKUP($J107,EstadosAvance,2,FALSE),0)</f>
        <v/>
      </c>
      <c r="L107" s="50">
        <f>F107*K107</f>
        <v/>
      </c>
      <c r="M107" s="12" t="inlineStr"/>
    </row>
    <row r="108">
      <c r="A108" s="11" t="inlineStr">
        <is>
          <t>T-5.14</t>
        </is>
      </c>
      <c r="B108" s="11" t="inlineStr">
        <is>
          <t>Sprint 5</t>
        </is>
      </c>
      <c r="C108" s="11" t="inlineStr">
        <is>
          <t>HU-014</t>
        </is>
      </c>
      <c r="D108" s="12" t="inlineStr">
        <is>
          <t>Visibilidad según participación y rol</t>
        </is>
      </c>
      <c r="E108" s="11" t="inlineStr">
        <is>
          <t>Matías Orellana</t>
        </is>
      </c>
      <c r="F108" s="11" t="n">
        <v>2</v>
      </c>
      <c r="G108" s="11" t="n">
        <v>2</v>
      </c>
      <c r="H108" s="48">
        <f>IF($G108=1,INDEX(SprintInicio,MATCH($B108,SprintNombres,0)),INDEX(SprintInicio,MATCH($B108,SprintNombres,0))+8-WEEKDAY(INDEX(SprintInicio,MATCH($B108,SprintNombres,0)),2))</f>
        <v/>
      </c>
      <c r="I108" s="48">
        <f>IF($G108=1,MIN(INDEX(SprintInicio,MATCH($B108,SprintNombres,0))+5-WEEKDAY(INDEX(SprintInicio,MATCH($B108,SprintNombres,0)),2),INDEX(SprintFin,MATCH($B108,SprintNombres,0))),INDEX(SprintFin,MATCH($B108,SprintNombres,0)))</f>
        <v/>
      </c>
      <c r="J108" s="49" t="inlineStr">
        <is>
          <t>Por hacer</t>
        </is>
      </c>
      <c r="K108" s="13">
        <f>IFERROR(VLOOKUP($J108,EstadosAvance,2,FALSE),0)</f>
        <v/>
      </c>
      <c r="L108" s="50">
        <f>F108*K108</f>
        <v/>
      </c>
      <c r="M108" s="12" t="inlineStr"/>
    </row>
    <row r="109">
      <c r="A109" s="11" t="inlineStr">
        <is>
          <t>T-5.15</t>
        </is>
      </c>
      <c r="B109" s="11" t="inlineStr">
        <is>
          <t>Sprint 5</t>
        </is>
      </c>
      <c r="C109" s="11" t="inlineStr">
        <is>
          <t>HU-014</t>
        </is>
      </c>
      <c r="D109" s="12" t="inlineStr">
        <is>
          <t>Pruebas automatizadas y ejecución de CP-051 a CP-054</t>
        </is>
      </c>
      <c r="E109" s="11" t="inlineStr">
        <is>
          <t>Alexssander López</t>
        </is>
      </c>
      <c r="F109" s="11" t="n">
        <v>2</v>
      </c>
      <c r="G109" s="11" t="n">
        <v>2</v>
      </c>
      <c r="H109" s="48">
        <f>IF($G109=1,INDEX(SprintInicio,MATCH($B109,SprintNombres,0)),INDEX(SprintInicio,MATCH($B109,SprintNombres,0))+8-WEEKDAY(INDEX(SprintInicio,MATCH($B109,SprintNombres,0)),2))</f>
        <v/>
      </c>
      <c r="I109" s="48">
        <f>IF($G109=1,MIN(INDEX(SprintInicio,MATCH($B109,SprintNombres,0))+5-WEEKDAY(INDEX(SprintInicio,MATCH($B109,SprintNombres,0)),2),INDEX(SprintFin,MATCH($B109,SprintNombres,0))),INDEX(SprintFin,MATCH($B109,SprintNombres,0)))</f>
        <v/>
      </c>
      <c r="J109" s="49" t="inlineStr">
        <is>
          <t>Por hacer</t>
        </is>
      </c>
      <c r="K109" s="13">
        <f>IFERROR(VLOOKUP($J109,EstadosAvance,2,FALSE),0)</f>
        <v/>
      </c>
      <c r="L109" s="50">
        <f>F109*K109</f>
        <v/>
      </c>
      <c r="M109" s="12" t="inlineStr"/>
    </row>
    <row r="110">
      <c r="A110" s="11" t="inlineStr">
        <is>
          <t>T-5.16</t>
        </is>
      </c>
      <c r="B110" s="11" t="inlineStr">
        <is>
          <t>Sprint 5</t>
        </is>
      </c>
      <c r="C110" s="11" t="inlineStr">
        <is>
          <t>Transversal</t>
        </is>
      </c>
      <c r="D110" s="12" t="inlineStr">
        <is>
          <t>Pruebas de regresión de los módulos anteriores</t>
        </is>
      </c>
      <c r="E110" s="11" t="inlineStr">
        <is>
          <t>Alexssander López</t>
        </is>
      </c>
      <c r="F110" s="11" t="n">
        <v>3</v>
      </c>
      <c r="G110" s="11" t="n">
        <v>2</v>
      </c>
      <c r="H110" s="48">
        <f>IF($G110=1,INDEX(SprintInicio,MATCH($B110,SprintNombres,0)),INDEX(SprintInicio,MATCH($B110,SprintNombres,0))+8-WEEKDAY(INDEX(SprintInicio,MATCH($B110,SprintNombres,0)),2))</f>
        <v/>
      </c>
      <c r="I110" s="48">
        <f>IF($G110=1,MIN(INDEX(SprintInicio,MATCH($B110,SprintNombres,0))+5-WEEKDAY(INDEX(SprintInicio,MATCH($B110,SprintNombres,0)),2),INDEX(SprintFin,MATCH($B110,SprintNombres,0))),INDEX(SprintFin,MATCH($B110,SprintNombres,0)))</f>
        <v/>
      </c>
      <c r="J110" s="49" t="inlineStr">
        <is>
          <t>Por hacer</t>
        </is>
      </c>
      <c r="K110" s="13">
        <f>IFERROR(VLOOKUP($J110,EstadosAvance,2,FALSE),0)</f>
        <v/>
      </c>
      <c r="L110" s="50">
        <f>F110*K110</f>
        <v/>
      </c>
      <c r="M110" s="12" t="inlineStr"/>
    </row>
    <row r="111">
      <c r="A111" s="11" t="inlineStr">
        <is>
          <t>T-5.17</t>
        </is>
      </c>
      <c r="B111" s="11" t="inlineStr">
        <is>
          <t>Sprint 5</t>
        </is>
      </c>
      <c r="C111" s="11" t="inlineStr">
        <is>
          <t>Transversal</t>
        </is>
      </c>
      <c r="D111" s="12" t="inlineStr">
        <is>
          <t>Pruebas no funcionales: tiempos de respuesta, navegadores y restricciones de acceso</t>
        </is>
      </c>
      <c r="E111" s="11" t="inlineStr">
        <is>
          <t>Millaray Espósito</t>
        </is>
      </c>
      <c r="F111" s="11" t="n">
        <v>3</v>
      </c>
      <c r="G111" s="11" t="n">
        <v>2</v>
      </c>
      <c r="H111" s="48">
        <f>IF($G111=1,INDEX(SprintInicio,MATCH($B111,SprintNombres,0)),INDEX(SprintInicio,MATCH($B111,SprintNombres,0))+8-WEEKDAY(INDEX(SprintInicio,MATCH($B111,SprintNombres,0)),2))</f>
        <v/>
      </c>
      <c r="I111" s="48">
        <f>IF($G111=1,MIN(INDEX(SprintInicio,MATCH($B111,SprintNombres,0))+5-WEEKDAY(INDEX(SprintInicio,MATCH($B111,SprintNombres,0)),2),INDEX(SprintFin,MATCH($B111,SprintNombres,0))),INDEX(SprintFin,MATCH($B111,SprintNombres,0)))</f>
        <v/>
      </c>
      <c r="J111" s="49" t="inlineStr">
        <is>
          <t>Por hacer</t>
        </is>
      </c>
      <c r="K111" s="13">
        <f>IFERROR(VLOOKUP($J111,EstadosAvance,2,FALSE),0)</f>
        <v/>
      </c>
      <c r="L111" s="50">
        <f>F111*K111</f>
        <v/>
      </c>
      <c r="M111" s="12" t="inlineStr"/>
    </row>
    <row r="112">
      <c r="A112" s="11" t="inlineStr">
        <is>
          <t>T-5.18</t>
        </is>
      </c>
      <c r="B112" s="11" t="inlineStr">
        <is>
          <t>Sprint 5</t>
        </is>
      </c>
      <c r="C112" s="11" t="inlineStr">
        <is>
          <t>Transversal</t>
        </is>
      </c>
      <c r="D112" s="12" t="inlineStr">
        <is>
          <t>Validar el registro y la evaluación de casos con la Jefatura de Posventa</t>
        </is>
      </c>
      <c r="E112" s="11" t="inlineStr">
        <is>
          <t>Millaray Espósito</t>
        </is>
      </c>
      <c r="F112" s="11" t="n">
        <v>2</v>
      </c>
      <c r="G112" s="11" t="n">
        <v>2</v>
      </c>
      <c r="H112" s="48">
        <f>IF($G112=1,INDEX(SprintInicio,MATCH($B112,SprintNombres,0)),INDEX(SprintInicio,MATCH($B112,SprintNombres,0))+8-WEEKDAY(INDEX(SprintInicio,MATCH($B112,SprintNombres,0)),2))</f>
        <v/>
      </c>
      <c r="I112" s="48">
        <f>IF($G112=1,MIN(INDEX(SprintInicio,MATCH($B112,SprintNombres,0))+5-WEEKDAY(INDEX(SprintInicio,MATCH($B112,SprintNombres,0)),2),INDEX(SprintFin,MATCH($B112,SprintNombres,0))),INDEX(SprintFin,MATCH($B112,SprintNombres,0)))</f>
        <v/>
      </c>
      <c r="J112" s="49" t="inlineStr">
        <is>
          <t>Por hacer</t>
        </is>
      </c>
      <c r="K112" s="13">
        <f>IFERROR(VLOOKUP($J112,EstadosAvance,2,FALSE),0)</f>
        <v/>
      </c>
      <c r="L112" s="50">
        <f>F112*K112</f>
        <v/>
      </c>
      <c r="M112" s="12" t="inlineStr"/>
    </row>
    <row r="113">
      <c r="A113" s="11" t="inlineStr">
        <is>
          <t>T-5.19</t>
        </is>
      </c>
      <c r="B113" s="11" t="inlineStr">
        <is>
          <t>Sprint 5</t>
        </is>
      </c>
      <c r="C113" s="11" t="inlineStr">
        <is>
          <t>Transversal</t>
        </is>
      </c>
      <c r="D113" s="12" t="inlineStr">
        <is>
          <t>Integrar develop en main, etiquetar v0.5.0 y preparar la demostración</t>
        </is>
      </c>
      <c r="E113" s="11" t="inlineStr">
        <is>
          <t>Matías Orellana</t>
        </is>
      </c>
      <c r="F113" s="11" t="n">
        <v>2</v>
      </c>
      <c r="G113" s="11" t="n">
        <v>2</v>
      </c>
      <c r="H113" s="48">
        <f>IF($G113=1,INDEX(SprintInicio,MATCH($B113,SprintNombres,0)),INDEX(SprintInicio,MATCH($B113,SprintNombres,0))+8-WEEKDAY(INDEX(SprintInicio,MATCH($B113,SprintNombres,0)),2))</f>
        <v/>
      </c>
      <c r="I113" s="48">
        <f>IF($G113=1,MIN(INDEX(SprintInicio,MATCH($B113,SprintNombres,0))+5-WEEKDAY(INDEX(SprintInicio,MATCH($B113,SprintNombres,0)),2),INDEX(SprintFin,MATCH($B113,SprintNombres,0))),INDEX(SprintFin,MATCH($B113,SprintNombres,0)))</f>
        <v/>
      </c>
      <c r="J113" s="49" t="inlineStr">
        <is>
          <t>Por hacer</t>
        </is>
      </c>
      <c r="K113" s="13">
        <f>IFERROR(VLOOKUP($J113,EstadosAvance,2,FALSE),0)</f>
        <v/>
      </c>
      <c r="L113" s="50">
        <f>F113*K113</f>
        <v/>
      </c>
      <c r="M113" s="12" t="inlineStr"/>
    </row>
    <row r="114">
      <c r="A114" s="11" t="inlineStr">
        <is>
          <t>T-5.20</t>
        </is>
      </c>
      <c r="B114" s="11" t="inlineStr">
        <is>
          <t>Sprint 5</t>
        </is>
      </c>
      <c r="C114" s="11" t="inlineStr">
        <is>
          <t>Transversal</t>
        </is>
      </c>
      <c r="D114" s="12" t="inlineStr">
        <is>
          <t>Actualizar la matriz de trazabilidad y el Expediente de Sprint</t>
        </is>
      </c>
      <c r="E114" s="11" t="inlineStr">
        <is>
          <t>Alexssander López</t>
        </is>
      </c>
      <c r="F114" s="11" t="n">
        <v>2</v>
      </c>
      <c r="G114" s="11" t="n">
        <v>2</v>
      </c>
      <c r="H114" s="48">
        <f>IF($G114=1,INDEX(SprintInicio,MATCH($B114,SprintNombres,0)),INDEX(SprintInicio,MATCH($B114,SprintNombres,0))+8-WEEKDAY(INDEX(SprintInicio,MATCH($B114,SprintNombres,0)),2))</f>
        <v/>
      </c>
      <c r="I114" s="48">
        <f>IF($G114=1,MIN(INDEX(SprintInicio,MATCH($B114,SprintNombres,0))+5-WEEKDAY(INDEX(SprintInicio,MATCH($B114,SprintNombres,0)),2),INDEX(SprintFin,MATCH($B114,SprintNombres,0))),INDEX(SprintFin,MATCH($B114,SprintNombres,0)))</f>
        <v/>
      </c>
      <c r="J114" s="49" t="inlineStr">
        <is>
          <t>Por hacer</t>
        </is>
      </c>
      <c r="K114" s="13">
        <f>IFERROR(VLOOKUP($J114,EstadosAvance,2,FALSE),0)</f>
        <v/>
      </c>
      <c r="L114" s="50">
        <f>F114*K114</f>
        <v/>
      </c>
      <c r="M114" s="12" t="inlineStr"/>
    </row>
    <row r="115">
      <c r="A115" s="11" t="inlineStr">
        <is>
          <t>T-6.01</t>
        </is>
      </c>
      <c r="B115" s="11" t="inlineStr">
        <is>
          <t>Sprint 6</t>
        </is>
      </c>
      <c r="C115" s="11" t="inlineStr">
        <is>
          <t>HU-020</t>
        </is>
      </c>
      <c r="D115" s="12" t="inlineStr">
        <is>
          <t>Flujo de estados con guía: QR enviado, recepcionado, ruta de stock o proveedor y cierre</t>
        </is>
      </c>
      <c r="E115" s="11" t="inlineStr">
        <is>
          <t>Alexssander López</t>
        </is>
      </c>
      <c r="F115" s="11" t="n">
        <v>3</v>
      </c>
      <c r="G115" s="11" t="n">
        <v>1</v>
      </c>
      <c r="H115" s="48">
        <f>IF($G115=1,INDEX(SprintInicio,MATCH($B115,SprintNombres,0)),INDEX(SprintInicio,MATCH($B115,SprintNombres,0))+8-WEEKDAY(INDEX(SprintInicio,MATCH($B115,SprintNombres,0)),2))</f>
        <v/>
      </c>
      <c r="I115" s="48">
        <f>IF($G115=1,MIN(INDEX(SprintInicio,MATCH($B115,SprintNombres,0))+5-WEEKDAY(INDEX(SprintInicio,MATCH($B115,SprintNombres,0)),2),INDEX(SprintFin,MATCH($B115,SprintNombres,0))),INDEX(SprintFin,MATCH($B115,SprintNombres,0)))</f>
        <v/>
      </c>
      <c r="J115" s="49" t="inlineStr">
        <is>
          <t>Por hacer</t>
        </is>
      </c>
      <c r="K115" s="13">
        <f>IFERROR(VLOOKUP($J115,EstadosAvance,2,FALSE),0)</f>
        <v/>
      </c>
      <c r="L115" s="50">
        <f>F115*K115</f>
        <v/>
      </c>
      <c r="M115" s="12" t="inlineStr"/>
    </row>
    <row r="116">
      <c r="A116" s="11" t="inlineStr">
        <is>
          <t>T-6.02</t>
        </is>
      </c>
      <c r="B116" s="11" t="inlineStr">
        <is>
          <t>Sprint 6</t>
        </is>
      </c>
      <c r="C116" s="11" t="inlineStr">
        <is>
          <t>HU-020</t>
        </is>
      </c>
      <c r="D116" s="12" t="inlineStr">
        <is>
          <t>Ruta de los casos con factura de reserva</t>
        </is>
      </c>
      <c r="E116" s="11" t="inlineStr">
        <is>
          <t>Alexssander López</t>
        </is>
      </c>
      <c r="F116" s="11" t="n">
        <v>2</v>
      </c>
      <c r="G116" s="11" t="n">
        <v>1</v>
      </c>
      <c r="H116" s="48">
        <f>IF($G116=1,INDEX(SprintInicio,MATCH($B116,SprintNombres,0)),INDEX(SprintInicio,MATCH($B116,SprintNombres,0))+8-WEEKDAY(INDEX(SprintInicio,MATCH($B116,SprintNombres,0)),2))</f>
        <v/>
      </c>
      <c r="I116" s="48">
        <f>IF($G116=1,MIN(INDEX(SprintInicio,MATCH($B116,SprintNombres,0))+5-WEEKDAY(INDEX(SprintInicio,MATCH($B116,SprintNombres,0)),2),INDEX(SprintFin,MATCH($B116,SprintNombres,0))),INDEX(SprintFin,MATCH($B116,SprintNombres,0)))</f>
        <v/>
      </c>
      <c r="J116" s="49" t="inlineStr">
        <is>
          <t>Por hacer</t>
        </is>
      </c>
      <c r="K116" s="13">
        <f>IFERROR(VLOOKUP($J116,EstadosAvance,2,FALSE),0)</f>
        <v/>
      </c>
      <c r="L116" s="50">
        <f>F116*K116</f>
        <v/>
      </c>
      <c r="M116" s="12" t="inlineStr"/>
    </row>
    <row r="117">
      <c r="A117" s="11" t="inlineStr">
        <is>
          <t>T-6.03</t>
        </is>
      </c>
      <c r="B117" s="11" t="inlineStr">
        <is>
          <t>Sprint 6</t>
        </is>
      </c>
      <c r="C117" s="11" t="inlineStr">
        <is>
          <t>HU-020</t>
        </is>
      </c>
      <c r="D117" s="12" t="inlineStr">
        <is>
          <t>Notificaciones y observaciones visibles en cada cambio de estado</t>
        </is>
      </c>
      <c r="E117" s="11" t="inlineStr">
        <is>
          <t>Millaray Espósito</t>
        </is>
      </c>
      <c r="F117" s="11" t="n">
        <v>2</v>
      </c>
      <c r="G117" s="11" t="n">
        <v>1</v>
      </c>
      <c r="H117" s="48">
        <f>IF($G117=1,INDEX(SprintInicio,MATCH($B117,SprintNombres,0)),INDEX(SprintInicio,MATCH($B117,SprintNombres,0))+8-WEEKDAY(INDEX(SprintInicio,MATCH($B117,SprintNombres,0)),2))</f>
        <v/>
      </c>
      <c r="I117" s="48">
        <f>IF($G117=1,MIN(INDEX(SprintInicio,MATCH($B117,SprintNombres,0))+5-WEEKDAY(INDEX(SprintInicio,MATCH($B117,SprintNombres,0)),2),INDEX(SprintFin,MATCH($B117,SprintNombres,0))),INDEX(SprintFin,MATCH($B117,SprintNombres,0)))</f>
        <v/>
      </c>
      <c r="J117" s="49" t="inlineStr">
        <is>
          <t>Por hacer</t>
        </is>
      </c>
      <c r="K117" s="13">
        <f>IFERROR(VLOOKUP($J117,EstadosAvance,2,FALSE),0)</f>
        <v/>
      </c>
      <c r="L117" s="50">
        <f>F117*K117</f>
        <v/>
      </c>
      <c r="M117" s="12" t="inlineStr"/>
    </row>
    <row r="118">
      <c r="A118" s="11" t="inlineStr">
        <is>
          <t>T-6.04</t>
        </is>
      </c>
      <c r="B118" s="11" t="inlineStr">
        <is>
          <t>Sprint 6</t>
        </is>
      </c>
      <c r="C118" s="11" t="inlineStr">
        <is>
          <t>HU-020</t>
        </is>
      </c>
      <c r="D118" s="12" t="inlineStr">
        <is>
          <t>Cierre exclusivo del autorizador con resolución final</t>
        </is>
      </c>
      <c r="E118" s="11" t="inlineStr">
        <is>
          <t>Millaray Espósito</t>
        </is>
      </c>
      <c r="F118" s="11" t="n">
        <v>2</v>
      </c>
      <c r="G118" s="11" t="n">
        <v>1</v>
      </c>
      <c r="H118" s="48">
        <f>IF($G118=1,INDEX(SprintInicio,MATCH($B118,SprintNombres,0)),INDEX(SprintInicio,MATCH($B118,SprintNombres,0))+8-WEEKDAY(INDEX(SprintInicio,MATCH($B118,SprintNombres,0)),2))</f>
        <v/>
      </c>
      <c r="I118" s="48">
        <f>IF($G118=1,MIN(INDEX(SprintInicio,MATCH($B118,SprintNombres,0))+5-WEEKDAY(INDEX(SprintInicio,MATCH($B118,SprintNombres,0)),2),INDEX(SprintFin,MATCH($B118,SprintNombres,0))),INDEX(SprintFin,MATCH($B118,SprintNombres,0)))</f>
        <v/>
      </c>
      <c r="J118" s="49" t="inlineStr">
        <is>
          <t>Por hacer</t>
        </is>
      </c>
      <c r="K118" s="13">
        <f>IFERROR(VLOOKUP($J118,EstadosAvance,2,FALSE),0)</f>
        <v/>
      </c>
      <c r="L118" s="50">
        <f>F118*K118</f>
        <v/>
      </c>
      <c r="M118" s="12" t="inlineStr"/>
    </row>
    <row r="119">
      <c r="A119" s="11" t="inlineStr">
        <is>
          <t>T-6.05</t>
        </is>
      </c>
      <c r="B119" s="11" t="inlineStr">
        <is>
          <t>Sprint 6</t>
        </is>
      </c>
      <c r="C119" s="11" t="inlineStr">
        <is>
          <t>HU-020</t>
        </is>
      </c>
      <c r="D119" s="12" t="inlineStr">
        <is>
          <t>Pruebas automatizadas y ejecución de CP-075 a CP-078</t>
        </is>
      </c>
      <c r="E119" s="11" t="inlineStr">
        <is>
          <t>Matías Orellana</t>
        </is>
      </c>
      <c r="F119" s="11" t="n">
        <v>2</v>
      </c>
      <c r="G119" s="11" t="n">
        <v>1</v>
      </c>
      <c r="H119" s="48">
        <f>IF($G119=1,INDEX(SprintInicio,MATCH($B119,SprintNombres,0)),INDEX(SprintInicio,MATCH($B119,SprintNombres,0))+8-WEEKDAY(INDEX(SprintInicio,MATCH($B119,SprintNombres,0)),2))</f>
        <v/>
      </c>
      <c r="I119" s="48">
        <f>IF($G119=1,MIN(INDEX(SprintInicio,MATCH($B119,SprintNombres,0))+5-WEEKDAY(INDEX(SprintInicio,MATCH($B119,SprintNombres,0)),2),INDEX(SprintFin,MATCH($B119,SprintNombres,0))),INDEX(SprintFin,MATCH($B119,SprintNombres,0)))</f>
        <v/>
      </c>
      <c r="J119" s="49" t="inlineStr">
        <is>
          <t>Por hacer</t>
        </is>
      </c>
      <c r="K119" s="13">
        <f>IFERROR(VLOOKUP($J119,EstadosAvance,2,FALSE),0)</f>
        <v/>
      </c>
      <c r="L119" s="50">
        <f>F119*K119</f>
        <v/>
      </c>
      <c r="M119" s="12" t="inlineStr"/>
    </row>
    <row r="120">
      <c r="A120" s="11" t="inlineStr">
        <is>
          <t>T-6.06</t>
        </is>
      </c>
      <c r="B120" s="11" t="inlineStr">
        <is>
          <t>Sprint 6</t>
        </is>
      </c>
      <c r="C120" s="11" t="inlineStr">
        <is>
          <t>Transversal</t>
        </is>
      </c>
      <c r="D120" s="12" t="inlineStr">
        <is>
          <t>Integración final y corrección de incidencias abiertas</t>
        </is>
      </c>
      <c r="E120" s="11" t="inlineStr">
        <is>
          <t>Matías Orellana</t>
        </is>
      </c>
      <c r="F120" s="11" t="n">
        <v>3</v>
      </c>
      <c r="G120" s="11" t="n">
        <v>1</v>
      </c>
      <c r="H120" s="48">
        <f>IF($G120=1,INDEX(SprintInicio,MATCH($B120,SprintNombres,0)),INDEX(SprintInicio,MATCH($B120,SprintNombres,0))+8-WEEKDAY(INDEX(SprintInicio,MATCH($B120,SprintNombres,0)),2))</f>
        <v/>
      </c>
      <c r="I120" s="48">
        <f>IF($G120=1,MIN(INDEX(SprintInicio,MATCH($B120,SprintNombres,0))+5-WEEKDAY(INDEX(SprintInicio,MATCH($B120,SprintNombres,0)),2),INDEX(SprintFin,MATCH($B120,SprintNombres,0))),INDEX(SprintFin,MATCH($B120,SprintNombres,0)))</f>
        <v/>
      </c>
      <c r="J120" s="49" t="inlineStr">
        <is>
          <t>Por hacer</t>
        </is>
      </c>
      <c r="K120" s="13">
        <f>IFERROR(VLOOKUP($J120,EstadosAvance,2,FALSE),0)</f>
        <v/>
      </c>
      <c r="L120" s="50">
        <f>F120*K120</f>
        <v/>
      </c>
      <c r="M120" s="12" t="inlineStr"/>
    </row>
    <row r="121">
      <c r="A121" s="11" t="inlineStr">
        <is>
          <t>T-6.07</t>
        </is>
      </c>
      <c r="B121" s="11" t="inlineStr">
        <is>
          <t>Sprint 6</t>
        </is>
      </c>
      <c r="C121" s="11" t="inlineStr">
        <is>
          <t>Transversal</t>
        </is>
      </c>
      <c r="D121" s="12" t="inlineStr">
        <is>
          <t>Regresión completa del producto</t>
        </is>
      </c>
      <c r="E121" s="11" t="inlineStr">
        <is>
          <t>Matías Orellana</t>
        </is>
      </c>
      <c r="F121" s="11" t="n">
        <v>3</v>
      </c>
      <c r="G121" s="11" t="n">
        <v>1</v>
      </c>
      <c r="H121" s="48">
        <f>IF($G121=1,INDEX(SprintInicio,MATCH($B121,SprintNombres,0)),INDEX(SprintInicio,MATCH($B121,SprintNombres,0))+8-WEEKDAY(INDEX(SprintInicio,MATCH($B121,SprintNombres,0)),2))</f>
        <v/>
      </c>
      <c r="I121" s="48">
        <f>IF($G121=1,MIN(INDEX(SprintInicio,MATCH($B121,SprintNombres,0))+5-WEEKDAY(INDEX(SprintInicio,MATCH($B121,SprintNombres,0)),2),INDEX(SprintFin,MATCH($B121,SprintNombres,0))),INDEX(SprintFin,MATCH($B121,SprintNombres,0)))</f>
        <v/>
      </c>
      <c r="J121" s="49" t="inlineStr">
        <is>
          <t>Por hacer</t>
        </is>
      </c>
      <c r="K121" s="13">
        <f>IFERROR(VLOOKUP($J121,EstadosAvance,2,FALSE),0)</f>
        <v/>
      </c>
      <c r="L121" s="50">
        <f>F121*K121</f>
        <v/>
      </c>
      <c r="M121" s="12" t="inlineStr"/>
    </row>
    <row r="122">
      <c r="A122" s="11" t="inlineStr">
        <is>
          <t>T-6.08</t>
        </is>
      </c>
      <c r="B122" s="11" t="inlineStr">
        <is>
          <t>Sprint 6</t>
        </is>
      </c>
      <c r="C122" s="11" t="inlineStr">
        <is>
          <t>Transversal</t>
        </is>
      </c>
      <c r="D122" s="12" t="inlineStr">
        <is>
          <t>Validar el cierre de casos con la Jefatura de Posventa</t>
        </is>
      </c>
      <c r="E122" s="11" t="inlineStr">
        <is>
          <t>Alexssander López</t>
        </is>
      </c>
      <c r="F122" s="11" t="n">
        <v>1</v>
      </c>
      <c r="G122" s="11" t="n">
        <v>1</v>
      </c>
      <c r="H122" s="48">
        <f>IF($G122=1,INDEX(SprintInicio,MATCH($B122,SprintNombres,0)),INDEX(SprintInicio,MATCH($B122,SprintNombres,0))+8-WEEKDAY(INDEX(SprintInicio,MATCH($B122,SprintNombres,0)),2))</f>
        <v/>
      </c>
      <c r="I122" s="48">
        <f>IF($G122=1,MIN(INDEX(SprintInicio,MATCH($B122,SprintNombres,0))+5-WEEKDAY(INDEX(SprintInicio,MATCH($B122,SprintNombres,0)),2),INDEX(SprintFin,MATCH($B122,SprintNombres,0))),INDEX(SprintFin,MATCH($B122,SprintNombres,0)))</f>
        <v/>
      </c>
      <c r="J122" s="49" t="inlineStr">
        <is>
          <t>Por hacer</t>
        </is>
      </c>
      <c r="K122" s="13">
        <f>IFERROR(VLOOKUP($J122,EstadosAvance,2,FALSE),0)</f>
        <v/>
      </c>
      <c r="L122" s="50">
        <f>F122*K122</f>
        <v/>
      </c>
      <c r="M122" s="12" t="inlineStr"/>
    </row>
    <row r="123">
      <c r="A123" s="11" t="inlineStr">
        <is>
          <t>T-6.09</t>
        </is>
      </c>
      <c r="B123" s="11" t="inlineStr">
        <is>
          <t>Sprint 6</t>
        </is>
      </c>
      <c r="C123" s="11" t="inlineStr">
        <is>
          <t>Transversal</t>
        </is>
      </c>
      <c r="D123" s="12" t="inlineStr">
        <is>
          <t>Integrar develop en main, etiquetar v0.6.0 y preparar la demostración</t>
        </is>
      </c>
      <c r="E123" s="11" t="inlineStr">
        <is>
          <t>Millaray Espósito</t>
        </is>
      </c>
      <c r="F123" s="11" t="n">
        <v>2</v>
      </c>
      <c r="G123" s="11" t="n">
        <v>1</v>
      </c>
      <c r="H123" s="48">
        <f>IF($G123=1,INDEX(SprintInicio,MATCH($B123,SprintNombres,0)),INDEX(SprintInicio,MATCH($B123,SprintNombres,0))+8-WEEKDAY(INDEX(SprintInicio,MATCH($B123,SprintNombres,0)),2))</f>
        <v/>
      </c>
      <c r="I123" s="48">
        <f>IF($G123=1,MIN(INDEX(SprintInicio,MATCH($B123,SprintNombres,0))+5-WEEKDAY(INDEX(SprintInicio,MATCH($B123,SprintNombres,0)),2),INDEX(SprintFin,MATCH($B123,SprintNombres,0))),INDEX(SprintFin,MATCH($B123,SprintNombres,0)))</f>
        <v/>
      </c>
      <c r="J123" s="49" t="inlineStr">
        <is>
          <t>Por hacer</t>
        </is>
      </c>
      <c r="K123" s="13">
        <f>IFERROR(VLOOKUP($J123,EstadosAvance,2,FALSE),0)</f>
        <v/>
      </c>
      <c r="L123" s="50">
        <f>F123*K123</f>
        <v/>
      </c>
      <c r="M123" s="12" t="inlineStr"/>
    </row>
    <row r="124">
      <c r="A124" s="11" t="inlineStr">
        <is>
          <t>T-6.10</t>
        </is>
      </c>
      <c r="B124" s="11" t="inlineStr">
        <is>
          <t>Sprint 6</t>
        </is>
      </c>
      <c r="C124" s="11" t="inlineStr">
        <is>
          <t>Transversal</t>
        </is>
      </c>
      <c r="D124" s="12" t="inlineStr">
        <is>
          <t>Actualizar la matriz de trazabilidad y el Expediente de Sprint</t>
        </is>
      </c>
      <c r="E124" s="11" t="inlineStr">
        <is>
          <t>Matías Orellana</t>
        </is>
      </c>
      <c r="F124" s="11" t="n">
        <v>1</v>
      </c>
      <c r="G124" s="11" t="n">
        <v>1</v>
      </c>
      <c r="H124" s="48">
        <f>IF($G124=1,INDEX(SprintInicio,MATCH($B124,SprintNombres,0)),INDEX(SprintInicio,MATCH($B124,SprintNombres,0))+8-WEEKDAY(INDEX(SprintInicio,MATCH($B124,SprintNombres,0)),2))</f>
        <v/>
      </c>
      <c r="I124" s="48">
        <f>IF($G124=1,MIN(INDEX(SprintInicio,MATCH($B124,SprintNombres,0))+5-WEEKDAY(INDEX(SprintInicio,MATCH($B124,SprintNombres,0)),2),INDEX(SprintFin,MATCH($B124,SprintNombres,0))),INDEX(SprintFin,MATCH($B124,SprintNombres,0)))</f>
        <v/>
      </c>
      <c r="J124" s="49" t="inlineStr">
        <is>
          <t>Por hacer</t>
        </is>
      </c>
      <c r="K124" s="13">
        <f>IFERROR(VLOOKUP($J124,EstadosAvance,2,FALSE),0)</f>
        <v/>
      </c>
      <c r="L124" s="50">
        <f>F124*K124</f>
        <v/>
      </c>
      <c r="M124" s="12" t="inlineStr"/>
    </row>
  </sheetData>
  <conditionalFormatting sqref="J5:J124">
    <cfRule type="expression" priority="1" dxfId="10">
      <formula>$J5="Terminado"</formula>
    </cfRule>
    <cfRule type="expression" priority="2" dxfId="11">
      <formula>AND($J5&lt;&gt;"Por hacer",$J5&lt;&gt;"Terminado")</formula>
    </cfRule>
  </conditionalFormatting>
  <dataValidations count="1">
    <dataValidation sqref="J5:J124" showDropDown="0" showInputMessage="0" showErrorMessage="0" allowBlank="0" type="list">
      <formula1>EstadosTarea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8" customWidth="1" min="3" max="3"/>
    <col width="10" customWidth="1" min="4" max="4"/>
    <col width="6" customWidth="1" min="5" max="5"/>
    <col width="9" customWidth="1" min="6" max="6"/>
    <col width="16" customWidth="1" min="7" max="7"/>
    <col width="20" customWidth="1" min="8" max="8"/>
    <col width="17" customWidth="1" min="9" max="9"/>
    <col width="11" customWidth="1" min="10" max="10"/>
    <col width="11" customWidth="1" min="11" max="11"/>
    <col width="8" customWidth="1" min="12" max="12"/>
    <col width="10" customWidth="1" min="13" max="13"/>
    <col width="9" customWidth="1" min="14" max="14"/>
    <col width="10" customWidth="1" min="15" max="15"/>
    <col width="13" customWidth="1" min="16" max="16"/>
  </cols>
  <sheetData>
    <row r="1">
      <c r="A1" s="1" t="inlineStr">
        <is>
          <t>Historias de usuario por sprint</t>
        </is>
      </c>
    </row>
    <row r="2">
      <c r="A2" s="2" t="inlineStr">
        <is>
          <t>Fechas y avance calculados desde la hoja Tareas. Marque «Aceptada por PO» en la Sprint Review.</t>
        </is>
      </c>
    </row>
    <row r="4">
      <c r="A4" s="8" t="inlineStr">
        <is>
          <t>ID</t>
        </is>
      </c>
      <c r="B4" s="8" t="inlineStr">
        <is>
          <t>Título</t>
        </is>
      </c>
      <c r="C4" s="8" t="inlineStr">
        <is>
          <t>Épica</t>
        </is>
      </c>
      <c r="D4" s="8" t="inlineStr">
        <is>
          <t>Sprint</t>
        </is>
      </c>
      <c r="E4" s="8" t="inlineStr">
        <is>
          <t>SP</t>
        </is>
      </c>
      <c r="F4" s="8" t="inlineStr">
        <is>
          <t>Prioridad</t>
        </is>
      </c>
      <c r="G4" s="8" t="inlineStr">
        <is>
          <t>Dependencias</t>
        </is>
      </c>
      <c r="H4" s="8" t="inlineStr">
        <is>
          <t>Responsables</t>
        </is>
      </c>
      <c r="I4" s="8" t="inlineStr">
        <is>
          <t>Casos de prueba</t>
        </is>
      </c>
      <c r="J4" s="8" t="inlineStr">
        <is>
          <t>Inicio</t>
        </is>
      </c>
      <c r="K4" s="8" t="inlineStr">
        <is>
          <t>Término</t>
        </is>
      </c>
      <c r="L4" s="8" t="inlineStr">
        <is>
          <t>Horas</t>
        </is>
      </c>
      <c r="M4" s="8" t="inlineStr">
        <is>
          <t>Horas avanzadas</t>
        </is>
      </c>
      <c r="N4" s="8" t="inlineStr">
        <is>
          <t>% avance</t>
        </is>
      </c>
      <c r="O4" s="8" t="inlineStr">
        <is>
          <t>Aceptada por PO</t>
        </is>
      </c>
      <c r="P4" s="8" t="inlineStr">
        <is>
          <t>Estado</t>
        </is>
      </c>
    </row>
    <row r="5">
      <c r="A5" s="51" t="inlineStr">
        <is>
          <t>HU-001</t>
        </is>
      </c>
      <c r="B5" s="12" t="inlineStr">
        <is>
          <t>Autenticarse en la plataforma</t>
        </is>
      </c>
      <c r="C5" s="11" t="inlineStr">
        <is>
          <t>EP-01</t>
        </is>
      </c>
      <c r="D5" s="11" t="inlineStr">
        <is>
          <t>Sprint 1</t>
        </is>
      </c>
      <c r="E5" s="11" t="n">
        <v>5</v>
      </c>
      <c r="F5" s="11" t="inlineStr">
        <is>
          <t>Alta</t>
        </is>
      </c>
      <c r="G5" s="12" t="inlineStr">
        <is>
          <t>Ninguna</t>
        </is>
      </c>
      <c r="H5" s="12" t="inlineStr">
        <is>
          <t>Matías y Alexssander</t>
        </is>
      </c>
      <c r="I5" s="11" t="inlineStr">
        <is>
          <t>CP-001 a CP-003</t>
        </is>
      </c>
      <c r="J5" s="48">
        <f>_xlfn.MINIFS(Tareas!$H:$H,Tareas!$C:$C,$A5)</f>
        <v/>
      </c>
      <c r="K5" s="48">
        <f>_xlfn.MAXIFS(Tareas!$I:$I,Tareas!$C:$C,$A5)</f>
        <v/>
      </c>
      <c r="L5" s="11">
        <f>SUMIFS(Tareas!$F:$F,Tareas!$C:$C,$A5)</f>
        <v/>
      </c>
      <c r="M5" s="50">
        <f>SUMIFS(Tareas!$L:$L,Tareas!$C:$C,$A5)</f>
        <v/>
      </c>
      <c r="N5" s="13">
        <f>IFERROR(M5/L5,0)</f>
        <v/>
      </c>
      <c r="O5" s="49" t="inlineStr">
        <is>
          <t>No</t>
        </is>
      </c>
      <c r="P5" s="11">
        <f>IF(AND(N5&gt;=1,O5="Sí"),"Terminada",IF(N5&gt;=1,"Por aceptar",IF(N5&gt;0,"En curso","Por hacer")))</f>
        <v/>
      </c>
    </row>
    <row r="6">
      <c r="A6" s="51" t="inlineStr">
        <is>
          <t>HU-002</t>
        </is>
      </c>
      <c r="B6" s="12" t="inlineStr">
        <is>
          <t>Administrar usuarios y perfiles</t>
        </is>
      </c>
      <c r="C6" s="11" t="inlineStr">
        <is>
          <t>EP-01</t>
        </is>
      </c>
      <c r="D6" s="11" t="inlineStr">
        <is>
          <t>Sprint 1</t>
        </is>
      </c>
      <c r="E6" s="11" t="n">
        <v>8</v>
      </c>
      <c r="F6" s="11" t="inlineStr">
        <is>
          <t>Alta</t>
        </is>
      </c>
      <c r="G6" s="12" t="inlineStr">
        <is>
          <t>HU-001</t>
        </is>
      </c>
      <c r="H6" s="12" t="inlineStr">
        <is>
          <t>Matías y Alexssander</t>
        </is>
      </c>
      <c r="I6" s="11" t="inlineStr">
        <is>
          <t>CP-004 a CP-006</t>
        </is>
      </c>
      <c r="J6" s="48">
        <f>_xlfn.MINIFS(Tareas!$H:$H,Tareas!$C:$C,$A6)</f>
        <v/>
      </c>
      <c r="K6" s="48">
        <f>_xlfn.MAXIFS(Tareas!$I:$I,Tareas!$C:$C,$A6)</f>
        <v/>
      </c>
      <c r="L6" s="11">
        <f>SUMIFS(Tareas!$F:$F,Tareas!$C:$C,$A6)</f>
        <v/>
      </c>
      <c r="M6" s="50">
        <f>SUMIFS(Tareas!$L:$L,Tareas!$C:$C,$A6)</f>
        <v/>
      </c>
      <c r="N6" s="13">
        <f>IFERROR(M6/L6,0)</f>
        <v/>
      </c>
      <c r="O6" s="49" t="inlineStr">
        <is>
          <t>No</t>
        </is>
      </c>
      <c r="P6" s="11">
        <f>IF(AND(N6&gt;=1,O6="Sí"),"Terminada",IF(N6&gt;=1,"Por aceptar",IF(N6&gt;0,"En curso","Por hacer")))</f>
        <v/>
      </c>
    </row>
    <row r="7">
      <c r="A7" s="51" t="inlineStr">
        <is>
          <t>HU-003</t>
        </is>
      </c>
      <c r="B7" s="12" t="inlineStr">
        <is>
          <t>Configurar permisos y grupos de autorización</t>
        </is>
      </c>
      <c r="C7" s="11" t="inlineStr">
        <is>
          <t>EP-01</t>
        </is>
      </c>
      <c r="D7" s="11" t="inlineStr">
        <is>
          <t>Sprint 1</t>
        </is>
      </c>
      <c r="E7" s="11" t="n">
        <v>8</v>
      </c>
      <c r="F7" s="11" t="inlineStr">
        <is>
          <t>Alta</t>
        </is>
      </c>
      <c r="G7" s="12" t="inlineStr">
        <is>
          <t>HU-002</t>
        </is>
      </c>
      <c r="H7" s="12" t="inlineStr">
        <is>
          <t>Matías y Alexssander</t>
        </is>
      </c>
      <c r="I7" s="11" t="inlineStr">
        <is>
          <t>CP-007 a CP-010</t>
        </is>
      </c>
      <c r="J7" s="48">
        <f>_xlfn.MINIFS(Tareas!$H:$H,Tareas!$C:$C,$A7)</f>
        <v/>
      </c>
      <c r="K7" s="48">
        <f>_xlfn.MAXIFS(Tareas!$I:$I,Tareas!$C:$C,$A7)</f>
        <v/>
      </c>
      <c r="L7" s="11">
        <f>SUMIFS(Tareas!$F:$F,Tareas!$C:$C,$A7)</f>
        <v/>
      </c>
      <c r="M7" s="50">
        <f>SUMIFS(Tareas!$L:$L,Tareas!$C:$C,$A7)</f>
        <v/>
      </c>
      <c r="N7" s="13">
        <f>IFERROR(M7/L7,0)</f>
        <v/>
      </c>
      <c r="O7" s="49" t="inlineStr">
        <is>
          <t>No</t>
        </is>
      </c>
      <c r="P7" s="11">
        <f>IF(AND(N7&gt;=1,O7="Sí"),"Terminada",IF(N7&gt;=1,"Por aceptar",IF(N7&gt;0,"En curso","Por hacer")))</f>
        <v/>
      </c>
    </row>
    <row r="8">
      <c r="A8" s="51" t="inlineStr">
        <is>
          <t>HU-004</t>
        </is>
      </c>
      <c r="B8" s="12" t="inlineStr">
        <is>
          <t>Configurar empresas, vendedores y comisiones</t>
        </is>
      </c>
      <c r="C8" s="11" t="inlineStr">
        <is>
          <t>EP-01</t>
        </is>
      </c>
      <c r="D8" s="11" t="inlineStr">
        <is>
          <t>Sprint 1</t>
        </is>
      </c>
      <c r="E8" s="11" t="n">
        <v>8</v>
      </c>
      <c r="F8" s="11" t="inlineStr">
        <is>
          <t>Alta</t>
        </is>
      </c>
      <c r="G8" s="12" t="inlineStr">
        <is>
          <t>HU-002, HU-003</t>
        </is>
      </c>
      <c r="H8" s="12" t="inlineStr">
        <is>
          <t>Matías y Alexssander</t>
        </is>
      </c>
      <c r="I8" s="11" t="inlineStr">
        <is>
          <t>CP-011 a CP-014</t>
        </is>
      </c>
      <c r="J8" s="48">
        <f>_xlfn.MINIFS(Tareas!$H:$H,Tareas!$C:$C,$A8)</f>
        <v/>
      </c>
      <c r="K8" s="48">
        <f>_xlfn.MAXIFS(Tareas!$I:$I,Tareas!$C:$C,$A8)</f>
        <v/>
      </c>
      <c r="L8" s="11">
        <f>SUMIFS(Tareas!$F:$F,Tareas!$C:$C,$A8)</f>
        <v/>
      </c>
      <c r="M8" s="50">
        <f>SUMIFS(Tareas!$L:$L,Tareas!$C:$C,$A8)</f>
        <v/>
      </c>
      <c r="N8" s="13">
        <f>IFERROR(M8/L8,0)</f>
        <v/>
      </c>
      <c r="O8" s="49" t="inlineStr">
        <is>
          <t>No</t>
        </is>
      </c>
      <c r="P8" s="11">
        <f>IF(AND(N8&gt;=1,O8="Sí"),"Terminada",IF(N8&gt;=1,"Por aceptar",IF(N8&gt;0,"En curso","Por hacer")))</f>
        <v/>
      </c>
    </row>
    <row r="9">
      <c r="A9" s="51" t="inlineStr">
        <is>
          <t>HU-005</t>
        </is>
      </c>
      <c r="B9" s="12" t="inlineStr">
        <is>
          <t>Crear y enviar solicitudes de código</t>
        </is>
      </c>
      <c r="C9" s="11" t="inlineStr">
        <is>
          <t>EP-02</t>
        </is>
      </c>
      <c r="D9" s="11" t="inlineStr">
        <is>
          <t>Sprint 2</t>
        </is>
      </c>
      <c r="E9" s="11" t="n">
        <v>8</v>
      </c>
      <c r="F9" s="11" t="inlineStr">
        <is>
          <t>Alta</t>
        </is>
      </c>
      <c r="G9" s="12" t="inlineStr">
        <is>
          <t>HU-003, HU-004</t>
        </is>
      </c>
      <c r="H9" s="12" t="inlineStr">
        <is>
          <t>Millaray y Matías</t>
        </is>
      </c>
      <c r="I9" s="11" t="inlineStr">
        <is>
          <t>CP-015 a CP-018</t>
        </is>
      </c>
      <c r="J9" s="48">
        <f>_xlfn.MINIFS(Tareas!$H:$H,Tareas!$C:$C,$A9)</f>
        <v/>
      </c>
      <c r="K9" s="48">
        <f>_xlfn.MAXIFS(Tareas!$I:$I,Tareas!$C:$C,$A9)</f>
        <v/>
      </c>
      <c r="L9" s="11">
        <f>SUMIFS(Tareas!$F:$F,Tareas!$C:$C,$A9)</f>
        <v/>
      </c>
      <c r="M9" s="50">
        <f>SUMIFS(Tareas!$L:$L,Tareas!$C:$C,$A9)</f>
        <v/>
      </c>
      <c r="N9" s="13">
        <f>IFERROR(M9/L9,0)</f>
        <v/>
      </c>
      <c r="O9" s="49" t="inlineStr">
        <is>
          <t>No</t>
        </is>
      </c>
      <c r="P9" s="11">
        <f>IF(AND(N9&gt;=1,O9="Sí"),"Terminada",IF(N9&gt;=1,"Por aceptar",IF(N9&gt;0,"En curso","Por hacer")))</f>
        <v/>
      </c>
    </row>
    <row r="10">
      <c r="A10" s="51" t="inlineStr">
        <is>
          <t>HU-006</t>
        </is>
      </c>
      <c r="B10" s="12" t="inlineStr">
        <is>
          <t>Aprobar o rechazar solicitudes</t>
        </is>
      </c>
      <c r="C10" s="11" t="inlineStr">
        <is>
          <t>EP-02</t>
        </is>
      </c>
      <c r="D10" s="11" t="inlineStr">
        <is>
          <t>Sprint 2</t>
        </is>
      </c>
      <c r="E10" s="11" t="n">
        <v>5</v>
      </c>
      <c r="F10" s="11" t="inlineStr">
        <is>
          <t>Alta</t>
        </is>
      </c>
      <c r="G10" s="12" t="inlineStr">
        <is>
          <t>HU-005</t>
        </is>
      </c>
      <c r="H10" s="12" t="inlineStr">
        <is>
          <t>Millaray y Matías</t>
        </is>
      </c>
      <c r="I10" s="11" t="inlineStr">
        <is>
          <t>CP-019 a CP-022</t>
        </is>
      </c>
      <c r="J10" s="48">
        <f>_xlfn.MINIFS(Tareas!$H:$H,Tareas!$C:$C,$A10)</f>
        <v/>
      </c>
      <c r="K10" s="48">
        <f>_xlfn.MAXIFS(Tareas!$I:$I,Tareas!$C:$C,$A10)</f>
        <v/>
      </c>
      <c r="L10" s="11">
        <f>SUMIFS(Tareas!$F:$F,Tareas!$C:$C,$A10)</f>
        <v/>
      </c>
      <c r="M10" s="50">
        <f>SUMIFS(Tareas!$L:$L,Tareas!$C:$C,$A10)</f>
        <v/>
      </c>
      <c r="N10" s="13">
        <f>IFERROR(M10/L10,0)</f>
        <v/>
      </c>
      <c r="O10" s="49" t="inlineStr">
        <is>
          <t>No</t>
        </is>
      </c>
      <c r="P10" s="11">
        <f>IF(AND(N10&gt;=1,O10="Sí"),"Terminada",IF(N10&gt;=1,"Por aceptar",IF(N10&gt;0,"En curso","Por hacer")))</f>
        <v/>
      </c>
    </row>
    <row r="11">
      <c r="A11" s="51" t="inlineStr">
        <is>
          <t>HU-007</t>
        </is>
      </c>
      <c r="B11" s="12" t="inlineStr">
        <is>
          <t>Corregir, reenviar y consultar solicitudes</t>
        </is>
      </c>
      <c r="C11" s="11" t="inlineStr">
        <is>
          <t>EP-02</t>
        </is>
      </c>
      <c r="D11" s="11" t="inlineStr">
        <is>
          <t>Sprint 2</t>
        </is>
      </c>
      <c r="E11" s="11" t="n">
        <v>8</v>
      </c>
      <c r="F11" s="11" t="inlineStr">
        <is>
          <t>Alta</t>
        </is>
      </c>
      <c r="G11" s="12" t="inlineStr">
        <is>
          <t>HU-006</t>
        </is>
      </c>
      <c r="H11" s="12" t="inlineStr">
        <is>
          <t>Millaray y Matías</t>
        </is>
      </c>
      <c r="I11" s="11" t="inlineStr">
        <is>
          <t>CP-023 a CP-026</t>
        </is>
      </c>
      <c r="J11" s="48">
        <f>_xlfn.MINIFS(Tareas!$H:$H,Tareas!$C:$C,$A11)</f>
        <v/>
      </c>
      <c r="K11" s="48">
        <f>_xlfn.MAXIFS(Tareas!$I:$I,Tareas!$C:$C,$A11)</f>
        <v/>
      </c>
      <c r="L11" s="11">
        <f>SUMIFS(Tareas!$F:$F,Tareas!$C:$C,$A11)</f>
        <v/>
      </c>
      <c r="M11" s="50">
        <f>SUMIFS(Tareas!$L:$L,Tareas!$C:$C,$A11)</f>
        <v/>
      </c>
      <c r="N11" s="13">
        <f>IFERROR(M11/L11,0)</f>
        <v/>
      </c>
      <c r="O11" s="49" t="inlineStr">
        <is>
          <t>No</t>
        </is>
      </c>
      <c r="P11" s="11">
        <f>IF(AND(N11&gt;=1,O11="Sí"),"Terminada",IF(N11&gt;=1,"Por aceptar",IF(N11&gt;0,"En curso","Por hacer")))</f>
        <v/>
      </c>
    </row>
    <row r="12">
      <c r="A12" s="51" t="inlineStr">
        <is>
          <t>HU-012</t>
        </is>
      </c>
      <c r="B12" s="12" t="inlineStr">
        <is>
          <t>Notificar pendientes y recordatorios</t>
        </is>
      </c>
      <c r="C12" s="11" t="inlineStr">
        <is>
          <t>EP-04</t>
        </is>
      </c>
      <c r="D12" s="11" t="inlineStr">
        <is>
          <t>Sprint 2</t>
        </is>
      </c>
      <c r="E12" s="11" t="n">
        <v>5</v>
      </c>
      <c r="F12" s="11" t="inlineStr">
        <is>
          <t>Alta</t>
        </is>
      </c>
      <c r="G12" s="12" t="inlineStr">
        <is>
          <t>HU-005, HU-006</t>
        </is>
      </c>
      <c r="H12" s="12" t="inlineStr">
        <is>
          <t>Millaray y Matías</t>
        </is>
      </c>
      <c r="I12" s="11" t="inlineStr">
        <is>
          <t>CP-043 a CP-046</t>
        </is>
      </c>
      <c r="J12" s="48">
        <f>_xlfn.MINIFS(Tareas!$H:$H,Tareas!$C:$C,$A12)</f>
        <v/>
      </c>
      <c r="K12" s="48">
        <f>_xlfn.MAXIFS(Tareas!$I:$I,Tareas!$C:$C,$A12)</f>
        <v/>
      </c>
      <c r="L12" s="11">
        <f>SUMIFS(Tareas!$F:$F,Tareas!$C:$C,$A12)</f>
        <v/>
      </c>
      <c r="M12" s="50">
        <f>SUMIFS(Tareas!$L:$L,Tareas!$C:$C,$A12)</f>
        <v/>
      </c>
      <c r="N12" s="13">
        <f>IFERROR(M12/L12,0)</f>
        <v/>
      </c>
      <c r="O12" s="49" t="inlineStr">
        <is>
          <t>No</t>
        </is>
      </c>
      <c r="P12" s="11">
        <f>IF(AND(N12&gt;=1,O12="Sí"),"Terminada",IF(N12&gt;=1,"Por aceptar",IF(N12&gt;0,"En curso","Por hacer")))</f>
        <v/>
      </c>
    </row>
    <row r="13">
      <c r="A13" s="51" t="inlineStr">
        <is>
          <t>HU-015</t>
        </is>
      </c>
      <c r="B13" s="12" t="inlineStr">
        <is>
          <t>Consultar SAP mediante una API segura</t>
        </is>
      </c>
      <c r="C13" s="11" t="inlineStr">
        <is>
          <t>EP-05</t>
        </is>
      </c>
      <c r="D13" s="11" t="inlineStr">
        <is>
          <t>Sprint 3</t>
        </is>
      </c>
      <c r="E13" s="11" t="n">
        <v>8</v>
      </c>
      <c r="F13" s="11" t="inlineStr">
        <is>
          <t>Alta</t>
        </is>
      </c>
      <c r="G13" s="12" t="inlineStr">
        <is>
          <t>HU-003, HU-004</t>
        </is>
      </c>
      <c r="H13" s="12" t="inlineStr">
        <is>
          <t>Alexssander y Matías</t>
        </is>
      </c>
      <c r="I13" s="11" t="inlineStr">
        <is>
          <t>CP-055 a CP-058</t>
        </is>
      </c>
      <c r="J13" s="48">
        <f>_xlfn.MINIFS(Tareas!$H:$H,Tareas!$C:$C,$A13)</f>
        <v/>
      </c>
      <c r="K13" s="48">
        <f>_xlfn.MAXIFS(Tareas!$I:$I,Tareas!$C:$C,$A13)</f>
        <v/>
      </c>
      <c r="L13" s="11">
        <f>SUMIFS(Tareas!$F:$F,Tareas!$C:$C,$A13)</f>
        <v/>
      </c>
      <c r="M13" s="50">
        <f>SUMIFS(Tareas!$L:$L,Tareas!$C:$C,$A13)</f>
        <v/>
      </c>
      <c r="N13" s="13">
        <f>IFERROR(M13/L13,0)</f>
        <v/>
      </c>
      <c r="O13" s="49" t="inlineStr">
        <is>
          <t>No</t>
        </is>
      </c>
      <c r="P13" s="11">
        <f>IF(AND(N13&gt;=1,O13="Sí"),"Terminada",IF(N13&gt;=1,"Por aceptar",IF(N13&gt;0,"En curso","Por hacer")))</f>
        <v/>
      </c>
    </row>
    <row r="14">
      <c r="A14" s="51" t="inlineStr">
        <is>
          <t>HU-008</t>
        </is>
      </c>
      <c r="B14" s="12" t="inlineStr">
        <is>
          <t>Consultar productos, stock y clientes</t>
        </is>
      </c>
      <c r="C14" s="11" t="inlineStr">
        <is>
          <t>EP-03</t>
        </is>
      </c>
      <c r="D14" s="11" t="inlineStr">
        <is>
          <t>Sprint 3</t>
        </is>
      </c>
      <c r="E14" s="11" t="n">
        <v>8</v>
      </c>
      <c r="F14" s="11" t="inlineStr">
        <is>
          <t>Alta</t>
        </is>
      </c>
      <c r="G14" s="12" t="inlineStr">
        <is>
          <t>HU-004, HU-015</t>
        </is>
      </c>
      <c r="H14" s="12" t="inlineStr">
        <is>
          <t>Alexssander y Millaray</t>
        </is>
      </c>
      <c r="I14" s="11" t="inlineStr">
        <is>
          <t>CP-027 a CP-030</t>
        </is>
      </c>
      <c r="J14" s="48">
        <f>_xlfn.MINIFS(Tareas!$H:$H,Tareas!$C:$C,$A14)</f>
        <v/>
      </c>
      <c r="K14" s="48">
        <f>_xlfn.MAXIFS(Tareas!$I:$I,Tareas!$C:$C,$A14)</f>
        <v/>
      </c>
      <c r="L14" s="11">
        <f>SUMIFS(Tareas!$F:$F,Tareas!$C:$C,$A14)</f>
        <v/>
      </c>
      <c r="M14" s="50">
        <f>SUMIFS(Tareas!$L:$L,Tareas!$C:$C,$A14)</f>
        <v/>
      </c>
      <c r="N14" s="13">
        <f>IFERROR(M14/L14,0)</f>
        <v/>
      </c>
      <c r="O14" s="49" t="inlineStr">
        <is>
          <t>No</t>
        </is>
      </c>
      <c r="P14" s="11">
        <f>IF(AND(N14&gt;=1,O14="Sí"),"Terminada",IF(N14&gt;=1,"Por aceptar",IF(N14&gt;0,"En curso","Por hacer")))</f>
        <v/>
      </c>
    </row>
    <row r="15">
      <c r="A15" s="51" t="inlineStr">
        <is>
          <t>HU-009</t>
        </is>
      </c>
      <c r="B15" s="12" t="inlineStr">
        <is>
          <t>Crear y administrar cotizaciones</t>
        </is>
      </c>
      <c r="C15" s="11" t="inlineStr">
        <is>
          <t>EP-03</t>
        </is>
      </c>
      <c r="D15" s="11" t="inlineStr">
        <is>
          <t>Sprint 3</t>
        </is>
      </c>
      <c r="E15" s="11" t="n">
        <v>8</v>
      </c>
      <c r="F15" s="11" t="inlineStr">
        <is>
          <t>Alta</t>
        </is>
      </c>
      <c r="G15" s="12" t="inlineStr">
        <is>
          <t>HU-004, HU-008</t>
        </is>
      </c>
      <c r="H15" s="12" t="inlineStr">
        <is>
          <t>Millaray y Alexssander</t>
        </is>
      </c>
      <c r="I15" s="11" t="inlineStr">
        <is>
          <t>CP-031 a CP-034</t>
        </is>
      </c>
      <c r="J15" s="48">
        <f>_xlfn.MINIFS(Tareas!$H:$H,Tareas!$C:$C,$A15)</f>
        <v/>
      </c>
      <c r="K15" s="48">
        <f>_xlfn.MAXIFS(Tareas!$I:$I,Tareas!$C:$C,$A15)</f>
        <v/>
      </c>
      <c r="L15" s="11">
        <f>SUMIFS(Tareas!$F:$F,Tareas!$C:$C,$A15)</f>
        <v/>
      </c>
      <c r="M15" s="50">
        <f>SUMIFS(Tareas!$L:$L,Tareas!$C:$C,$A15)</f>
        <v/>
      </c>
      <c r="N15" s="13">
        <f>IFERROR(M15/L15,0)</f>
        <v/>
      </c>
      <c r="O15" s="49" t="inlineStr">
        <is>
          <t>No</t>
        </is>
      </c>
      <c r="P15" s="11">
        <f>IF(AND(N15&gt;=1,O15="Sí"),"Terminada",IF(N15&gt;=1,"Por aceptar",IF(N15&gt;0,"En curso","Por hacer")))</f>
        <v/>
      </c>
    </row>
    <row r="16">
      <c r="A16" s="51" t="inlineStr">
        <is>
          <t>HU-013</t>
        </is>
      </c>
      <c r="B16" s="12" t="inlineStr">
        <is>
          <t>Informar cambios de estado al solicitante</t>
        </is>
      </c>
      <c r="C16" s="11" t="inlineStr">
        <is>
          <t>EP-04</t>
        </is>
      </c>
      <c r="D16" s="11" t="inlineStr">
        <is>
          <t>Sprint 3</t>
        </is>
      </c>
      <c r="E16" s="11" t="n">
        <v>5</v>
      </c>
      <c r="F16" s="11" t="inlineStr">
        <is>
          <t>Alta</t>
        </is>
      </c>
      <c r="G16" s="12" t="inlineStr">
        <is>
          <t>HU-006, HU-012</t>
        </is>
      </c>
      <c r="H16" s="12" t="inlineStr">
        <is>
          <t>Millaray y Matías</t>
        </is>
      </c>
      <c r="I16" s="11" t="inlineStr">
        <is>
          <t>CP-047 a CP-050</t>
        </is>
      </c>
      <c r="J16" s="48">
        <f>_xlfn.MINIFS(Tareas!$H:$H,Tareas!$C:$C,$A16)</f>
        <v/>
      </c>
      <c r="K16" s="48">
        <f>_xlfn.MAXIFS(Tareas!$I:$I,Tareas!$C:$C,$A16)</f>
        <v/>
      </c>
      <c r="L16" s="11">
        <f>SUMIFS(Tareas!$F:$F,Tareas!$C:$C,$A16)</f>
        <v/>
      </c>
      <c r="M16" s="50">
        <f>SUMIFS(Tareas!$L:$L,Tareas!$C:$C,$A16)</f>
        <v/>
      </c>
      <c r="N16" s="13">
        <f>IFERROR(M16/L16,0)</f>
        <v/>
      </c>
      <c r="O16" s="49" t="inlineStr">
        <is>
          <t>No</t>
        </is>
      </c>
      <c r="P16" s="11">
        <f>IF(AND(N16&gt;=1,O16="Sí"),"Terminada",IF(N16&gt;=1,"Por aceptar",IF(N16&gt;0,"En curso","Por hacer")))</f>
        <v/>
      </c>
    </row>
    <row r="17">
      <c r="A17" s="51" t="inlineStr">
        <is>
          <t>HU-010</t>
        </is>
      </c>
      <c r="B17" s="12" t="inlineStr">
        <is>
          <t>Emitir la cotización y solicitar la orden de venta</t>
        </is>
      </c>
      <c r="C17" s="11" t="inlineStr">
        <is>
          <t>EP-03</t>
        </is>
      </c>
      <c r="D17" s="11" t="inlineStr">
        <is>
          <t>Sprint 4</t>
        </is>
      </c>
      <c r="E17" s="11" t="n">
        <v>5</v>
      </c>
      <c r="F17" s="11" t="inlineStr">
        <is>
          <t>Alta</t>
        </is>
      </c>
      <c r="G17" s="12" t="inlineStr">
        <is>
          <t>HU-009</t>
        </is>
      </c>
      <c r="H17" s="12" t="inlineStr">
        <is>
          <t>Millaray y Alexssander</t>
        </is>
      </c>
      <c r="I17" s="11" t="inlineStr">
        <is>
          <t>CP-035 a CP-038</t>
        </is>
      </c>
      <c r="J17" s="48">
        <f>_xlfn.MINIFS(Tareas!$H:$H,Tareas!$C:$C,$A17)</f>
        <v/>
      </c>
      <c r="K17" s="48">
        <f>_xlfn.MAXIFS(Tareas!$I:$I,Tareas!$C:$C,$A17)</f>
        <v/>
      </c>
      <c r="L17" s="11">
        <f>SUMIFS(Tareas!$F:$F,Tareas!$C:$C,$A17)</f>
        <v/>
      </c>
      <c r="M17" s="50">
        <f>SUMIFS(Tareas!$L:$L,Tareas!$C:$C,$A17)</f>
        <v/>
      </c>
      <c r="N17" s="13">
        <f>IFERROR(M17/L17,0)</f>
        <v/>
      </c>
      <c r="O17" s="49" t="inlineStr">
        <is>
          <t>No</t>
        </is>
      </c>
      <c r="P17" s="11">
        <f>IF(AND(N17&gt;=1,O17="Sí"),"Terminada",IF(N17&gt;=1,"Por aceptar",IF(N17&gt;0,"En curso","Por hacer")))</f>
        <v/>
      </c>
    </row>
    <row r="18">
      <c r="A18" s="51" t="inlineStr">
        <is>
          <t>HU-016</t>
        </is>
      </c>
      <c r="B18" s="12" t="inlineStr">
        <is>
          <t>Crear documentos mediante Service Layer</t>
        </is>
      </c>
      <c r="C18" s="11" t="inlineStr">
        <is>
          <t>EP-05</t>
        </is>
      </c>
      <c r="D18" s="11" t="inlineStr">
        <is>
          <t>Sprint 4</t>
        </is>
      </c>
      <c r="E18" s="11" t="n">
        <v>8</v>
      </c>
      <c r="F18" s="11" t="inlineStr">
        <is>
          <t>Alta</t>
        </is>
      </c>
      <c r="G18" s="12" t="inlineStr">
        <is>
          <t>HU-003, HU-004</t>
        </is>
      </c>
      <c r="H18" s="12" t="inlineStr">
        <is>
          <t>Alexssander y Matías</t>
        </is>
      </c>
      <c r="I18" s="11" t="inlineStr">
        <is>
          <t>CP-059 a CP-062</t>
        </is>
      </c>
      <c r="J18" s="48">
        <f>_xlfn.MINIFS(Tareas!$H:$H,Tareas!$C:$C,$A18)</f>
        <v/>
      </c>
      <c r="K18" s="48">
        <f>_xlfn.MAXIFS(Tareas!$I:$I,Tareas!$C:$C,$A18)</f>
        <v/>
      </c>
      <c r="L18" s="11">
        <f>SUMIFS(Tareas!$F:$F,Tareas!$C:$C,$A18)</f>
        <v/>
      </c>
      <c r="M18" s="50">
        <f>SUMIFS(Tareas!$L:$L,Tareas!$C:$C,$A18)</f>
        <v/>
      </c>
      <c r="N18" s="13">
        <f>IFERROR(M18/L18,0)</f>
        <v/>
      </c>
      <c r="O18" s="49" t="inlineStr">
        <is>
          <t>No</t>
        </is>
      </c>
      <c r="P18" s="11">
        <f>IF(AND(N18&gt;=1,O18="Sí"),"Terminada",IF(N18&gt;=1,"Por aceptar",IF(N18&gt;0,"En curso","Por hacer")))</f>
        <v/>
      </c>
    </row>
    <row r="19">
      <c r="A19" s="51" t="inlineStr">
        <is>
          <t>HU-017</t>
        </is>
      </c>
      <c r="B19" s="12" t="inlineStr">
        <is>
          <t>Registrar y reintentar operaciones fallidas</t>
        </is>
      </c>
      <c r="C19" s="11" t="inlineStr">
        <is>
          <t>EP-05</t>
        </is>
      </c>
      <c r="D19" s="11" t="inlineStr">
        <is>
          <t>Sprint 4</t>
        </is>
      </c>
      <c r="E19" s="11" t="n">
        <v>8</v>
      </c>
      <c r="F19" s="11" t="inlineStr">
        <is>
          <t>Alta</t>
        </is>
      </c>
      <c r="G19" s="12" t="inlineStr">
        <is>
          <t>HU-016</t>
        </is>
      </c>
      <c r="H19" s="12" t="inlineStr">
        <is>
          <t>Alexssander y Matías</t>
        </is>
      </c>
      <c r="I19" s="11" t="inlineStr">
        <is>
          <t>CP-063 a CP-066</t>
        </is>
      </c>
      <c r="J19" s="48">
        <f>_xlfn.MINIFS(Tareas!$H:$H,Tareas!$C:$C,$A19)</f>
        <v/>
      </c>
      <c r="K19" s="48">
        <f>_xlfn.MAXIFS(Tareas!$I:$I,Tareas!$C:$C,$A19)</f>
        <v/>
      </c>
      <c r="L19" s="11">
        <f>SUMIFS(Tareas!$F:$F,Tareas!$C:$C,$A19)</f>
        <v/>
      </c>
      <c r="M19" s="50">
        <f>SUMIFS(Tareas!$L:$L,Tareas!$C:$C,$A19)</f>
        <v/>
      </c>
      <c r="N19" s="13">
        <f>IFERROR(M19/L19,0)</f>
        <v/>
      </c>
      <c r="O19" s="49" t="inlineStr">
        <is>
          <t>No</t>
        </is>
      </c>
      <c r="P19" s="11">
        <f>IF(AND(N19&gt;=1,O19="Sí"),"Terminada",IF(N19&gt;=1,"Por aceptar",IF(N19&gt;0,"En curso","Por hacer")))</f>
        <v/>
      </c>
    </row>
    <row r="20">
      <c r="A20" s="51" t="inlineStr">
        <is>
          <t>HU-011</t>
        </is>
      </c>
      <c r="B20" s="12" t="inlineStr">
        <is>
          <t>Autorizar, enviar y seguir órdenes de venta</t>
        </is>
      </c>
      <c r="C20" s="11" t="inlineStr">
        <is>
          <t>EP-03</t>
        </is>
      </c>
      <c r="D20" s="11" t="inlineStr">
        <is>
          <t>Sprint 4</t>
        </is>
      </c>
      <c r="E20" s="11" t="n">
        <v>8</v>
      </c>
      <c r="F20" s="11" t="inlineStr">
        <is>
          <t>Alta</t>
        </is>
      </c>
      <c r="G20" s="12" t="inlineStr">
        <is>
          <t>HU-010, HU-016, HU-017</t>
        </is>
      </c>
      <c r="H20" s="12" t="inlineStr">
        <is>
          <t>Alexssander y Matías</t>
        </is>
      </c>
      <c r="I20" s="11" t="inlineStr">
        <is>
          <t>CP-039 a CP-042</t>
        </is>
      </c>
      <c r="J20" s="48">
        <f>_xlfn.MINIFS(Tareas!$H:$H,Tareas!$C:$C,$A20)</f>
        <v/>
      </c>
      <c r="K20" s="48">
        <f>_xlfn.MAXIFS(Tareas!$I:$I,Tareas!$C:$C,$A20)</f>
        <v/>
      </c>
      <c r="L20" s="11">
        <f>SUMIFS(Tareas!$F:$F,Tareas!$C:$C,$A20)</f>
        <v/>
      </c>
      <c r="M20" s="50">
        <f>SUMIFS(Tareas!$L:$L,Tareas!$C:$C,$A20)</f>
        <v/>
      </c>
      <c r="N20" s="13">
        <f>IFERROR(M20/L20,0)</f>
        <v/>
      </c>
      <c r="O20" s="49" t="inlineStr">
        <is>
          <t>No</t>
        </is>
      </c>
      <c r="P20" s="11">
        <f>IF(AND(N20&gt;=1,O20="Sí"),"Terminada",IF(N20&gt;=1,"Por aceptar",IF(N20&gt;0,"En curso","Por hacer")))</f>
        <v/>
      </c>
    </row>
    <row r="21">
      <c r="A21" s="51" t="inlineStr">
        <is>
          <t>HU-018</t>
        </is>
      </c>
      <c r="B21" s="12" t="inlineStr">
        <is>
          <t>Registrar un caso de posventa</t>
        </is>
      </c>
      <c r="C21" s="11" t="inlineStr">
        <is>
          <t>EP-06</t>
        </is>
      </c>
      <c r="D21" s="11" t="inlineStr">
        <is>
          <t>Sprint 5</t>
        </is>
      </c>
      <c r="E21" s="11" t="n">
        <v>8</v>
      </c>
      <c r="F21" s="11" t="inlineStr">
        <is>
          <t>Alta</t>
        </is>
      </c>
      <c r="G21" s="12" t="inlineStr">
        <is>
          <t>HU-003, HU-004, HU-015</t>
        </is>
      </c>
      <c r="H21" s="12" t="inlineStr">
        <is>
          <t>Millaray y Alexssander</t>
        </is>
      </c>
      <c r="I21" s="11" t="inlineStr">
        <is>
          <t>CP-067 a CP-070</t>
        </is>
      </c>
      <c r="J21" s="48">
        <f>_xlfn.MINIFS(Tareas!$H:$H,Tareas!$C:$C,$A21)</f>
        <v/>
      </c>
      <c r="K21" s="48">
        <f>_xlfn.MAXIFS(Tareas!$I:$I,Tareas!$C:$C,$A21)</f>
        <v/>
      </c>
      <c r="L21" s="11">
        <f>SUMIFS(Tareas!$F:$F,Tareas!$C:$C,$A21)</f>
        <v/>
      </c>
      <c r="M21" s="50">
        <f>SUMIFS(Tareas!$L:$L,Tareas!$C:$C,$A21)</f>
        <v/>
      </c>
      <c r="N21" s="13">
        <f>IFERROR(M21/L21,0)</f>
        <v/>
      </c>
      <c r="O21" s="49" t="inlineStr">
        <is>
          <t>No</t>
        </is>
      </c>
      <c r="P21" s="11">
        <f>IF(AND(N21&gt;=1,O21="Sí"),"Terminada",IF(N21&gt;=1,"Por aceptar",IF(N21&gt;0,"En curso","Por hacer")))</f>
        <v/>
      </c>
    </row>
    <row r="22">
      <c r="A22" s="51" t="inlineStr">
        <is>
          <t>HU-019</t>
        </is>
      </c>
      <c r="B22" s="12" t="inlineStr">
        <is>
          <t>Evaluar, resolver y emitir comprobante QR</t>
        </is>
      </c>
      <c r="C22" s="11" t="inlineStr">
        <is>
          <t>EP-06</t>
        </is>
      </c>
      <c r="D22" s="11" t="inlineStr">
        <is>
          <t>Sprint 5</t>
        </is>
      </c>
      <c r="E22" s="11" t="n">
        <v>8</v>
      </c>
      <c r="F22" s="11" t="inlineStr">
        <is>
          <t>Alta</t>
        </is>
      </c>
      <c r="G22" s="12" t="inlineStr">
        <is>
          <t>HU-018, HU-012, HU-013</t>
        </is>
      </c>
      <c r="H22" s="12" t="inlineStr">
        <is>
          <t>Millaray y Matías</t>
        </is>
      </c>
      <c r="I22" s="11" t="inlineStr">
        <is>
          <t>CP-071 a CP-074</t>
        </is>
      </c>
      <c r="J22" s="48">
        <f>_xlfn.MINIFS(Tareas!$H:$H,Tareas!$C:$C,$A22)</f>
        <v/>
      </c>
      <c r="K22" s="48">
        <f>_xlfn.MAXIFS(Tareas!$I:$I,Tareas!$C:$C,$A22)</f>
        <v/>
      </c>
      <c r="L22" s="11">
        <f>SUMIFS(Tareas!$F:$F,Tareas!$C:$C,$A22)</f>
        <v/>
      </c>
      <c r="M22" s="50">
        <f>SUMIFS(Tareas!$L:$L,Tareas!$C:$C,$A22)</f>
        <v/>
      </c>
      <c r="N22" s="13">
        <f>IFERROR(M22/L22,0)</f>
        <v/>
      </c>
      <c r="O22" s="49" t="inlineStr">
        <is>
          <t>No</t>
        </is>
      </c>
      <c r="P22" s="11">
        <f>IF(AND(N22&gt;=1,O22="Sí"),"Terminada",IF(N22&gt;=1,"Por aceptar",IF(N22&gt;0,"En curso","Por hacer")))</f>
        <v/>
      </c>
    </row>
    <row r="23">
      <c r="A23" s="51" t="inlineStr">
        <is>
          <t>HU-014</t>
        </is>
      </c>
      <c r="B23" s="12" t="inlineStr">
        <is>
          <t>Consultar la trazabilidad de los procesos</t>
        </is>
      </c>
      <c r="C23" s="11" t="inlineStr">
        <is>
          <t>EP-04</t>
        </is>
      </c>
      <c r="D23" s="11" t="inlineStr">
        <is>
          <t>Sprint 5</t>
        </is>
      </c>
      <c r="E23" s="11" t="n">
        <v>8</v>
      </c>
      <c r="F23" s="11" t="inlineStr">
        <is>
          <t>Alta</t>
        </is>
      </c>
      <c r="G23" s="12" t="inlineStr">
        <is>
          <t>HU-006, HU-011, HU-019</t>
        </is>
      </c>
      <c r="H23" s="12" t="inlineStr">
        <is>
          <t>Millaray y Matías</t>
        </is>
      </c>
      <c r="I23" s="11" t="inlineStr">
        <is>
          <t>CP-051 a CP-054</t>
        </is>
      </c>
      <c r="J23" s="48">
        <f>_xlfn.MINIFS(Tareas!$H:$H,Tareas!$C:$C,$A23)</f>
        <v/>
      </c>
      <c r="K23" s="48">
        <f>_xlfn.MAXIFS(Tareas!$I:$I,Tareas!$C:$C,$A23)</f>
        <v/>
      </c>
      <c r="L23" s="11">
        <f>SUMIFS(Tareas!$F:$F,Tareas!$C:$C,$A23)</f>
        <v/>
      </c>
      <c r="M23" s="50">
        <f>SUMIFS(Tareas!$L:$L,Tareas!$C:$C,$A23)</f>
        <v/>
      </c>
      <c r="N23" s="13">
        <f>IFERROR(M23/L23,0)</f>
        <v/>
      </c>
      <c r="O23" s="49" t="inlineStr">
        <is>
          <t>No</t>
        </is>
      </c>
      <c r="P23" s="11">
        <f>IF(AND(N23&gt;=1,O23="Sí"),"Terminada",IF(N23&gt;=1,"Por aceptar",IF(N23&gt;0,"En curso","Por hacer")))</f>
        <v/>
      </c>
    </row>
    <row r="24">
      <c r="A24" s="51" t="inlineStr">
        <is>
          <t>HU-020</t>
        </is>
      </c>
      <c r="B24" s="12" t="inlineStr">
        <is>
          <t>Gestionar el avance y cierre de posventa</t>
        </is>
      </c>
      <c r="C24" s="11" t="inlineStr">
        <is>
          <t>EP-06</t>
        </is>
      </c>
      <c r="D24" s="11" t="inlineStr">
        <is>
          <t>Sprint 6</t>
        </is>
      </c>
      <c r="E24" s="11" t="n">
        <v>8</v>
      </c>
      <c r="F24" s="11" t="inlineStr">
        <is>
          <t>Alta</t>
        </is>
      </c>
      <c r="G24" s="12" t="inlineStr">
        <is>
          <t>HU-019, HU-014</t>
        </is>
      </c>
      <c r="H24" s="12" t="inlineStr">
        <is>
          <t>Millaray y Alexssander</t>
        </is>
      </c>
      <c r="I24" s="11" t="inlineStr">
        <is>
          <t>CP-075 a CP-078</t>
        </is>
      </c>
      <c r="J24" s="48">
        <f>_xlfn.MINIFS(Tareas!$H:$H,Tareas!$C:$C,$A24)</f>
        <v/>
      </c>
      <c r="K24" s="48">
        <f>_xlfn.MAXIFS(Tareas!$I:$I,Tareas!$C:$C,$A24)</f>
        <v/>
      </c>
      <c r="L24" s="11">
        <f>SUMIFS(Tareas!$F:$F,Tareas!$C:$C,$A24)</f>
        <v/>
      </c>
      <c r="M24" s="50">
        <f>SUMIFS(Tareas!$L:$L,Tareas!$C:$C,$A24)</f>
        <v/>
      </c>
      <c r="N24" s="13">
        <f>IFERROR(M24/L24,0)</f>
        <v/>
      </c>
      <c r="O24" s="49" t="inlineStr">
        <is>
          <t>No</t>
        </is>
      </c>
      <c r="P24" s="11">
        <f>IF(AND(N24&gt;=1,O24="Sí"),"Terminada",IF(N24&gt;=1,"Por aceptar",IF(N24&gt;0,"En curso","Por hacer")))</f>
        <v/>
      </c>
    </row>
  </sheetData>
  <conditionalFormatting sqref="P5:P24">
    <cfRule type="expression" priority="1" dxfId="10">
      <formula>$P5="Terminada"</formula>
    </cfRule>
    <cfRule type="expression" priority="2" dxfId="11">
      <formula>OR($P5="En curso",$P5="Por aceptar")</formula>
    </cfRule>
  </conditionalFormatting>
  <dataValidations count="1">
    <dataValidation sqref="O5:O24" showDropDown="0" showInputMessage="0" showErrorMessage="0" allowBlank="0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4" customWidth="1" min="4" max="4"/>
    <col width="26" customWidth="1" min="5" max="5"/>
    <col width="34" customWidth="1" min="6" max="6"/>
    <col width="10" customWidth="1" min="7" max="7"/>
  </cols>
  <sheetData>
    <row r="1">
      <c r="A1" s="1" t="inlineStr">
        <is>
          <t>Eventos Scrum</t>
        </is>
      </c>
    </row>
    <row r="2">
      <c r="A2" s="2" t="inlineStr">
        <is>
          <t>Fechas calculadas desde las fechas de cada sprint. El Daily Scrum se realiza de lunes a viernes a las 21:00 (15 min).</t>
        </is>
      </c>
    </row>
    <row r="4">
      <c r="A4" s="8" t="inlineStr">
        <is>
          <t>Sprint</t>
        </is>
      </c>
      <c r="B4" s="8" t="inlineStr">
        <is>
          <t>Evento</t>
        </is>
      </c>
      <c r="C4" s="8" t="inlineStr">
        <is>
          <t>Fecha</t>
        </is>
      </c>
      <c r="D4" s="8" t="inlineStr">
        <is>
          <t>Duración máxima</t>
        </is>
      </c>
      <c r="E4" s="8" t="inlineStr">
        <is>
          <t>Participantes</t>
        </is>
      </c>
      <c r="F4" s="8" t="inlineStr">
        <is>
          <t>Registro</t>
        </is>
      </c>
      <c r="G4" s="8" t="inlineStr">
        <is>
          <t>Realizado</t>
        </is>
      </c>
    </row>
    <row r="5">
      <c r="A5" s="11" t="inlineStr">
        <is>
          <t>Sprint 1</t>
        </is>
      </c>
      <c r="B5" s="12" t="inlineStr">
        <is>
          <t>Sprint Planning</t>
        </is>
      </c>
      <c r="C5" s="48">
        <f>Resumen!$C$8</f>
        <v/>
      </c>
      <c r="D5" s="11" t="inlineStr">
        <is>
          <t>2 h</t>
        </is>
      </c>
      <c r="E5" s="11" t="inlineStr">
        <is>
          <t>Scrum Team</t>
        </is>
      </c>
      <c r="F5" s="11" t="inlineStr">
        <is>
          <t>Secciones 1 a 7 del Expediente</t>
        </is>
      </c>
      <c r="G5" s="49" t="inlineStr">
        <is>
          <t>No</t>
        </is>
      </c>
    </row>
    <row r="6">
      <c r="A6" s="11" t="inlineStr">
        <is>
          <t>Sprint 1</t>
        </is>
      </c>
      <c r="B6" s="12" t="inlineStr">
        <is>
          <t>Refinamiento del Product Backlog</t>
        </is>
      </c>
      <c r="C6" s="48">
        <f>Resumen!$C$8+8-WEEKDAY(Resumen!$C$8,2)</f>
        <v/>
      </c>
      <c r="D6" s="11" t="inlineStr">
        <is>
          <t>45 min</t>
        </is>
      </c>
      <c r="E6" s="11" t="inlineStr">
        <is>
          <t>Scrum Team y usuarios clave</t>
        </is>
      </c>
      <c r="F6" s="11" t="inlineStr">
        <is>
          <t>Product Backlog actualizado</t>
        </is>
      </c>
      <c r="G6" s="49" t="inlineStr">
        <is>
          <t>No</t>
        </is>
      </c>
    </row>
    <row r="7">
      <c r="A7" s="11" t="inlineStr">
        <is>
          <t>Sprint 1</t>
        </is>
      </c>
      <c r="B7" s="12" t="inlineStr">
        <is>
          <t>Integración y congelamiento</t>
        </is>
      </c>
      <c r="C7" s="48">
        <f>WORKDAY(Resumen!$D$8,-1,Feriados)</f>
        <v/>
      </c>
      <c r="D7" s="11" t="inlineStr">
        <is>
          <t>—</t>
        </is>
      </c>
      <c r="E7" s="11" t="inlineStr">
        <is>
          <t>Developers</t>
        </is>
      </c>
      <c r="F7" s="11" t="inlineStr">
        <is>
          <t>develop estable para la demostración</t>
        </is>
      </c>
      <c r="G7" s="49" t="inlineStr">
        <is>
          <t>No</t>
        </is>
      </c>
    </row>
    <row r="8">
      <c r="A8" s="11" t="inlineStr">
        <is>
          <t>Sprint 1</t>
        </is>
      </c>
      <c r="B8" s="12" t="inlineStr">
        <is>
          <t>Sprint Review</t>
        </is>
      </c>
      <c r="C8" s="48">
        <f>Resumen!$D$8</f>
        <v/>
      </c>
      <c r="D8" s="11" t="inlineStr">
        <is>
          <t>1 h</t>
        </is>
      </c>
      <c r="E8" s="11" t="inlineStr">
        <is>
          <t>Scrum Team y stakeholders</t>
        </is>
      </c>
      <c r="F8" s="11" t="inlineStr">
        <is>
          <t>Secciones 11 a 13 del Expediente</t>
        </is>
      </c>
      <c r="G8" s="49" t="inlineStr">
        <is>
          <t>No</t>
        </is>
      </c>
    </row>
    <row r="9">
      <c r="A9" s="11" t="inlineStr">
        <is>
          <t>Sprint 1</t>
        </is>
      </c>
      <c r="B9" s="12" t="inlineStr">
        <is>
          <t>Sprint Retrospective</t>
        </is>
      </c>
      <c r="C9" s="48">
        <f>Resumen!$D$8</f>
        <v/>
      </c>
      <c r="D9" s="11" t="inlineStr">
        <is>
          <t>45 min</t>
        </is>
      </c>
      <c r="E9" s="11" t="inlineStr">
        <is>
          <t>Scrum Team</t>
        </is>
      </c>
      <c r="F9" s="11" t="inlineStr">
        <is>
          <t>Secciones 14 y 15 del Expediente</t>
        </is>
      </c>
      <c r="G9" s="49" t="inlineStr">
        <is>
          <t>No</t>
        </is>
      </c>
    </row>
    <row r="10">
      <c r="A10" s="11" t="inlineStr">
        <is>
          <t>Sprint 2</t>
        </is>
      </c>
      <c r="B10" s="12" t="inlineStr">
        <is>
          <t>Sprint Planning</t>
        </is>
      </c>
      <c r="C10" s="48">
        <f>Resumen!$C$9</f>
        <v/>
      </c>
      <c r="D10" s="11" t="inlineStr">
        <is>
          <t>2 h</t>
        </is>
      </c>
      <c r="E10" s="11" t="inlineStr">
        <is>
          <t>Scrum Team</t>
        </is>
      </c>
      <c r="F10" s="11" t="inlineStr">
        <is>
          <t>Secciones 1 a 7 del Expediente</t>
        </is>
      </c>
      <c r="G10" s="49" t="inlineStr">
        <is>
          <t>No</t>
        </is>
      </c>
    </row>
    <row r="11">
      <c r="A11" s="11" t="inlineStr">
        <is>
          <t>Sprint 2</t>
        </is>
      </c>
      <c r="B11" s="12" t="inlineStr">
        <is>
          <t>Refinamiento del Product Backlog</t>
        </is>
      </c>
      <c r="C11" s="48">
        <f>Resumen!$C$9+8-WEEKDAY(Resumen!$C$9,2)</f>
        <v/>
      </c>
      <c r="D11" s="11" t="inlineStr">
        <is>
          <t>45 min</t>
        </is>
      </c>
      <c r="E11" s="11" t="inlineStr">
        <is>
          <t>Scrum Team y usuarios clave</t>
        </is>
      </c>
      <c r="F11" s="11" t="inlineStr">
        <is>
          <t>Product Backlog actualizado</t>
        </is>
      </c>
      <c r="G11" s="49" t="inlineStr">
        <is>
          <t>No</t>
        </is>
      </c>
    </row>
    <row r="12">
      <c r="A12" s="11" t="inlineStr">
        <is>
          <t>Sprint 2</t>
        </is>
      </c>
      <c r="B12" s="12" t="inlineStr">
        <is>
          <t>Integración y congelamiento</t>
        </is>
      </c>
      <c r="C12" s="48">
        <f>WORKDAY(Resumen!$D$9,-1,Feriados)</f>
        <v/>
      </c>
      <c r="D12" s="11" t="inlineStr">
        <is>
          <t>—</t>
        </is>
      </c>
      <c r="E12" s="11" t="inlineStr">
        <is>
          <t>Developers</t>
        </is>
      </c>
      <c r="F12" s="11" t="inlineStr">
        <is>
          <t>develop estable para la demostración</t>
        </is>
      </c>
      <c r="G12" s="49" t="inlineStr">
        <is>
          <t>No</t>
        </is>
      </c>
    </row>
    <row r="13">
      <c r="A13" s="11" t="inlineStr">
        <is>
          <t>Sprint 2</t>
        </is>
      </c>
      <c r="B13" s="12" t="inlineStr">
        <is>
          <t>Sprint Review</t>
        </is>
      </c>
      <c r="C13" s="48">
        <f>Resumen!$D$9</f>
        <v/>
      </c>
      <c r="D13" s="11" t="inlineStr">
        <is>
          <t>1 h</t>
        </is>
      </c>
      <c r="E13" s="11" t="inlineStr">
        <is>
          <t>Scrum Team y stakeholders</t>
        </is>
      </c>
      <c r="F13" s="11" t="inlineStr">
        <is>
          <t>Secciones 11 a 13 del Expediente</t>
        </is>
      </c>
      <c r="G13" s="49" t="inlineStr">
        <is>
          <t>No</t>
        </is>
      </c>
    </row>
    <row r="14">
      <c r="A14" s="11" t="inlineStr">
        <is>
          <t>Sprint 2</t>
        </is>
      </c>
      <c r="B14" s="12" t="inlineStr">
        <is>
          <t>Sprint Retrospective</t>
        </is>
      </c>
      <c r="C14" s="48">
        <f>Resumen!$D$9</f>
        <v/>
      </c>
      <c r="D14" s="11" t="inlineStr">
        <is>
          <t>45 min</t>
        </is>
      </c>
      <c r="E14" s="11" t="inlineStr">
        <is>
          <t>Scrum Team</t>
        </is>
      </c>
      <c r="F14" s="11" t="inlineStr">
        <is>
          <t>Secciones 14 y 15 del Expediente</t>
        </is>
      </c>
      <c r="G14" s="49" t="inlineStr">
        <is>
          <t>No</t>
        </is>
      </c>
    </row>
    <row r="15">
      <c r="A15" s="11" t="inlineStr">
        <is>
          <t>Sprint 3</t>
        </is>
      </c>
      <c r="B15" s="12" t="inlineStr">
        <is>
          <t>Sprint Planning</t>
        </is>
      </c>
      <c r="C15" s="48">
        <f>Resumen!$C$10</f>
        <v/>
      </c>
      <c r="D15" s="11" t="inlineStr">
        <is>
          <t>2 h</t>
        </is>
      </c>
      <c r="E15" s="11" t="inlineStr">
        <is>
          <t>Scrum Team</t>
        </is>
      </c>
      <c r="F15" s="11" t="inlineStr">
        <is>
          <t>Secciones 1 a 7 del Expediente</t>
        </is>
      </c>
      <c r="G15" s="49" t="inlineStr">
        <is>
          <t>No</t>
        </is>
      </c>
    </row>
    <row r="16">
      <c r="A16" s="11" t="inlineStr">
        <is>
          <t>Sprint 3</t>
        </is>
      </c>
      <c r="B16" s="12" t="inlineStr">
        <is>
          <t>Refinamiento del Product Backlog</t>
        </is>
      </c>
      <c r="C16" s="48">
        <f>Resumen!$C$10+8-WEEKDAY(Resumen!$C$10,2)</f>
        <v/>
      </c>
      <c r="D16" s="11" t="inlineStr">
        <is>
          <t>45 min</t>
        </is>
      </c>
      <c r="E16" s="11" t="inlineStr">
        <is>
          <t>Scrum Team y usuarios clave</t>
        </is>
      </c>
      <c r="F16" s="11" t="inlineStr">
        <is>
          <t>Product Backlog actualizado</t>
        </is>
      </c>
      <c r="G16" s="49" t="inlineStr">
        <is>
          <t>No</t>
        </is>
      </c>
    </row>
    <row r="17">
      <c r="A17" s="11" t="inlineStr">
        <is>
          <t>Sprint 3</t>
        </is>
      </c>
      <c r="B17" s="12" t="inlineStr">
        <is>
          <t>Integración y congelamiento</t>
        </is>
      </c>
      <c r="C17" s="48">
        <f>WORKDAY(Resumen!$D$10,-1,Feriados)</f>
        <v/>
      </c>
      <c r="D17" s="11" t="inlineStr">
        <is>
          <t>—</t>
        </is>
      </c>
      <c r="E17" s="11" t="inlineStr">
        <is>
          <t>Developers</t>
        </is>
      </c>
      <c r="F17" s="11" t="inlineStr">
        <is>
          <t>develop estable para la demostración</t>
        </is>
      </c>
      <c r="G17" s="49" t="inlineStr">
        <is>
          <t>No</t>
        </is>
      </c>
    </row>
    <row r="18">
      <c r="A18" s="11" t="inlineStr">
        <is>
          <t>Sprint 3</t>
        </is>
      </c>
      <c r="B18" s="12" t="inlineStr">
        <is>
          <t>Sprint Review</t>
        </is>
      </c>
      <c r="C18" s="48">
        <f>Resumen!$D$10</f>
        <v/>
      </c>
      <c r="D18" s="11" t="inlineStr">
        <is>
          <t>1 h</t>
        </is>
      </c>
      <c r="E18" s="11" t="inlineStr">
        <is>
          <t>Scrum Team y stakeholders</t>
        </is>
      </c>
      <c r="F18" s="11" t="inlineStr">
        <is>
          <t>Secciones 11 a 13 del Expediente</t>
        </is>
      </c>
      <c r="G18" s="49" t="inlineStr">
        <is>
          <t>No</t>
        </is>
      </c>
    </row>
    <row r="19">
      <c r="A19" s="11" t="inlineStr">
        <is>
          <t>Sprint 3</t>
        </is>
      </c>
      <c r="B19" s="12" t="inlineStr">
        <is>
          <t>Sprint Retrospective</t>
        </is>
      </c>
      <c r="C19" s="48">
        <f>Resumen!$D$10</f>
        <v/>
      </c>
      <c r="D19" s="11" t="inlineStr">
        <is>
          <t>45 min</t>
        </is>
      </c>
      <c r="E19" s="11" t="inlineStr">
        <is>
          <t>Scrum Team</t>
        </is>
      </c>
      <c r="F19" s="11" t="inlineStr">
        <is>
          <t>Secciones 14 y 15 del Expediente</t>
        </is>
      </c>
      <c r="G19" s="49" t="inlineStr">
        <is>
          <t>No</t>
        </is>
      </c>
    </row>
    <row r="20">
      <c r="A20" s="11" t="inlineStr">
        <is>
          <t>Sprint 4</t>
        </is>
      </c>
      <c r="B20" s="12" t="inlineStr">
        <is>
          <t>Sprint Planning</t>
        </is>
      </c>
      <c r="C20" s="48">
        <f>Resumen!$C$11</f>
        <v/>
      </c>
      <c r="D20" s="11" t="inlineStr">
        <is>
          <t>2 h</t>
        </is>
      </c>
      <c r="E20" s="11" t="inlineStr">
        <is>
          <t>Scrum Team</t>
        </is>
      </c>
      <c r="F20" s="11" t="inlineStr">
        <is>
          <t>Secciones 1 a 7 del Expediente</t>
        </is>
      </c>
      <c r="G20" s="49" t="inlineStr">
        <is>
          <t>No</t>
        </is>
      </c>
    </row>
    <row r="21">
      <c r="A21" s="11" t="inlineStr">
        <is>
          <t>Sprint 4</t>
        </is>
      </c>
      <c r="B21" s="12" t="inlineStr">
        <is>
          <t>Refinamiento del Product Backlog</t>
        </is>
      </c>
      <c r="C21" s="48">
        <f>Resumen!$C$11+8-WEEKDAY(Resumen!$C$11,2)</f>
        <v/>
      </c>
      <c r="D21" s="11" t="inlineStr">
        <is>
          <t>45 min</t>
        </is>
      </c>
      <c r="E21" s="11" t="inlineStr">
        <is>
          <t>Scrum Team y usuarios clave</t>
        </is>
      </c>
      <c r="F21" s="11" t="inlineStr">
        <is>
          <t>Product Backlog actualizado</t>
        </is>
      </c>
      <c r="G21" s="49" t="inlineStr">
        <is>
          <t>No</t>
        </is>
      </c>
    </row>
    <row r="22">
      <c r="A22" s="11" t="inlineStr">
        <is>
          <t>Sprint 4</t>
        </is>
      </c>
      <c r="B22" s="12" t="inlineStr">
        <is>
          <t>Integración y congelamiento</t>
        </is>
      </c>
      <c r="C22" s="48">
        <f>WORKDAY(Resumen!$D$11,-1,Feriados)</f>
        <v/>
      </c>
      <c r="D22" s="11" t="inlineStr">
        <is>
          <t>—</t>
        </is>
      </c>
      <c r="E22" s="11" t="inlineStr">
        <is>
          <t>Developers</t>
        </is>
      </c>
      <c r="F22" s="11" t="inlineStr">
        <is>
          <t>develop estable para la demostración</t>
        </is>
      </c>
      <c r="G22" s="49" t="inlineStr">
        <is>
          <t>No</t>
        </is>
      </c>
    </row>
    <row r="23">
      <c r="A23" s="11" t="inlineStr">
        <is>
          <t>Sprint 4</t>
        </is>
      </c>
      <c r="B23" s="12" t="inlineStr">
        <is>
          <t>Sprint Review</t>
        </is>
      </c>
      <c r="C23" s="48">
        <f>Resumen!$D$11</f>
        <v/>
      </c>
      <c r="D23" s="11" t="inlineStr">
        <is>
          <t>1 h</t>
        </is>
      </c>
      <c r="E23" s="11" t="inlineStr">
        <is>
          <t>Scrum Team y stakeholders</t>
        </is>
      </c>
      <c r="F23" s="11" t="inlineStr">
        <is>
          <t>Secciones 11 a 13 del Expediente</t>
        </is>
      </c>
      <c r="G23" s="49" t="inlineStr">
        <is>
          <t>No</t>
        </is>
      </c>
    </row>
    <row r="24">
      <c r="A24" s="11" t="inlineStr">
        <is>
          <t>Sprint 4</t>
        </is>
      </c>
      <c r="B24" s="12" t="inlineStr">
        <is>
          <t>Sprint Retrospective</t>
        </is>
      </c>
      <c r="C24" s="48">
        <f>Resumen!$D$11</f>
        <v/>
      </c>
      <c r="D24" s="11" t="inlineStr">
        <is>
          <t>45 min</t>
        </is>
      </c>
      <c r="E24" s="11" t="inlineStr">
        <is>
          <t>Scrum Team</t>
        </is>
      </c>
      <c r="F24" s="11" t="inlineStr">
        <is>
          <t>Secciones 14 y 15 del Expediente</t>
        </is>
      </c>
      <c r="G24" s="49" t="inlineStr">
        <is>
          <t>No</t>
        </is>
      </c>
    </row>
    <row r="25">
      <c r="A25" s="11" t="inlineStr">
        <is>
          <t>Sprint 5</t>
        </is>
      </c>
      <c r="B25" s="12" t="inlineStr">
        <is>
          <t>Sprint Planning</t>
        </is>
      </c>
      <c r="C25" s="48">
        <f>Resumen!$C$12</f>
        <v/>
      </c>
      <c r="D25" s="11" t="inlineStr">
        <is>
          <t>2 h</t>
        </is>
      </c>
      <c r="E25" s="11" t="inlineStr">
        <is>
          <t>Scrum Team</t>
        </is>
      </c>
      <c r="F25" s="11" t="inlineStr">
        <is>
          <t>Secciones 1 a 7 del Expediente</t>
        </is>
      </c>
      <c r="G25" s="49" t="inlineStr">
        <is>
          <t>No</t>
        </is>
      </c>
    </row>
    <row r="26">
      <c r="A26" s="11" t="inlineStr">
        <is>
          <t>Sprint 5</t>
        </is>
      </c>
      <c r="B26" s="12" t="inlineStr">
        <is>
          <t>Refinamiento del Product Backlog</t>
        </is>
      </c>
      <c r="C26" s="48">
        <f>Resumen!$C$12+8-WEEKDAY(Resumen!$C$12,2)</f>
        <v/>
      </c>
      <c r="D26" s="11" t="inlineStr">
        <is>
          <t>45 min</t>
        </is>
      </c>
      <c r="E26" s="11" t="inlineStr">
        <is>
          <t>Scrum Team y usuarios clave</t>
        </is>
      </c>
      <c r="F26" s="11" t="inlineStr">
        <is>
          <t>Product Backlog actualizado</t>
        </is>
      </c>
      <c r="G26" s="49" t="inlineStr">
        <is>
          <t>No</t>
        </is>
      </c>
    </row>
    <row r="27">
      <c r="A27" s="11" t="inlineStr">
        <is>
          <t>Sprint 5</t>
        </is>
      </c>
      <c r="B27" s="12" t="inlineStr">
        <is>
          <t>Integración y congelamiento</t>
        </is>
      </c>
      <c r="C27" s="48">
        <f>WORKDAY(Resumen!$D$12,-1,Feriados)</f>
        <v/>
      </c>
      <c r="D27" s="11" t="inlineStr">
        <is>
          <t>—</t>
        </is>
      </c>
      <c r="E27" s="11" t="inlineStr">
        <is>
          <t>Developers</t>
        </is>
      </c>
      <c r="F27" s="11" t="inlineStr">
        <is>
          <t>develop estable para la demostración</t>
        </is>
      </c>
      <c r="G27" s="49" t="inlineStr">
        <is>
          <t>No</t>
        </is>
      </c>
    </row>
    <row r="28">
      <c r="A28" s="11" t="inlineStr">
        <is>
          <t>Sprint 5</t>
        </is>
      </c>
      <c r="B28" s="12" t="inlineStr">
        <is>
          <t>Sprint Review</t>
        </is>
      </c>
      <c r="C28" s="48">
        <f>Resumen!$D$12</f>
        <v/>
      </c>
      <c r="D28" s="11" t="inlineStr">
        <is>
          <t>1 h</t>
        </is>
      </c>
      <c r="E28" s="11" t="inlineStr">
        <is>
          <t>Scrum Team y stakeholders</t>
        </is>
      </c>
      <c r="F28" s="11" t="inlineStr">
        <is>
          <t>Secciones 11 a 13 del Expediente</t>
        </is>
      </c>
      <c r="G28" s="49" t="inlineStr">
        <is>
          <t>No</t>
        </is>
      </c>
    </row>
    <row r="29">
      <c r="A29" s="11" t="inlineStr">
        <is>
          <t>Sprint 5</t>
        </is>
      </c>
      <c r="B29" s="12" t="inlineStr">
        <is>
          <t>Sprint Retrospective</t>
        </is>
      </c>
      <c r="C29" s="48">
        <f>Resumen!$D$12</f>
        <v/>
      </c>
      <c r="D29" s="11" t="inlineStr">
        <is>
          <t>45 min</t>
        </is>
      </c>
      <c r="E29" s="11" t="inlineStr">
        <is>
          <t>Scrum Team</t>
        </is>
      </c>
      <c r="F29" s="11" t="inlineStr">
        <is>
          <t>Secciones 14 y 15 del Expediente</t>
        </is>
      </c>
      <c r="G29" s="49" t="inlineStr">
        <is>
          <t>No</t>
        </is>
      </c>
    </row>
    <row r="30">
      <c r="A30" s="11" t="inlineStr">
        <is>
          <t>Sprint 6</t>
        </is>
      </c>
      <c r="B30" s="12" t="inlineStr">
        <is>
          <t>Sprint Planning</t>
        </is>
      </c>
      <c r="C30" s="48">
        <f>Resumen!$C$13</f>
        <v/>
      </c>
      <c r="D30" s="11" t="inlineStr">
        <is>
          <t>1 h</t>
        </is>
      </c>
      <c r="E30" s="11" t="inlineStr">
        <is>
          <t>Scrum Team</t>
        </is>
      </c>
      <c r="F30" s="11" t="inlineStr">
        <is>
          <t>Secciones 1 a 7 del Expediente</t>
        </is>
      </c>
      <c r="G30" s="49" t="inlineStr">
        <is>
          <t>No</t>
        </is>
      </c>
    </row>
    <row r="31">
      <c r="A31" s="11" t="inlineStr">
        <is>
          <t>Sprint 6</t>
        </is>
      </c>
      <c r="B31" s="12" t="inlineStr">
        <is>
          <t>Integración y congelamiento</t>
        </is>
      </c>
      <c r="C31" s="48">
        <f>WORKDAY(Resumen!$D$13,-1,Feriados)</f>
        <v/>
      </c>
      <c r="D31" s="11" t="inlineStr">
        <is>
          <t>—</t>
        </is>
      </c>
      <c r="E31" s="11" t="inlineStr">
        <is>
          <t>Developers</t>
        </is>
      </c>
      <c r="F31" s="11" t="inlineStr">
        <is>
          <t>develop estable para la demostración</t>
        </is>
      </c>
      <c r="G31" s="49" t="inlineStr">
        <is>
          <t>No</t>
        </is>
      </c>
    </row>
    <row r="32">
      <c r="A32" s="11" t="inlineStr">
        <is>
          <t>Sprint 6</t>
        </is>
      </c>
      <c r="B32" s="12" t="inlineStr">
        <is>
          <t>Sprint Review</t>
        </is>
      </c>
      <c r="C32" s="48">
        <f>Resumen!$D$13</f>
        <v/>
      </c>
      <c r="D32" s="11" t="inlineStr">
        <is>
          <t>30 min</t>
        </is>
      </c>
      <c r="E32" s="11" t="inlineStr">
        <is>
          <t>Scrum Team y stakeholders</t>
        </is>
      </c>
      <c r="F32" s="11" t="inlineStr">
        <is>
          <t>Secciones 11 a 13 del Expediente</t>
        </is>
      </c>
      <c r="G32" s="49" t="inlineStr">
        <is>
          <t>No</t>
        </is>
      </c>
    </row>
    <row r="33">
      <c r="A33" s="11" t="inlineStr">
        <is>
          <t>Sprint 6</t>
        </is>
      </c>
      <c r="B33" s="12" t="inlineStr">
        <is>
          <t>Sprint Retrospective</t>
        </is>
      </c>
      <c r="C33" s="48">
        <f>Resumen!$D$13</f>
        <v/>
      </c>
      <c r="D33" s="11" t="inlineStr">
        <is>
          <t>30 min</t>
        </is>
      </c>
      <c r="E33" s="11" t="inlineStr">
        <is>
          <t>Scrum Team</t>
        </is>
      </c>
      <c r="F33" s="11" t="inlineStr">
        <is>
          <t>Secciones 14 y 15 del Expediente</t>
        </is>
      </c>
      <c r="G33" s="49" t="inlineStr">
        <is>
          <t>No</t>
        </is>
      </c>
    </row>
    <row r="34">
      <c r="A34" s="11" t="inlineStr">
        <is>
          <t>Cierre</t>
        </is>
      </c>
      <c r="B34" s="12" t="inlineStr">
        <is>
          <t>Elaboración de evidencias sanitizadas</t>
        </is>
      </c>
      <c r="C34" s="10" t="n">
        <v>46342</v>
      </c>
      <c r="D34" s="11" t="inlineStr">
        <is>
          <t>—</t>
        </is>
      </c>
      <c r="E34" s="11" t="inlineStr">
        <is>
          <t>Scrum Team</t>
        </is>
      </c>
      <c r="F34" s="11" t="inlineStr">
        <is>
          <t>—</t>
        </is>
      </c>
      <c r="G34" s="49" t="inlineStr">
        <is>
          <t>No</t>
        </is>
      </c>
    </row>
    <row r="35">
      <c r="A35" s="11" t="inlineStr">
        <is>
          <t>Cierre</t>
        </is>
      </c>
      <c r="B35" s="12" t="inlineStr">
        <is>
          <t>Fin del período del proyecto</t>
        </is>
      </c>
      <c r="C35" s="10" t="n">
        <v>46363</v>
      </c>
      <c r="D35" s="11" t="inlineStr">
        <is>
          <t>—</t>
        </is>
      </c>
      <c r="E35" s="11" t="inlineStr">
        <is>
          <t>Scrum Team</t>
        </is>
      </c>
      <c r="F35" s="11" t="inlineStr">
        <is>
          <t>—</t>
        </is>
      </c>
      <c r="G35" s="49" t="inlineStr">
        <is>
          <t>No</t>
        </is>
      </c>
    </row>
  </sheetData>
  <dataValidations count="1">
    <dataValidation sqref="G5:G3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>
      <c r="A1" s="1" t="inlineStr">
        <is>
          <t>Capacidad por sprint e integrante</t>
        </is>
      </c>
    </row>
    <row r="2">
      <c r="A2" s="2" t="inlineStr">
        <is>
          <t>Horas disponibles = dedicación (3 h por día hábil + 3 h el sábado) − eventos Scrum − rol de PO o SM. Comprometido y avanzado se calculan desde Tareas.</t>
        </is>
      </c>
    </row>
    <row r="4">
      <c r="A4" s="8" t="inlineStr">
        <is>
          <t>Sprint</t>
        </is>
      </c>
      <c r="B4" s="8" t="inlineStr">
        <is>
          <t>Integrante</t>
        </is>
      </c>
      <c r="C4" s="8" t="inlineStr">
        <is>
          <t>Rol</t>
        </is>
      </c>
      <c r="D4" s="8" t="inlineStr">
        <is>
          <t>Disponible (h)</t>
        </is>
      </c>
      <c r="E4" s="8" t="inlineStr">
        <is>
          <t>Comprometido (h)</t>
        </is>
      </c>
      <c r="F4" s="8" t="inlineStr">
        <is>
          <t>% de uso</t>
        </is>
      </c>
      <c r="G4" s="8" t="inlineStr">
        <is>
          <t>Avanzado (h)</t>
        </is>
      </c>
    </row>
    <row r="5">
      <c r="A5" s="11" t="inlineStr">
        <is>
          <t>Sprint 1</t>
        </is>
      </c>
      <c r="B5" s="11" t="inlineStr">
        <is>
          <t>Matías Orellana</t>
        </is>
      </c>
      <c r="C5" s="11" t="inlineStr">
        <is>
          <t>Product Owner</t>
        </is>
      </c>
      <c r="D5" s="52" t="n">
        <v>26</v>
      </c>
      <c r="E5" s="11">
        <f>SUMIFS(Tareas!$F:$F,Tareas!$B:$B,$A5,Tareas!$E:$E,$B5)</f>
        <v/>
      </c>
      <c r="F5" s="13">
        <f>IFERROR(E5/D5,0)</f>
        <v/>
      </c>
      <c r="G5" s="50">
        <f>SUMIFS(Tareas!$L:$L,Tareas!$B:$B,$A5,Tareas!$E:$E,$B5)</f>
        <v/>
      </c>
    </row>
    <row r="6">
      <c r="A6" s="11" t="inlineStr">
        <is>
          <t>Sprint 1</t>
        </is>
      </c>
      <c r="B6" s="11" t="inlineStr">
        <is>
          <t>Millaray Espósito</t>
        </is>
      </c>
      <c r="C6" s="11" t="inlineStr">
        <is>
          <t>Scrum Master</t>
        </is>
      </c>
      <c r="D6" s="52" t="n">
        <v>26</v>
      </c>
      <c r="E6" s="11">
        <f>SUMIFS(Tareas!$F:$F,Tareas!$B:$B,$A6,Tareas!$E:$E,$B6)</f>
        <v/>
      </c>
      <c r="F6" s="13">
        <f>IFERROR(E6/D6,0)</f>
        <v/>
      </c>
      <c r="G6" s="50">
        <f>SUMIFS(Tareas!$L:$L,Tareas!$B:$B,$A6,Tareas!$E:$E,$B6)</f>
        <v/>
      </c>
    </row>
    <row r="7">
      <c r="A7" s="11" t="inlineStr">
        <is>
          <t>Sprint 1</t>
        </is>
      </c>
      <c r="B7" s="11" t="inlineStr">
        <is>
          <t>Alexssander López</t>
        </is>
      </c>
      <c r="C7" s="11" t="inlineStr">
        <is>
          <t>Integración</t>
        </is>
      </c>
      <c r="D7" s="52" t="n">
        <v>29</v>
      </c>
      <c r="E7" s="11">
        <f>SUMIFS(Tareas!$F:$F,Tareas!$B:$B,$A7,Tareas!$E:$E,$B7)</f>
        <v/>
      </c>
      <c r="F7" s="13">
        <f>IFERROR(E7/D7,0)</f>
        <v/>
      </c>
      <c r="G7" s="50">
        <f>SUMIFS(Tareas!$L:$L,Tareas!$B:$B,$A7,Tareas!$E:$E,$B7)</f>
        <v/>
      </c>
    </row>
    <row r="8">
      <c r="A8" s="11" t="inlineStr">
        <is>
          <t>Sprint 2</t>
        </is>
      </c>
      <c r="B8" s="11" t="inlineStr">
        <is>
          <t>Matías Orellana</t>
        </is>
      </c>
      <c r="C8" s="11" t="inlineStr">
        <is>
          <t>Integración</t>
        </is>
      </c>
      <c r="D8" s="52" t="n">
        <v>26</v>
      </c>
      <c r="E8" s="11">
        <f>SUMIFS(Tareas!$F:$F,Tareas!$B:$B,$A8,Tareas!$E:$E,$B8)</f>
        <v/>
      </c>
      <c r="F8" s="13">
        <f>IFERROR(E8/D8,0)</f>
        <v/>
      </c>
      <c r="G8" s="50">
        <f>SUMIFS(Tareas!$L:$L,Tareas!$B:$B,$A8,Tareas!$E:$E,$B8)</f>
        <v/>
      </c>
    </row>
    <row r="9">
      <c r="A9" s="11" t="inlineStr">
        <is>
          <t>Sprint 2</t>
        </is>
      </c>
      <c r="B9" s="11" t="inlineStr">
        <is>
          <t>Millaray Espósito</t>
        </is>
      </c>
      <c r="C9" s="11" t="inlineStr">
        <is>
          <t>Product Owner</t>
        </is>
      </c>
      <c r="D9" s="52" t="n">
        <v>23</v>
      </c>
      <c r="E9" s="11">
        <f>SUMIFS(Tareas!$F:$F,Tareas!$B:$B,$A9,Tareas!$E:$E,$B9)</f>
        <v/>
      </c>
      <c r="F9" s="13">
        <f>IFERROR(E9/D9,0)</f>
        <v/>
      </c>
      <c r="G9" s="50">
        <f>SUMIFS(Tareas!$L:$L,Tareas!$B:$B,$A9,Tareas!$E:$E,$B9)</f>
        <v/>
      </c>
    </row>
    <row r="10">
      <c r="A10" s="11" t="inlineStr">
        <is>
          <t>Sprint 2</t>
        </is>
      </c>
      <c r="B10" s="11" t="inlineStr">
        <is>
          <t>Alexssander López</t>
        </is>
      </c>
      <c r="C10" s="11" t="inlineStr">
        <is>
          <t>Scrum Master</t>
        </is>
      </c>
      <c r="D10" s="52" t="n">
        <v>23</v>
      </c>
      <c r="E10" s="11">
        <f>SUMIFS(Tareas!$F:$F,Tareas!$B:$B,$A10,Tareas!$E:$E,$B10)</f>
        <v/>
      </c>
      <c r="F10" s="13">
        <f>IFERROR(E10/D10,0)</f>
        <v/>
      </c>
      <c r="G10" s="50">
        <f>SUMIFS(Tareas!$L:$L,Tareas!$B:$B,$A10,Tareas!$E:$E,$B10)</f>
        <v/>
      </c>
    </row>
    <row r="11">
      <c r="A11" s="11" t="inlineStr">
        <is>
          <t>Sprint 3</t>
        </is>
      </c>
      <c r="B11" s="11" t="inlineStr">
        <is>
          <t>Matías Orellana</t>
        </is>
      </c>
      <c r="C11" s="11" t="inlineStr">
        <is>
          <t>Scrum Master</t>
        </is>
      </c>
      <c r="D11" s="52" t="n">
        <v>26</v>
      </c>
      <c r="E11" s="11">
        <f>SUMIFS(Tareas!$F:$F,Tareas!$B:$B,$A11,Tareas!$E:$E,$B11)</f>
        <v/>
      </c>
      <c r="F11" s="13">
        <f>IFERROR(E11/D11,0)</f>
        <v/>
      </c>
      <c r="G11" s="50">
        <f>SUMIFS(Tareas!$L:$L,Tareas!$B:$B,$A11,Tareas!$E:$E,$B11)</f>
        <v/>
      </c>
    </row>
    <row r="12">
      <c r="A12" s="11" t="inlineStr">
        <is>
          <t>Sprint 3</t>
        </is>
      </c>
      <c r="B12" s="11" t="inlineStr">
        <is>
          <t>Millaray Espósito</t>
        </is>
      </c>
      <c r="C12" s="11" t="inlineStr">
        <is>
          <t>Integración</t>
        </is>
      </c>
      <c r="D12" s="52" t="n">
        <v>29</v>
      </c>
      <c r="E12" s="11">
        <f>SUMIFS(Tareas!$F:$F,Tareas!$B:$B,$A12,Tareas!$E:$E,$B12)</f>
        <v/>
      </c>
      <c r="F12" s="13">
        <f>IFERROR(E12/D12,0)</f>
        <v/>
      </c>
      <c r="G12" s="50">
        <f>SUMIFS(Tareas!$L:$L,Tareas!$B:$B,$A12,Tareas!$E:$E,$B12)</f>
        <v/>
      </c>
    </row>
    <row r="13">
      <c r="A13" s="11" t="inlineStr">
        <is>
          <t>Sprint 3</t>
        </is>
      </c>
      <c r="B13" s="11" t="inlineStr">
        <is>
          <t>Alexssander López</t>
        </is>
      </c>
      <c r="C13" s="11" t="inlineStr">
        <is>
          <t>Product Owner</t>
        </is>
      </c>
      <c r="D13" s="52" t="n">
        <v>26</v>
      </c>
      <c r="E13" s="11">
        <f>SUMIFS(Tareas!$F:$F,Tareas!$B:$B,$A13,Tareas!$E:$E,$B13)</f>
        <v/>
      </c>
      <c r="F13" s="13">
        <f>IFERROR(E13/D13,0)</f>
        <v/>
      </c>
      <c r="G13" s="50">
        <f>SUMIFS(Tareas!$L:$L,Tareas!$B:$B,$A13,Tareas!$E:$E,$B13)</f>
        <v/>
      </c>
    </row>
    <row r="14">
      <c r="A14" s="11" t="inlineStr">
        <is>
          <t>Sprint 4</t>
        </is>
      </c>
      <c r="B14" s="11" t="inlineStr">
        <is>
          <t>Matías Orellana</t>
        </is>
      </c>
      <c r="C14" s="11" t="inlineStr">
        <is>
          <t>Product Owner</t>
        </is>
      </c>
      <c r="D14" s="52" t="n">
        <v>23</v>
      </c>
      <c r="E14" s="11">
        <f>SUMIFS(Tareas!$F:$F,Tareas!$B:$B,$A14,Tareas!$E:$E,$B14)</f>
        <v/>
      </c>
      <c r="F14" s="13">
        <f>IFERROR(E14/D14,0)</f>
        <v/>
      </c>
      <c r="G14" s="50">
        <f>SUMIFS(Tareas!$L:$L,Tareas!$B:$B,$A14,Tareas!$E:$E,$B14)</f>
        <v/>
      </c>
    </row>
    <row r="15">
      <c r="A15" s="11" t="inlineStr">
        <is>
          <t>Sprint 4</t>
        </is>
      </c>
      <c r="B15" s="11" t="inlineStr">
        <is>
          <t>Millaray Espósito</t>
        </is>
      </c>
      <c r="C15" s="11" t="inlineStr">
        <is>
          <t>Scrum Master</t>
        </is>
      </c>
      <c r="D15" s="52" t="n">
        <v>23</v>
      </c>
      <c r="E15" s="11">
        <f>SUMIFS(Tareas!$F:$F,Tareas!$B:$B,$A15,Tareas!$E:$E,$B15)</f>
        <v/>
      </c>
      <c r="F15" s="13">
        <f>IFERROR(E15/D15,0)</f>
        <v/>
      </c>
      <c r="G15" s="50">
        <f>SUMIFS(Tareas!$L:$L,Tareas!$B:$B,$A15,Tareas!$E:$E,$B15)</f>
        <v/>
      </c>
    </row>
    <row r="16">
      <c r="A16" s="11" t="inlineStr">
        <is>
          <t>Sprint 4</t>
        </is>
      </c>
      <c r="B16" s="11" t="inlineStr">
        <is>
          <t>Alexssander López</t>
        </is>
      </c>
      <c r="C16" s="11" t="inlineStr">
        <is>
          <t>Integración</t>
        </is>
      </c>
      <c r="D16" s="52" t="n">
        <v>26</v>
      </c>
      <c r="E16" s="11">
        <f>SUMIFS(Tareas!$F:$F,Tareas!$B:$B,$A16,Tareas!$E:$E,$B16)</f>
        <v/>
      </c>
      <c r="F16" s="13">
        <f>IFERROR(E16/D16,0)</f>
        <v/>
      </c>
      <c r="G16" s="50">
        <f>SUMIFS(Tareas!$L:$L,Tareas!$B:$B,$A16,Tareas!$E:$E,$B16)</f>
        <v/>
      </c>
    </row>
    <row r="17">
      <c r="A17" s="11" t="inlineStr">
        <is>
          <t>Sprint 5</t>
        </is>
      </c>
      <c r="B17" s="11" t="inlineStr">
        <is>
          <t>Matías Orellana</t>
        </is>
      </c>
      <c r="C17" s="11" t="inlineStr">
        <is>
          <t>Integración</t>
        </is>
      </c>
      <c r="D17" s="52" t="n">
        <v>29</v>
      </c>
      <c r="E17" s="11">
        <f>SUMIFS(Tareas!$F:$F,Tareas!$B:$B,$A17,Tareas!$E:$E,$B17)</f>
        <v/>
      </c>
      <c r="F17" s="13">
        <f>IFERROR(E17/D17,0)</f>
        <v/>
      </c>
      <c r="G17" s="50">
        <f>SUMIFS(Tareas!$L:$L,Tareas!$B:$B,$A17,Tareas!$E:$E,$B17)</f>
        <v/>
      </c>
    </row>
    <row r="18">
      <c r="A18" s="11" t="inlineStr">
        <is>
          <t>Sprint 5</t>
        </is>
      </c>
      <c r="B18" s="11" t="inlineStr">
        <is>
          <t>Millaray Espósito</t>
        </is>
      </c>
      <c r="C18" s="11" t="inlineStr">
        <is>
          <t>Product Owner</t>
        </is>
      </c>
      <c r="D18" s="52" t="n">
        <v>26</v>
      </c>
      <c r="E18" s="11">
        <f>SUMIFS(Tareas!$F:$F,Tareas!$B:$B,$A18,Tareas!$E:$E,$B18)</f>
        <v/>
      </c>
      <c r="F18" s="13">
        <f>IFERROR(E18/D18,0)</f>
        <v/>
      </c>
      <c r="G18" s="50">
        <f>SUMIFS(Tareas!$L:$L,Tareas!$B:$B,$A18,Tareas!$E:$E,$B18)</f>
        <v/>
      </c>
    </row>
    <row r="19">
      <c r="A19" s="11" t="inlineStr">
        <is>
          <t>Sprint 5</t>
        </is>
      </c>
      <c r="B19" s="11" t="inlineStr">
        <is>
          <t>Alexssander López</t>
        </is>
      </c>
      <c r="C19" s="11" t="inlineStr">
        <is>
          <t>Scrum Master</t>
        </is>
      </c>
      <c r="D19" s="52" t="n">
        <v>26</v>
      </c>
      <c r="E19" s="11">
        <f>SUMIFS(Tareas!$F:$F,Tareas!$B:$B,$A19,Tareas!$E:$E,$B19)</f>
        <v/>
      </c>
      <c r="F19" s="13">
        <f>IFERROR(E19/D19,0)</f>
        <v/>
      </c>
      <c r="G19" s="50">
        <f>SUMIFS(Tareas!$L:$L,Tareas!$B:$B,$A19,Tareas!$E:$E,$B19)</f>
        <v/>
      </c>
    </row>
    <row r="20">
      <c r="A20" s="11" t="inlineStr">
        <is>
          <t>Sprint 6</t>
        </is>
      </c>
      <c r="B20" s="11" t="inlineStr">
        <is>
          <t>Matías Orellana</t>
        </is>
      </c>
      <c r="C20" s="11" t="inlineStr">
        <is>
          <t>Scrum Master</t>
        </is>
      </c>
      <c r="D20" s="52" t="n">
        <v>13.25</v>
      </c>
      <c r="E20" s="11">
        <f>SUMIFS(Tareas!$F:$F,Tareas!$B:$B,$A20,Tareas!$E:$E,$B20)</f>
        <v/>
      </c>
      <c r="F20" s="13">
        <f>IFERROR(E20/D20,0)</f>
        <v/>
      </c>
      <c r="G20" s="50">
        <f>SUMIFS(Tareas!$L:$L,Tareas!$B:$B,$A20,Tareas!$E:$E,$B20)</f>
        <v/>
      </c>
    </row>
    <row r="21">
      <c r="A21" s="11" t="inlineStr">
        <is>
          <t>Sprint 6</t>
        </is>
      </c>
      <c r="B21" s="11" t="inlineStr">
        <is>
          <t>Millaray Espósito</t>
        </is>
      </c>
      <c r="C21" s="11" t="inlineStr">
        <is>
          <t>Integración</t>
        </is>
      </c>
      <c r="D21" s="52" t="n">
        <v>14.75</v>
      </c>
      <c r="E21" s="11">
        <f>SUMIFS(Tareas!$F:$F,Tareas!$B:$B,$A21,Tareas!$E:$E,$B21)</f>
        <v/>
      </c>
      <c r="F21" s="13">
        <f>IFERROR(E21/D21,0)</f>
        <v/>
      </c>
      <c r="G21" s="50">
        <f>SUMIFS(Tareas!$L:$L,Tareas!$B:$B,$A21,Tareas!$E:$E,$B21)</f>
        <v/>
      </c>
    </row>
    <row r="22">
      <c r="A22" s="11" t="inlineStr">
        <is>
          <t>Sprint 6</t>
        </is>
      </c>
      <c r="B22" s="11" t="inlineStr">
        <is>
          <t>Alexssander López</t>
        </is>
      </c>
      <c r="C22" s="11" t="inlineStr">
        <is>
          <t>Product Owner</t>
        </is>
      </c>
      <c r="D22" s="52" t="n">
        <v>13.25</v>
      </c>
      <c r="E22" s="11">
        <f>SUMIFS(Tareas!$F:$F,Tareas!$B:$B,$A22,Tareas!$E:$E,$B22)</f>
        <v/>
      </c>
      <c r="F22" s="13">
        <f>IFERROR(E22/D22,0)</f>
        <v/>
      </c>
      <c r="G22" s="50">
        <f>SUMIFS(Tareas!$L:$L,Tareas!$B:$B,$A22,Tareas!$E:$E,$B22)</f>
        <v/>
      </c>
    </row>
  </sheetData>
  <conditionalFormatting sqref="F5:F22">
    <cfRule type="expression" priority="1" dxfId="12">
      <formula>$F5&gt;1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" customWidth="1" min="3" max="3"/>
    <col width="18" customWidth="1" min="4" max="4"/>
    <col width="12" customWidth="1" min="5" max="5"/>
  </cols>
  <sheetData>
    <row r="1">
      <c r="A1" s="1" t="inlineStr">
        <is>
          <t>Configuración</t>
        </is>
      </c>
    </row>
    <row r="2">
      <c r="A2" s="2" t="inlineStr">
        <is>
          <t>Listas usadas por las fórmulas. Los valores en azul pueden editarse.</t>
        </is>
      </c>
    </row>
    <row r="4">
      <c r="A4" s="8" t="inlineStr">
        <is>
          <t>Feriado</t>
        </is>
      </c>
      <c r="B4" s="8" t="inlineStr">
        <is>
          <t>Descripción</t>
        </is>
      </c>
      <c r="D4" s="8" t="inlineStr">
        <is>
          <t>Estado de tarea</t>
        </is>
      </c>
      <c r="E4" s="8" t="inlineStr">
        <is>
          <t>% de avance</t>
        </is>
      </c>
    </row>
    <row r="5">
      <c r="A5" s="53" t="n">
        <v>46283</v>
      </c>
      <c r="B5" s="12" t="inlineStr">
        <is>
          <t>Fiestas Patrias</t>
        </is>
      </c>
      <c r="D5" s="12" t="inlineStr">
        <is>
          <t>Por hacer</t>
        </is>
      </c>
      <c r="E5" s="54" t="n">
        <v>0</v>
      </c>
    </row>
    <row r="6">
      <c r="A6" s="53" t="n">
        <v>46284</v>
      </c>
      <c r="B6" s="12" t="inlineStr">
        <is>
          <t>Día de las Glorias del Ejército</t>
        </is>
      </c>
      <c r="D6" s="12" t="inlineStr">
        <is>
          <t>En curso</t>
        </is>
      </c>
      <c r="E6" s="54" t="n">
        <v>0.5</v>
      </c>
    </row>
    <row r="7">
      <c r="A7" s="53" t="n">
        <v>46307</v>
      </c>
      <c r="B7" s="12" t="inlineStr">
        <is>
          <t>Encuentro de Dos Mundos</t>
        </is>
      </c>
      <c r="D7" s="12" t="inlineStr">
        <is>
          <t>En revisión</t>
        </is>
      </c>
      <c r="E7" s="54" t="n">
        <v>0.75</v>
      </c>
    </row>
    <row r="8">
      <c r="A8" s="53" t="n">
        <v>46326</v>
      </c>
      <c r="B8" s="12" t="inlineStr">
        <is>
          <t>Día de las Iglesias Evangélicas</t>
        </is>
      </c>
      <c r="D8" s="12" t="inlineStr">
        <is>
          <t>En pruebas</t>
        </is>
      </c>
      <c r="E8" s="54" t="n">
        <v>0.9</v>
      </c>
    </row>
    <row r="9">
      <c r="A9" s="53" t="n">
        <v>46327</v>
      </c>
      <c r="B9" s="12" t="inlineStr">
        <is>
          <t>Día de Todos los Santos</t>
        </is>
      </c>
      <c r="D9" s="12" t="inlineStr">
        <is>
          <t>Terminado</t>
        </is>
      </c>
      <c r="E9" s="54" t="n">
        <v>1</v>
      </c>
    </row>
    <row r="10">
      <c r="A10" s="53" t="n">
        <v>46364</v>
      </c>
      <c r="B10" s="12" t="inlineStr">
        <is>
          <t>Inmaculada Concepción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2026-09-27T23:12:36Z</dcterms:created>
  <dcterms:modified xsi:type="dcterms:W3CDTF">2026-09-27T23:12:38Z</dcterms:modified>
</cp:coreProperties>
</file>