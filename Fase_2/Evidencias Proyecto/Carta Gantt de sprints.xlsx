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egh\Downloads\Entrega Duoc - Milla y Ale\Entrega Duoc - Milla y Ale\Milla\"/>
    </mc:Choice>
  </mc:AlternateContent>
  <xr:revisionPtr revIDLastSave="0" documentId="13_ncr:1_{A59D869F-8345-44F8-81A2-60663B1984E8}" xr6:coauthVersionLast="47" xr6:coauthVersionMax="47" xr10:uidLastSave="{00000000-0000-0000-0000-000000000000}"/>
  <bookViews>
    <workbookView xWindow="2685" yWindow="2685" windowWidth="21600" windowHeight="12645" xr2:uid="{00000000-000D-0000-FFFF-FFFF00000000}"/>
  </bookViews>
  <sheets>
    <sheet name="Resumen" sheetId="1" r:id="rId1"/>
    <sheet name="Carta Gantt" sheetId="2" r:id="rId2"/>
    <sheet name="Tareas" sheetId="3" r:id="rId3"/>
    <sheet name="Historias" sheetId="4" r:id="rId4"/>
    <sheet name="Eventos" sheetId="5" r:id="rId5"/>
    <sheet name="Capacidad" sheetId="6" r:id="rId6"/>
    <sheet name="Config" sheetId="7" r:id="rId7"/>
  </sheets>
  <definedNames>
    <definedName name="EstadosAvance">Config!$D$5:$E$9</definedName>
    <definedName name="EstadosTarea">Config!$D$5:$D$9</definedName>
    <definedName name="Feriados">Config!$A$5:$A$10</definedName>
    <definedName name="SprintFin">Resumen!$D$8:$D$13</definedName>
    <definedName name="SprintInicio">Resumen!$C$8:$C$13</definedName>
    <definedName name="SprintNombres">Resumen!$B$8:$B$13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6" l="1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F12" i="6"/>
  <c r="E12" i="6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C33" i="5"/>
  <c r="C32" i="5"/>
  <c r="C31" i="5"/>
  <c r="BZ153" i="2" s="1"/>
  <c r="C30" i="5"/>
  <c r="C29" i="5"/>
  <c r="C28" i="5"/>
  <c r="C27" i="5"/>
  <c r="C26" i="5"/>
  <c r="AW127" i="2" s="1"/>
  <c r="C25" i="5"/>
  <c r="AT127" i="2" s="1"/>
  <c r="C24" i="5"/>
  <c r="C23" i="5"/>
  <c r="C22" i="5"/>
  <c r="C21" i="5"/>
  <c r="BD98" i="2" s="1"/>
  <c r="C20" i="5"/>
  <c r="CF98" i="2" s="1"/>
  <c r="C19" i="5"/>
  <c r="C18" i="5"/>
  <c r="C17" i="5"/>
  <c r="C16" i="5"/>
  <c r="CA67" i="2" s="1"/>
  <c r="C15" i="5"/>
  <c r="BD67" i="2" s="1"/>
  <c r="C14" i="5"/>
  <c r="C13" i="5"/>
  <c r="C12" i="5"/>
  <c r="C11" i="5"/>
  <c r="AY39" i="2" s="1"/>
  <c r="C10" i="5"/>
  <c r="CC39" i="2" s="1"/>
  <c r="C9" i="5"/>
  <c r="C8" i="5"/>
  <c r="C7" i="5"/>
  <c r="C6" i="5"/>
  <c r="C5" i="5"/>
  <c r="BB9" i="2" s="1"/>
  <c r="L24" i="4"/>
  <c r="L23" i="4"/>
  <c r="L22" i="4"/>
  <c r="L21" i="4"/>
  <c r="L20" i="4"/>
  <c r="L19" i="4"/>
  <c r="J19" i="4"/>
  <c r="E110" i="2" s="1"/>
  <c r="L18" i="4"/>
  <c r="L17" i="4"/>
  <c r="L16" i="4"/>
  <c r="L15" i="4"/>
  <c r="L14" i="4"/>
  <c r="L13" i="4"/>
  <c r="J13" i="4"/>
  <c r="E68" i="2" s="1"/>
  <c r="L12" i="4"/>
  <c r="L11" i="4"/>
  <c r="L10" i="4"/>
  <c r="L9" i="4"/>
  <c r="L8" i="4"/>
  <c r="L7" i="4"/>
  <c r="L6" i="4"/>
  <c r="L5" i="4"/>
  <c r="K124" i="3"/>
  <c r="L124" i="3" s="1"/>
  <c r="I124" i="3"/>
  <c r="F165" i="2" s="1"/>
  <c r="H124" i="3"/>
  <c r="E165" i="2" s="1"/>
  <c r="K123" i="3"/>
  <c r="H164" i="2" s="1"/>
  <c r="I123" i="3"/>
  <c r="F164" i="2" s="1"/>
  <c r="H123" i="3"/>
  <c r="E164" i="2" s="1"/>
  <c r="G164" i="2" s="1"/>
  <c r="K122" i="3"/>
  <c r="L122" i="3" s="1"/>
  <c r="I122" i="3"/>
  <c r="H122" i="3"/>
  <c r="K121" i="3"/>
  <c r="L121" i="3" s="1"/>
  <c r="I121" i="3"/>
  <c r="H121" i="3"/>
  <c r="E162" i="2" s="1"/>
  <c r="G162" i="2" s="1"/>
  <c r="K120" i="3"/>
  <c r="H161" i="2" s="1"/>
  <c r="I120" i="3"/>
  <c r="H120" i="3"/>
  <c r="E161" i="2" s="1"/>
  <c r="K119" i="3"/>
  <c r="I119" i="3"/>
  <c r="F159" i="2" s="1"/>
  <c r="H119" i="3"/>
  <c r="E159" i="2" s="1"/>
  <c r="G159" i="2" s="1"/>
  <c r="K118" i="3"/>
  <c r="L118" i="3" s="1"/>
  <c r="I118" i="3"/>
  <c r="H118" i="3"/>
  <c r="E158" i="2" s="1"/>
  <c r="K117" i="3"/>
  <c r="H157" i="2" s="1"/>
  <c r="I117" i="3"/>
  <c r="H117" i="3"/>
  <c r="E157" i="2" s="1"/>
  <c r="K116" i="3"/>
  <c r="H156" i="2" s="1"/>
  <c r="I116" i="3"/>
  <c r="F156" i="2" s="1"/>
  <c r="H116" i="3"/>
  <c r="K115" i="3"/>
  <c r="L115" i="3" s="1"/>
  <c r="I115" i="3"/>
  <c r="H115" i="3"/>
  <c r="K114" i="3"/>
  <c r="L114" i="3" s="1"/>
  <c r="I114" i="3"/>
  <c r="F151" i="2" s="1"/>
  <c r="H114" i="3"/>
  <c r="E151" i="2" s="1"/>
  <c r="G151" i="2" s="1"/>
  <c r="K113" i="3"/>
  <c r="H150" i="2" s="1"/>
  <c r="I113" i="3"/>
  <c r="F150" i="2" s="1"/>
  <c r="H113" i="3"/>
  <c r="E150" i="2" s="1"/>
  <c r="G150" i="2" s="1"/>
  <c r="K112" i="3"/>
  <c r="H149" i="2" s="1"/>
  <c r="I112" i="3"/>
  <c r="H112" i="3"/>
  <c r="K111" i="3"/>
  <c r="L111" i="3" s="1"/>
  <c r="I111" i="3"/>
  <c r="H111" i="3"/>
  <c r="K110" i="3"/>
  <c r="H147" i="2" s="1"/>
  <c r="I110" i="3"/>
  <c r="H110" i="3"/>
  <c r="E147" i="2" s="1"/>
  <c r="K109" i="3"/>
  <c r="L109" i="3" s="1"/>
  <c r="I109" i="3"/>
  <c r="F145" i="2" s="1"/>
  <c r="H109" i="3"/>
  <c r="E145" i="2" s="1"/>
  <c r="K108" i="3"/>
  <c r="I108" i="3"/>
  <c r="F144" i="2" s="1"/>
  <c r="H108" i="3"/>
  <c r="K107" i="3"/>
  <c r="L107" i="3" s="1"/>
  <c r="I107" i="3"/>
  <c r="H107" i="3"/>
  <c r="K106" i="3"/>
  <c r="H142" i="2" s="1"/>
  <c r="I106" i="3"/>
  <c r="F142" i="2" s="1"/>
  <c r="H106" i="3"/>
  <c r="E142" i="2" s="1"/>
  <c r="G142" i="2" s="1"/>
  <c r="K105" i="3"/>
  <c r="H141" i="2" s="1"/>
  <c r="I105" i="3"/>
  <c r="H105" i="3"/>
  <c r="K104" i="3"/>
  <c r="H139" i="2" s="1"/>
  <c r="I104" i="3"/>
  <c r="F139" i="2" s="1"/>
  <c r="H104" i="3"/>
  <c r="E139" i="2" s="1"/>
  <c r="G139" i="2" s="1"/>
  <c r="K103" i="3"/>
  <c r="L103" i="3" s="1"/>
  <c r="I103" i="3"/>
  <c r="F138" i="2" s="1"/>
  <c r="H103" i="3"/>
  <c r="E138" i="2" s="1"/>
  <c r="G138" i="2" s="1"/>
  <c r="K102" i="3"/>
  <c r="L102" i="3" s="1"/>
  <c r="I102" i="3"/>
  <c r="H102" i="3"/>
  <c r="E137" i="2" s="1"/>
  <c r="G137" i="2" s="1"/>
  <c r="K101" i="3"/>
  <c r="H136" i="2" s="1"/>
  <c r="I101" i="3"/>
  <c r="H101" i="3"/>
  <c r="E136" i="2" s="1"/>
  <c r="K100" i="3"/>
  <c r="L100" i="3" s="1"/>
  <c r="I100" i="3"/>
  <c r="H100" i="3"/>
  <c r="E135" i="2" s="1"/>
  <c r="K99" i="3"/>
  <c r="L99" i="3" s="1"/>
  <c r="I99" i="3"/>
  <c r="F133" i="2" s="1"/>
  <c r="H99" i="3"/>
  <c r="E133" i="2" s="1"/>
  <c r="G133" i="2" s="1"/>
  <c r="K98" i="3"/>
  <c r="H132" i="2" s="1"/>
  <c r="I98" i="3"/>
  <c r="H98" i="3"/>
  <c r="E132" i="2" s="1"/>
  <c r="K97" i="3"/>
  <c r="L97" i="3" s="1"/>
  <c r="I97" i="3"/>
  <c r="F131" i="2" s="1"/>
  <c r="H97" i="3"/>
  <c r="K96" i="3"/>
  <c r="H130" i="2" s="1"/>
  <c r="I96" i="3"/>
  <c r="F130" i="2" s="1"/>
  <c r="H96" i="3"/>
  <c r="K95" i="3"/>
  <c r="H129" i="2" s="1"/>
  <c r="I95" i="3"/>
  <c r="H95" i="3"/>
  <c r="K94" i="3"/>
  <c r="L94" i="3" s="1"/>
  <c r="I94" i="3"/>
  <c r="F125" i="2" s="1"/>
  <c r="H94" i="3"/>
  <c r="E125" i="2" s="1"/>
  <c r="G125" i="2" s="1"/>
  <c r="K93" i="3"/>
  <c r="L93" i="3" s="1"/>
  <c r="I93" i="3"/>
  <c r="F124" i="2" s="1"/>
  <c r="H93" i="3"/>
  <c r="E124" i="2" s="1"/>
  <c r="K92" i="3"/>
  <c r="H123" i="2" s="1"/>
  <c r="I92" i="3"/>
  <c r="H92" i="3"/>
  <c r="K91" i="3"/>
  <c r="H121" i="2" s="1"/>
  <c r="I91" i="3"/>
  <c r="F121" i="2" s="1"/>
  <c r="H91" i="3"/>
  <c r="E121" i="2" s="1"/>
  <c r="K90" i="3"/>
  <c r="L90" i="3" s="1"/>
  <c r="I90" i="3"/>
  <c r="F120" i="2" s="1"/>
  <c r="H90" i="3"/>
  <c r="E120" i="2" s="1"/>
  <c r="G120" i="2" s="1"/>
  <c r="K89" i="3"/>
  <c r="L89" i="3" s="1"/>
  <c r="I89" i="3"/>
  <c r="F119" i="2" s="1"/>
  <c r="H89" i="3"/>
  <c r="K88" i="3"/>
  <c r="L88" i="3" s="1"/>
  <c r="I88" i="3"/>
  <c r="H88" i="3"/>
  <c r="K87" i="3"/>
  <c r="L87" i="3" s="1"/>
  <c r="I87" i="3"/>
  <c r="F117" i="2" s="1"/>
  <c r="H87" i="3"/>
  <c r="E117" i="2" s="1"/>
  <c r="K86" i="3"/>
  <c r="H115" i="2" s="1"/>
  <c r="I86" i="3"/>
  <c r="F115" i="2" s="1"/>
  <c r="H86" i="3"/>
  <c r="E115" i="2" s="1"/>
  <c r="K85" i="3"/>
  <c r="L85" i="3" s="1"/>
  <c r="I85" i="3"/>
  <c r="H85" i="3"/>
  <c r="K84" i="3"/>
  <c r="L84" i="3" s="1"/>
  <c r="I84" i="3"/>
  <c r="F113" i="2" s="1"/>
  <c r="H84" i="3"/>
  <c r="E113" i="2" s="1"/>
  <c r="G113" i="2" s="1"/>
  <c r="K83" i="3"/>
  <c r="I83" i="3"/>
  <c r="H83" i="3"/>
  <c r="E112" i="2" s="1"/>
  <c r="K82" i="3"/>
  <c r="L82" i="3" s="1"/>
  <c r="I82" i="3"/>
  <c r="H82" i="3"/>
  <c r="E111" i="2" s="1"/>
  <c r="K81" i="3"/>
  <c r="H109" i="2" s="1"/>
  <c r="I81" i="3"/>
  <c r="F109" i="2" s="1"/>
  <c r="H81" i="3"/>
  <c r="E109" i="2" s="1"/>
  <c r="G109" i="2" s="1"/>
  <c r="K80" i="3"/>
  <c r="H108" i="2" s="1"/>
  <c r="I80" i="3"/>
  <c r="F108" i="2" s="1"/>
  <c r="H80" i="3"/>
  <c r="E108" i="2" s="1"/>
  <c r="G108" i="2" s="1"/>
  <c r="K79" i="3"/>
  <c r="L79" i="3" s="1"/>
  <c r="I79" i="3"/>
  <c r="H79" i="3"/>
  <c r="L78" i="3"/>
  <c r="K78" i="3"/>
  <c r="I78" i="3"/>
  <c r="H78" i="3"/>
  <c r="K77" i="3"/>
  <c r="H105" i="2" s="1"/>
  <c r="I77" i="3"/>
  <c r="H77" i="3"/>
  <c r="K76" i="3"/>
  <c r="I76" i="3"/>
  <c r="F103" i="2" s="1"/>
  <c r="H76" i="3"/>
  <c r="E103" i="2" s="1"/>
  <c r="G103" i="2" s="1"/>
  <c r="K75" i="3"/>
  <c r="H102" i="2" s="1"/>
  <c r="I75" i="3"/>
  <c r="H75" i="3"/>
  <c r="K74" i="3"/>
  <c r="L74" i="3" s="1"/>
  <c r="I74" i="3"/>
  <c r="H74" i="3"/>
  <c r="E101" i="2" s="1"/>
  <c r="K73" i="3"/>
  <c r="L73" i="3" s="1"/>
  <c r="I73" i="3"/>
  <c r="H73" i="3"/>
  <c r="K72" i="3"/>
  <c r="H96" i="2" s="1"/>
  <c r="I72" i="3"/>
  <c r="H72" i="3"/>
  <c r="K71" i="3"/>
  <c r="I71" i="3"/>
  <c r="H71" i="3"/>
  <c r="E95" i="2" s="1"/>
  <c r="K70" i="3"/>
  <c r="L70" i="3" s="1"/>
  <c r="I70" i="3"/>
  <c r="H70" i="3"/>
  <c r="E94" i="2" s="1"/>
  <c r="G94" i="2" s="1"/>
  <c r="K69" i="3"/>
  <c r="H93" i="2" s="1"/>
  <c r="I69" i="3"/>
  <c r="F93" i="2" s="1"/>
  <c r="H69" i="3"/>
  <c r="K68" i="3"/>
  <c r="L68" i="3" s="1"/>
  <c r="I68" i="3"/>
  <c r="F91" i="2" s="1"/>
  <c r="G91" i="2" s="1"/>
  <c r="H68" i="3"/>
  <c r="E91" i="2" s="1"/>
  <c r="K67" i="3"/>
  <c r="L67" i="3" s="1"/>
  <c r="I67" i="3"/>
  <c r="H67" i="3"/>
  <c r="K66" i="3"/>
  <c r="L66" i="3" s="1"/>
  <c r="I66" i="3"/>
  <c r="K16" i="4" s="1"/>
  <c r="F87" i="2" s="1"/>
  <c r="H66" i="3"/>
  <c r="K65" i="3"/>
  <c r="H88" i="2" s="1"/>
  <c r="I65" i="3"/>
  <c r="H65" i="3"/>
  <c r="K64" i="3"/>
  <c r="L64" i="3" s="1"/>
  <c r="I64" i="3"/>
  <c r="F86" i="2" s="1"/>
  <c r="H64" i="3"/>
  <c r="E86" i="2" s="1"/>
  <c r="K63" i="3"/>
  <c r="H85" i="2" s="1"/>
  <c r="I63" i="3"/>
  <c r="F85" i="2" s="1"/>
  <c r="H63" i="3"/>
  <c r="E85" i="2" s="1"/>
  <c r="K62" i="3"/>
  <c r="L62" i="3" s="1"/>
  <c r="I62" i="3"/>
  <c r="F84" i="2" s="1"/>
  <c r="H62" i="3"/>
  <c r="E84" i="2" s="1"/>
  <c r="G84" i="2" s="1"/>
  <c r="K61" i="3"/>
  <c r="L61" i="3" s="1"/>
  <c r="I61" i="3"/>
  <c r="F83" i="2" s="1"/>
  <c r="H61" i="3"/>
  <c r="E83" i="2" s="1"/>
  <c r="K60" i="3"/>
  <c r="H82" i="2" s="1"/>
  <c r="I60" i="3"/>
  <c r="H60" i="3"/>
  <c r="K59" i="3"/>
  <c r="L59" i="3" s="1"/>
  <c r="I59" i="3"/>
  <c r="F80" i="2" s="1"/>
  <c r="H59" i="3"/>
  <c r="K58" i="3"/>
  <c r="H79" i="2" s="1"/>
  <c r="I58" i="3"/>
  <c r="H58" i="3"/>
  <c r="E79" i="2" s="1"/>
  <c r="K57" i="3"/>
  <c r="H78" i="2" s="1"/>
  <c r="I57" i="3"/>
  <c r="H57" i="3"/>
  <c r="E78" i="2" s="1"/>
  <c r="K56" i="3"/>
  <c r="L56" i="3" s="1"/>
  <c r="I56" i="3"/>
  <c r="F77" i="2" s="1"/>
  <c r="H56" i="3"/>
  <c r="E77" i="2" s="1"/>
  <c r="K55" i="3"/>
  <c r="L55" i="3" s="1"/>
  <c r="I55" i="3"/>
  <c r="H55" i="3"/>
  <c r="K54" i="3"/>
  <c r="L54" i="3" s="1"/>
  <c r="I54" i="3"/>
  <c r="F74" i="2" s="1"/>
  <c r="H54" i="3"/>
  <c r="E74" i="2" s="1"/>
  <c r="G74" i="2" s="1"/>
  <c r="K53" i="3"/>
  <c r="H73" i="2" s="1"/>
  <c r="I53" i="3"/>
  <c r="F73" i="2" s="1"/>
  <c r="H53" i="3"/>
  <c r="E73" i="2" s="1"/>
  <c r="K52" i="3"/>
  <c r="H72" i="2" s="1"/>
  <c r="I52" i="3"/>
  <c r="F72" i="2" s="1"/>
  <c r="H52" i="3"/>
  <c r="K51" i="3"/>
  <c r="L51" i="3" s="1"/>
  <c r="I51" i="3"/>
  <c r="F71" i="2" s="1"/>
  <c r="H51" i="3"/>
  <c r="E71" i="2" s="1"/>
  <c r="G71" i="2" s="1"/>
  <c r="K50" i="3"/>
  <c r="H70" i="2" s="1"/>
  <c r="I50" i="3"/>
  <c r="F70" i="2" s="1"/>
  <c r="H50" i="3"/>
  <c r="K49" i="3"/>
  <c r="L49" i="3" s="1"/>
  <c r="I49" i="3"/>
  <c r="H49" i="3"/>
  <c r="K48" i="3"/>
  <c r="L48" i="3" s="1"/>
  <c r="I48" i="3"/>
  <c r="H48" i="3"/>
  <c r="K47" i="3"/>
  <c r="H64" i="2" s="1"/>
  <c r="I47" i="3"/>
  <c r="H47" i="3"/>
  <c r="E64" i="2" s="1"/>
  <c r="G64" i="2" s="1"/>
  <c r="K46" i="3"/>
  <c r="H63" i="2" s="1"/>
  <c r="I46" i="3"/>
  <c r="H46" i="3"/>
  <c r="K45" i="3"/>
  <c r="H61" i="2" s="1"/>
  <c r="I45" i="3"/>
  <c r="F61" i="2" s="1"/>
  <c r="H45" i="3"/>
  <c r="E61" i="2" s="1"/>
  <c r="G61" i="2" s="1"/>
  <c r="K44" i="3"/>
  <c r="L44" i="3" s="1"/>
  <c r="I44" i="3"/>
  <c r="H44" i="3"/>
  <c r="K43" i="3"/>
  <c r="L43" i="3" s="1"/>
  <c r="I43" i="3"/>
  <c r="F59" i="2" s="1"/>
  <c r="H43" i="3"/>
  <c r="E59" i="2" s="1"/>
  <c r="K42" i="3"/>
  <c r="L42" i="3" s="1"/>
  <c r="I42" i="3"/>
  <c r="F58" i="2" s="1"/>
  <c r="H42" i="3"/>
  <c r="K41" i="3"/>
  <c r="L41" i="3" s="1"/>
  <c r="I41" i="3"/>
  <c r="H41" i="3"/>
  <c r="E57" i="2" s="1"/>
  <c r="K40" i="3"/>
  <c r="L40" i="3" s="1"/>
  <c r="I40" i="3"/>
  <c r="H40" i="3"/>
  <c r="K39" i="3"/>
  <c r="H54" i="2" s="1"/>
  <c r="I39" i="3"/>
  <c r="F54" i="2" s="1"/>
  <c r="H39" i="3"/>
  <c r="E54" i="2" s="1"/>
  <c r="G54" i="2" s="1"/>
  <c r="K38" i="3"/>
  <c r="H53" i="2" s="1"/>
  <c r="I38" i="3"/>
  <c r="F53" i="2" s="1"/>
  <c r="H38" i="3"/>
  <c r="E53" i="2" s="1"/>
  <c r="K37" i="3"/>
  <c r="I37" i="3"/>
  <c r="H37" i="3"/>
  <c r="E52" i="2" s="1"/>
  <c r="K36" i="3"/>
  <c r="H50" i="2" s="1"/>
  <c r="I36" i="3"/>
  <c r="F50" i="2" s="1"/>
  <c r="H36" i="3"/>
  <c r="E50" i="2" s="1"/>
  <c r="G50" i="2" s="1"/>
  <c r="K35" i="3"/>
  <c r="L35" i="3" s="1"/>
  <c r="I35" i="3"/>
  <c r="H35" i="3"/>
  <c r="K34" i="3"/>
  <c r="L34" i="3" s="1"/>
  <c r="I34" i="3"/>
  <c r="F48" i="2" s="1"/>
  <c r="H34" i="3"/>
  <c r="E48" i="2" s="1"/>
  <c r="K33" i="3"/>
  <c r="L33" i="3" s="1"/>
  <c r="I33" i="3"/>
  <c r="H33" i="3"/>
  <c r="K32" i="3"/>
  <c r="H45" i="2" s="1"/>
  <c r="I32" i="3"/>
  <c r="H32" i="3"/>
  <c r="K31" i="3"/>
  <c r="L31" i="3" s="1"/>
  <c r="I31" i="3"/>
  <c r="F44" i="2" s="1"/>
  <c r="H31" i="3"/>
  <c r="E44" i="2" s="1"/>
  <c r="G44" i="2" s="1"/>
  <c r="K30" i="3"/>
  <c r="H43" i="2" s="1"/>
  <c r="I30" i="3"/>
  <c r="F43" i="2" s="1"/>
  <c r="H30" i="3"/>
  <c r="E43" i="2" s="1"/>
  <c r="K29" i="3"/>
  <c r="H42" i="2" s="1"/>
  <c r="I29" i="3"/>
  <c r="H29" i="3"/>
  <c r="K28" i="3"/>
  <c r="L28" i="3" s="1"/>
  <c r="I28" i="3"/>
  <c r="F41" i="2" s="1"/>
  <c r="H28" i="3"/>
  <c r="E41" i="2" s="1"/>
  <c r="G41" i="2" s="1"/>
  <c r="K27" i="3"/>
  <c r="L27" i="3" s="1"/>
  <c r="I27" i="3"/>
  <c r="F37" i="2" s="1"/>
  <c r="H27" i="3"/>
  <c r="E37" i="2" s="1"/>
  <c r="G37" i="2" s="1"/>
  <c r="K26" i="3"/>
  <c r="H36" i="2" s="1"/>
  <c r="I26" i="3"/>
  <c r="H26" i="3"/>
  <c r="E36" i="2" s="1"/>
  <c r="K25" i="3"/>
  <c r="L25" i="3" s="1"/>
  <c r="I25" i="3"/>
  <c r="H25" i="3"/>
  <c r="E35" i="2" s="1"/>
  <c r="G35" i="2" s="1"/>
  <c r="K24" i="3"/>
  <c r="I24" i="3"/>
  <c r="H24" i="3"/>
  <c r="K23" i="3"/>
  <c r="I23" i="3"/>
  <c r="F32" i="2" s="1"/>
  <c r="H23" i="3"/>
  <c r="E32" i="2" s="1"/>
  <c r="G32" i="2" s="1"/>
  <c r="L22" i="3"/>
  <c r="K22" i="3"/>
  <c r="I22" i="3"/>
  <c r="H22" i="3"/>
  <c r="E31" i="2" s="1"/>
  <c r="G31" i="2" s="1"/>
  <c r="K21" i="3"/>
  <c r="L21" i="3" s="1"/>
  <c r="I21" i="3"/>
  <c r="H21" i="3"/>
  <c r="K20" i="3"/>
  <c r="L20" i="3" s="1"/>
  <c r="I20" i="3"/>
  <c r="H20" i="3"/>
  <c r="K19" i="3"/>
  <c r="L19" i="3" s="1"/>
  <c r="I19" i="3"/>
  <c r="F27" i="2" s="1"/>
  <c r="H19" i="3"/>
  <c r="E27" i="2" s="1"/>
  <c r="G27" i="2" s="1"/>
  <c r="K18" i="3"/>
  <c r="L18" i="3" s="1"/>
  <c r="I18" i="3"/>
  <c r="F26" i="2" s="1"/>
  <c r="H18" i="3"/>
  <c r="E26" i="2" s="1"/>
  <c r="G26" i="2" s="1"/>
  <c r="K17" i="3"/>
  <c r="H25" i="2" s="1"/>
  <c r="I17" i="3"/>
  <c r="H17" i="3"/>
  <c r="E25" i="2" s="1"/>
  <c r="K16" i="3"/>
  <c r="L16" i="3" s="1"/>
  <c r="I16" i="3"/>
  <c r="H16" i="3"/>
  <c r="E24" i="2" s="1"/>
  <c r="K15" i="3"/>
  <c r="I15" i="3"/>
  <c r="F23" i="2" s="1"/>
  <c r="H15" i="3"/>
  <c r="K14" i="3"/>
  <c r="L14" i="3" s="1"/>
  <c r="I14" i="3"/>
  <c r="F21" i="2" s="1"/>
  <c r="H14" i="3"/>
  <c r="E21" i="2" s="1"/>
  <c r="G21" i="2" s="1"/>
  <c r="K13" i="3"/>
  <c r="L13" i="3" s="1"/>
  <c r="I13" i="3"/>
  <c r="F20" i="2" s="1"/>
  <c r="H13" i="3"/>
  <c r="E20" i="2" s="1"/>
  <c r="K12" i="3"/>
  <c r="L12" i="3" s="1"/>
  <c r="I12" i="3"/>
  <c r="F19" i="2" s="1"/>
  <c r="H12" i="3"/>
  <c r="E19" i="2" s="1"/>
  <c r="G19" i="2" s="1"/>
  <c r="K11" i="3"/>
  <c r="L11" i="3" s="1"/>
  <c r="I11" i="3"/>
  <c r="K6" i="4" s="1"/>
  <c r="F16" i="2" s="1"/>
  <c r="H11" i="3"/>
  <c r="K10" i="3"/>
  <c r="L10" i="3" s="1"/>
  <c r="I10" i="3"/>
  <c r="H10" i="3"/>
  <c r="E17" i="2" s="1"/>
  <c r="G17" i="2" s="1"/>
  <c r="K9" i="3"/>
  <c r="L9" i="3" s="1"/>
  <c r="I9" i="3"/>
  <c r="F15" i="2" s="1"/>
  <c r="H9" i="3"/>
  <c r="E15" i="2" s="1"/>
  <c r="G15" i="2" s="1"/>
  <c r="K8" i="3"/>
  <c r="I8" i="3"/>
  <c r="F14" i="2" s="1"/>
  <c r="H8" i="3"/>
  <c r="E14" i="2" s="1"/>
  <c r="G14" i="2" s="1"/>
  <c r="K7" i="3"/>
  <c r="L7" i="3" s="1"/>
  <c r="I7" i="3"/>
  <c r="H7" i="3"/>
  <c r="E13" i="2" s="1"/>
  <c r="G13" i="2" s="1"/>
  <c r="K6" i="3"/>
  <c r="H12" i="2" s="1"/>
  <c r="I6" i="3"/>
  <c r="F12" i="2" s="1"/>
  <c r="H6" i="3"/>
  <c r="E12" i="2" s="1"/>
  <c r="G12" i="2" s="1"/>
  <c r="K5" i="3"/>
  <c r="H11" i="2" s="1"/>
  <c r="I5" i="3"/>
  <c r="H5" i="3"/>
  <c r="G169" i="2"/>
  <c r="G168" i="2"/>
  <c r="G167" i="2"/>
  <c r="G166" i="2"/>
  <c r="I165" i="2"/>
  <c r="I164" i="2"/>
  <c r="I163" i="2"/>
  <c r="H163" i="2"/>
  <c r="F163" i="2"/>
  <c r="E163" i="2"/>
  <c r="G163" i="2" s="1"/>
  <c r="I162" i="2"/>
  <c r="H162" i="2"/>
  <c r="F162" i="2"/>
  <c r="I161" i="2"/>
  <c r="I159" i="2"/>
  <c r="I158" i="2"/>
  <c r="H158" i="2"/>
  <c r="F158" i="2"/>
  <c r="I157" i="2"/>
  <c r="I156" i="2"/>
  <c r="E156" i="2"/>
  <c r="I155" i="2"/>
  <c r="H155" i="2"/>
  <c r="F155" i="2"/>
  <c r="E155" i="2"/>
  <c r="G155" i="2" s="1"/>
  <c r="BH153" i="2"/>
  <c r="F152" i="2"/>
  <c r="E152" i="2"/>
  <c r="G152" i="2" s="1"/>
  <c r="I151" i="2"/>
  <c r="I150" i="2"/>
  <c r="I149" i="2"/>
  <c r="F149" i="2"/>
  <c r="E149" i="2"/>
  <c r="G149" i="2" s="1"/>
  <c r="I148" i="2"/>
  <c r="H148" i="2"/>
  <c r="F148" i="2"/>
  <c r="I147" i="2"/>
  <c r="I145" i="2"/>
  <c r="I144" i="2"/>
  <c r="E144" i="2"/>
  <c r="G144" i="2" s="1"/>
  <c r="I143" i="2"/>
  <c r="H143" i="2"/>
  <c r="F143" i="2"/>
  <c r="E143" i="2"/>
  <c r="G143" i="2" s="1"/>
  <c r="I142" i="2"/>
  <c r="I141" i="2"/>
  <c r="I139" i="2"/>
  <c r="I138" i="2"/>
  <c r="I137" i="2"/>
  <c r="H137" i="2"/>
  <c r="F137" i="2"/>
  <c r="I136" i="2"/>
  <c r="I135" i="2"/>
  <c r="H135" i="2"/>
  <c r="F135" i="2"/>
  <c r="G135" i="2" s="1"/>
  <c r="I133" i="2"/>
  <c r="H133" i="2"/>
  <c r="I132" i="2"/>
  <c r="I131" i="2"/>
  <c r="E131" i="2"/>
  <c r="I130" i="2"/>
  <c r="I129" i="2"/>
  <c r="F129" i="2"/>
  <c r="E129" i="2"/>
  <c r="G129" i="2" s="1"/>
  <c r="BC127" i="2"/>
  <c r="AS127" i="2"/>
  <c r="AQ127" i="2"/>
  <c r="P127" i="2"/>
  <c r="O127" i="2"/>
  <c r="F126" i="2"/>
  <c r="E126" i="2"/>
  <c r="G126" i="2" s="1"/>
  <c r="I125" i="2"/>
  <c r="H125" i="2"/>
  <c r="I124" i="2"/>
  <c r="H124" i="2"/>
  <c r="G124" i="2"/>
  <c r="I123" i="2"/>
  <c r="I121" i="2"/>
  <c r="I120" i="2"/>
  <c r="H120" i="2"/>
  <c r="I119" i="2"/>
  <c r="H119" i="2"/>
  <c r="E119" i="2"/>
  <c r="G119" i="2" s="1"/>
  <c r="I118" i="2"/>
  <c r="H118" i="2"/>
  <c r="F118" i="2"/>
  <c r="E118" i="2"/>
  <c r="G118" i="2" s="1"/>
  <c r="I117" i="2"/>
  <c r="H117" i="2"/>
  <c r="G117" i="2"/>
  <c r="I115" i="2"/>
  <c r="I114" i="2"/>
  <c r="H114" i="2"/>
  <c r="F114" i="2"/>
  <c r="E114" i="2"/>
  <c r="G114" i="2" s="1"/>
  <c r="I113" i="2"/>
  <c r="I112" i="2"/>
  <c r="I111" i="2"/>
  <c r="H111" i="2"/>
  <c r="F111" i="2"/>
  <c r="I109" i="2"/>
  <c r="I108" i="2"/>
  <c r="I107" i="2"/>
  <c r="H107" i="2"/>
  <c r="F107" i="2"/>
  <c r="E107" i="2"/>
  <c r="G107" i="2" s="1"/>
  <c r="I106" i="2"/>
  <c r="H106" i="2"/>
  <c r="F106" i="2"/>
  <c r="E106" i="2"/>
  <c r="G106" i="2" s="1"/>
  <c r="I105" i="2"/>
  <c r="I103" i="2"/>
  <c r="I102" i="2"/>
  <c r="F102" i="2"/>
  <c r="E102" i="2"/>
  <c r="G102" i="2" s="1"/>
  <c r="I101" i="2"/>
  <c r="H101" i="2"/>
  <c r="F101" i="2"/>
  <c r="I100" i="2"/>
  <c r="F100" i="2"/>
  <c r="CD98" i="2"/>
  <c r="CC98" i="2"/>
  <c r="BW98" i="2"/>
  <c r="BV98" i="2"/>
  <c r="BU98" i="2"/>
  <c r="BE98" i="2"/>
  <c r="J98" i="2"/>
  <c r="F97" i="2"/>
  <c r="E97" i="2"/>
  <c r="G97" i="2" s="1"/>
  <c r="I96" i="2"/>
  <c r="F96" i="2"/>
  <c r="E96" i="2"/>
  <c r="G96" i="2" s="1"/>
  <c r="I95" i="2"/>
  <c r="F95" i="2"/>
  <c r="I94" i="2"/>
  <c r="H94" i="2"/>
  <c r="F94" i="2"/>
  <c r="I93" i="2"/>
  <c r="E93" i="2"/>
  <c r="G93" i="2" s="1"/>
  <c r="I91" i="2"/>
  <c r="I90" i="2"/>
  <c r="H90" i="2"/>
  <c r="F90" i="2"/>
  <c r="E90" i="2"/>
  <c r="G90" i="2" s="1"/>
  <c r="I89" i="2"/>
  <c r="F89" i="2"/>
  <c r="E89" i="2"/>
  <c r="G89" i="2" s="1"/>
  <c r="I88" i="2"/>
  <c r="F88" i="2"/>
  <c r="E88" i="2"/>
  <c r="G88" i="2" s="1"/>
  <c r="I86" i="2"/>
  <c r="H86" i="2"/>
  <c r="I85" i="2"/>
  <c r="I84" i="2"/>
  <c r="I83" i="2"/>
  <c r="I82" i="2"/>
  <c r="E82" i="2"/>
  <c r="I80" i="2"/>
  <c r="E80" i="2"/>
  <c r="G80" i="2" s="1"/>
  <c r="I79" i="2"/>
  <c r="F79" i="2"/>
  <c r="I78" i="2"/>
  <c r="I77" i="2"/>
  <c r="I76" i="2"/>
  <c r="F76" i="2"/>
  <c r="I74" i="2"/>
  <c r="I73" i="2"/>
  <c r="G73" i="2"/>
  <c r="I72" i="2"/>
  <c r="E72" i="2"/>
  <c r="I71" i="2"/>
  <c r="I70" i="2"/>
  <c r="E70" i="2"/>
  <c r="I69" i="2"/>
  <c r="H69" i="2"/>
  <c r="F69" i="2"/>
  <c r="E69" i="2"/>
  <c r="G69" i="2" s="1"/>
  <c r="CC67" i="2"/>
  <c r="CB67" i="2"/>
  <c r="BY67" i="2"/>
  <c r="BX67" i="2"/>
  <c r="BW67" i="2"/>
  <c r="BS67" i="2"/>
  <c r="BM67" i="2"/>
  <c r="BL67" i="2"/>
  <c r="BI67" i="2"/>
  <c r="BH67" i="2"/>
  <c r="AZ67" i="2"/>
  <c r="AY67" i="2"/>
  <c r="AW67" i="2"/>
  <c r="AV67" i="2"/>
  <c r="AU67" i="2"/>
  <c r="AR67" i="2"/>
  <c r="AQ67" i="2"/>
  <c r="AP67" i="2"/>
  <c r="AK67" i="2"/>
  <c r="AI67" i="2"/>
  <c r="AH67" i="2"/>
  <c r="AG67" i="2"/>
  <c r="AF67" i="2"/>
  <c r="AE67" i="2"/>
  <c r="W67" i="2"/>
  <c r="V67" i="2"/>
  <c r="U67" i="2"/>
  <c r="R67" i="2"/>
  <c r="M67" i="2"/>
  <c r="F66" i="2"/>
  <c r="E66" i="2"/>
  <c r="G66" i="2" s="1"/>
  <c r="I65" i="2"/>
  <c r="F65" i="2"/>
  <c r="E65" i="2"/>
  <c r="G65" i="2" s="1"/>
  <c r="I64" i="2"/>
  <c r="F64" i="2"/>
  <c r="I63" i="2"/>
  <c r="I61" i="2"/>
  <c r="I60" i="2"/>
  <c r="H60" i="2"/>
  <c r="F60" i="2"/>
  <c r="E60" i="2"/>
  <c r="G60" i="2" s="1"/>
  <c r="I59" i="2"/>
  <c r="I58" i="2"/>
  <c r="H58" i="2"/>
  <c r="I57" i="2"/>
  <c r="H57" i="2"/>
  <c r="I55" i="2"/>
  <c r="H55" i="2"/>
  <c r="F55" i="2"/>
  <c r="E55" i="2"/>
  <c r="G55" i="2" s="1"/>
  <c r="I54" i="2"/>
  <c r="I53" i="2"/>
  <c r="I52" i="2"/>
  <c r="F52" i="2"/>
  <c r="I50" i="2"/>
  <c r="I49" i="2"/>
  <c r="F49" i="2"/>
  <c r="E49" i="2"/>
  <c r="G49" i="2" s="1"/>
  <c r="I48" i="2"/>
  <c r="I47" i="2"/>
  <c r="H47" i="2"/>
  <c r="I45" i="2"/>
  <c r="F45" i="2"/>
  <c r="E45" i="2"/>
  <c r="G45" i="2" s="1"/>
  <c r="I44" i="2"/>
  <c r="H44" i="2"/>
  <c r="I43" i="2"/>
  <c r="I42" i="2"/>
  <c r="F42" i="2"/>
  <c r="E42" i="2"/>
  <c r="G42" i="2" s="1"/>
  <c r="I41" i="2"/>
  <c r="H41" i="2"/>
  <c r="BA39" i="2"/>
  <c r="F38" i="2"/>
  <c r="E38" i="2"/>
  <c r="G38" i="2" s="1"/>
  <c r="I37" i="2"/>
  <c r="H37" i="2"/>
  <c r="I36" i="2"/>
  <c r="F36" i="2"/>
  <c r="I35" i="2"/>
  <c r="H35" i="2"/>
  <c r="F35" i="2"/>
  <c r="I34" i="2"/>
  <c r="I32" i="2"/>
  <c r="I31" i="2"/>
  <c r="H31" i="2"/>
  <c r="F31" i="2"/>
  <c r="I30" i="2"/>
  <c r="H30" i="2"/>
  <c r="F30" i="2"/>
  <c r="E30" i="2"/>
  <c r="I29" i="2"/>
  <c r="I27" i="2"/>
  <c r="I26" i="2"/>
  <c r="H26" i="2"/>
  <c r="I25" i="2"/>
  <c r="F25" i="2"/>
  <c r="I24" i="2"/>
  <c r="H24" i="2"/>
  <c r="F24" i="2"/>
  <c r="G24" i="2" s="1"/>
  <c r="I23" i="2"/>
  <c r="I21" i="2"/>
  <c r="H21" i="2"/>
  <c r="I20" i="2"/>
  <c r="I19" i="2"/>
  <c r="H19" i="2"/>
  <c r="I18" i="2"/>
  <c r="H18" i="2"/>
  <c r="E18" i="2"/>
  <c r="I17" i="2"/>
  <c r="H17" i="2"/>
  <c r="F17" i="2"/>
  <c r="I15" i="2"/>
  <c r="H15" i="2"/>
  <c r="I14" i="2"/>
  <c r="I13" i="2"/>
  <c r="F13" i="2"/>
  <c r="I12" i="2"/>
  <c r="I11" i="2"/>
  <c r="E11" i="2"/>
  <c r="BD9" i="2"/>
  <c r="BC9" i="2"/>
  <c r="AR9" i="2"/>
  <c r="O9" i="2"/>
  <c r="F8" i="2"/>
  <c r="E8" i="2"/>
  <c r="G8" i="2" s="1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Q13" i="1"/>
  <c r="I152" i="2" s="1"/>
  <c r="K13" i="1"/>
  <c r="I13" i="1"/>
  <c r="E13" i="1"/>
  <c r="Q12" i="1"/>
  <c r="I126" i="2" s="1"/>
  <c r="K12" i="1"/>
  <c r="I12" i="1"/>
  <c r="E12" i="1"/>
  <c r="Q11" i="1"/>
  <c r="I97" i="2" s="1"/>
  <c r="K11" i="1"/>
  <c r="I11" i="1"/>
  <c r="E11" i="1"/>
  <c r="Q10" i="1"/>
  <c r="I66" i="2" s="1"/>
  <c r="K10" i="1"/>
  <c r="I10" i="1"/>
  <c r="E10" i="1"/>
  <c r="K9" i="1"/>
  <c r="I9" i="1"/>
  <c r="E9" i="1"/>
  <c r="K8" i="1"/>
  <c r="I8" i="1"/>
  <c r="E8" i="1"/>
  <c r="L5" i="1"/>
  <c r="I5" i="1"/>
  <c r="L23" i="3" l="1"/>
  <c r="H32" i="2"/>
  <c r="H13" i="2"/>
  <c r="Q39" i="2"/>
  <c r="AV39" i="2"/>
  <c r="S153" i="2"/>
  <c r="H65" i="2"/>
  <c r="T153" i="2"/>
  <c r="F161" i="2"/>
  <c r="G161" i="2" s="1"/>
  <c r="F160" i="2"/>
  <c r="K13" i="4"/>
  <c r="F68" i="2" s="1"/>
  <c r="G68" i="2" s="1"/>
  <c r="F63" i="2"/>
  <c r="F62" i="2"/>
  <c r="N9" i="2"/>
  <c r="M9" i="2"/>
  <c r="BW9" i="2"/>
  <c r="BV9" i="2"/>
  <c r="BF9" i="2"/>
  <c r="BE9" i="2"/>
  <c r="AX9" i="2"/>
  <c r="AW9" i="2"/>
  <c r="AV9" i="2"/>
  <c r="AU9" i="2"/>
  <c r="AS9" i="2"/>
  <c r="P39" i="2"/>
  <c r="K11" i="4"/>
  <c r="F51" i="2" s="1"/>
  <c r="AT39" i="2"/>
  <c r="AS39" i="2"/>
  <c r="AM39" i="2"/>
  <c r="AL39" i="2"/>
  <c r="AK39" i="2"/>
  <c r="AJ39" i="2"/>
  <c r="AI39" i="2"/>
  <c r="CF39" i="2"/>
  <c r="AH39" i="2"/>
  <c r="CE39" i="2"/>
  <c r="T39" i="2"/>
  <c r="CD39" i="2"/>
  <c r="R39" i="2"/>
  <c r="BZ39" i="2"/>
  <c r="K39" i="2"/>
  <c r="BY39" i="2"/>
  <c r="J39" i="2"/>
  <c r="BV39" i="2"/>
  <c r="BI39" i="2"/>
  <c r="BH39" i="2"/>
  <c r="BC39" i="2"/>
  <c r="BB39" i="2"/>
  <c r="AU39" i="2"/>
  <c r="R153" i="2"/>
  <c r="G30" i="2"/>
  <c r="AZ39" i="2"/>
  <c r="H91" i="2"/>
  <c r="AJ153" i="2"/>
  <c r="G48" i="2"/>
  <c r="G101" i="2"/>
  <c r="E141" i="2"/>
  <c r="G141" i="2" s="1"/>
  <c r="J23" i="4"/>
  <c r="E140" i="2" s="1"/>
  <c r="G140" i="2" s="1"/>
  <c r="L112" i="3"/>
  <c r="BP153" i="2"/>
  <c r="CA39" i="2"/>
  <c r="BX153" i="2"/>
  <c r="K15" i="4"/>
  <c r="F81" i="2" s="1"/>
  <c r="F82" i="2"/>
  <c r="F112" i="2"/>
  <c r="G112" i="2" s="1"/>
  <c r="K19" i="4"/>
  <c r="F110" i="2" s="1"/>
  <c r="G110" i="2" s="1"/>
  <c r="AF9" i="2"/>
  <c r="G131" i="2"/>
  <c r="H103" i="2"/>
  <c r="L76" i="3"/>
  <c r="AO9" i="2"/>
  <c r="G83" i="2"/>
  <c r="L71" i="3"/>
  <c r="H95" i="2"/>
  <c r="BY153" i="2"/>
  <c r="K14" i="1"/>
  <c r="F18" i="2"/>
  <c r="G18" i="2" s="1"/>
  <c r="L75" i="3"/>
  <c r="AJ9" i="2"/>
  <c r="AP9" i="2"/>
  <c r="H131" i="2"/>
  <c r="L37" i="3"/>
  <c r="H52" i="2"/>
  <c r="BW153" i="2"/>
  <c r="BN153" i="2"/>
  <c r="BM153" i="2"/>
  <c r="BK153" i="2"/>
  <c r="BL153" i="2"/>
  <c r="AS153" i="2"/>
  <c r="AR153" i="2"/>
  <c r="AQ153" i="2"/>
  <c r="AM153" i="2"/>
  <c r="AL153" i="2"/>
  <c r="AI153" i="2"/>
  <c r="AH153" i="2"/>
  <c r="AG153" i="2"/>
  <c r="AF153" i="2"/>
  <c r="AE153" i="2"/>
  <c r="AD153" i="2"/>
  <c r="U153" i="2"/>
  <c r="L15" i="3"/>
  <c r="H23" i="2"/>
  <c r="F141" i="2"/>
  <c r="K23" i="4"/>
  <c r="F140" i="2" s="1"/>
  <c r="CA153" i="2"/>
  <c r="CB153" i="2"/>
  <c r="AQ9" i="2"/>
  <c r="G43" i="2"/>
  <c r="G145" i="2"/>
  <c r="G25" i="2"/>
  <c r="L106" i="3"/>
  <c r="F122" i="2"/>
  <c r="J14" i="4"/>
  <c r="E75" i="2" s="1"/>
  <c r="G75" i="2" s="1"/>
  <c r="G82" i="2"/>
  <c r="G70" i="2"/>
  <c r="CE98" i="2"/>
  <c r="AD127" i="2"/>
  <c r="L46" i="3"/>
  <c r="J18" i="4"/>
  <c r="E104" i="2" s="1"/>
  <c r="AE127" i="2"/>
  <c r="K7" i="4"/>
  <c r="F22" i="2" s="1"/>
  <c r="L39" i="3"/>
  <c r="K18" i="4"/>
  <c r="F104" i="2" s="1"/>
  <c r="AH127" i="2"/>
  <c r="H145" i="2"/>
  <c r="H27" i="2"/>
  <c r="N67" i="2"/>
  <c r="BE67" i="2"/>
  <c r="H100" i="2"/>
  <c r="AI127" i="2"/>
  <c r="G156" i="2"/>
  <c r="H165" i="2"/>
  <c r="J10" i="4"/>
  <c r="E46" i="2" s="1"/>
  <c r="G85" i="2"/>
  <c r="H48" i="2"/>
  <c r="P67" i="2"/>
  <c r="BF67" i="2"/>
  <c r="G72" i="2"/>
  <c r="AJ127" i="2"/>
  <c r="K10" i="4"/>
  <c r="F46" i="2" s="1"/>
  <c r="G95" i="2"/>
  <c r="H59" i="2"/>
  <c r="Q67" i="2"/>
  <c r="BG67" i="2"/>
  <c r="G111" i="2"/>
  <c r="AP127" i="2"/>
  <c r="G77" i="2"/>
  <c r="G86" i="2"/>
  <c r="G115" i="2"/>
  <c r="G165" i="2"/>
  <c r="H49" i="2"/>
  <c r="AU127" i="2"/>
  <c r="J5" i="4"/>
  <c r="E10" i="2" s="1"/>
  <c r="G10" i="2" s="1"/>
  <c r="K14" i="4"/>
  <c r="F75" i="2" s="1"/>
  <c r="AC67" i="2"/>
  <c r="BN67" i="2"/>
  <c r="AV127" i="2"/>
  <c r="K5" i="4"/>
  <c r="F10" i="2" s="1"/>
  <c r="K8" i="4"/>
  <c r="F28" i="2" s="1"/>
  <c r="AD67" i="2"/>
  <c r="BO67" i="2"/>
  <c r="H113" i="2"/>
  <c r="F123" i="2"/>
  <c r="H138" i="2"/>
  <c r="G20" i="2"/>
  <c r="G79" i="2"/>
  <c r="G158" i="2"/>
  <c r="G59" i="2"/>
  <c r="L98" i="2"/>
  <c r="J21" i="4"/>
  <c r="E128" i="2" s="1"/>
  <c r="L6" i="3"/>
  <c r="K98" i="2"/>
  <c r="L95" i="3"/>
  <c r="K17" i="4"/>
  <c r="F99" i="2" s="1"/>
  <c r="I14" i="1"/>
  <c r="M98" i="2"/>
  <c r="E105" i="2"/>
  <c r="BZ67" i="2"/>
  <c r="F78" i="2"/>
  <c r="G78" i="2" s="1"/>
  <c r="BA98" i="2"/>
  <c r="F105" i="2"/>
  <c r="H151" i="2"/>
  <c r="G52" i="2"/>
  <c r="CF9" i="2"/>
  <c r="AJ67" i="2"/>
  <c r="L29" i="3"/>
  <c r="G9" i="6" s="1"/>
  <c r="J11" i="4"/>
  <c r="E51" i="2" s="1"/>
  <c r="G51" i="2" s="1"/>
  <c r="H89" i="2"/>
  <c r="H84" i="2"/>
  <c r="H83" i="2"/>
  <c r="H80" i="2"/>
  <c r="L58" i="3"/>
  <c r="H77" i="2"/>
  <c r="H74" i="2"/>
  <c r="L53" i="3"/>
  <c r="L52" i="3"/>
  <c r="H71" i="2"/>
  <c r="L50" i="3"/>
  <c r="L26" i="3"/>
  <c r="M8" i="4"/>
  <c r="N8" i="4" s="1"/>
  <c r="L116" i="3"/>
  <c r="E130" i="2"/>
  <c r="G130" i="2" s="1"/>
  <c r="L110" i="3"/>
  <c r="F29" i="2"/>
  <c r="N98" i="2"/>
  <c r="BN98" i="2"/>
  <c r="AP98" i="2"/>
  <c r="R98" i="2"/>
  <c r="CA98" i="2"/>
  <c r="BC98" i="2"/>
  <c r="AE98" i="2"/>
  <c r="BZ98" i="2"/>
  <c r="BB98" i="2"/>
  <c r="AD98" i="2"/>
  <c r="BK98" i="2"/>
  <c r="AJ98" i="2"/>
  <c r="BJ98" i="2"/>
  <c r="AI98" i="2"/>
  <c r="CB98" i="2"/>
  <c r="AW98" i="2"/>
  <c r="T98" i="2"/>
  <c r="BY98" i="2"/>
  <c r="AV98" i="2"/>
  <c r="S98" i="2"/>
  <c r="BX98" i="2"/>
  <c r="AU98" i="2"/>
  <c r="Q98" i="2"/>
  <c r="BM98" i="2"/>
  <c r="AH98" i="2"/>
  <c r="BL98" i="2"/>
  <c r="AG98" i="2"/>
  <c r="BI98" i="2"/>
  <c r="AF98" i="2"/>
  <c r="BH98" i="2"/>
  <c r="AC98" i="2"/>
  <c r="BT98" i="2"/>
  <c r="AA98" i="2"/>
  <c r="BR98" i="2"/>
  <c r="Y98" i="2"/>
  <c r="X98" i="2"/>
  <c r="BO98" i="2"/>
  <c r="V98" i="2"/>
  <c r="BG98" i="2"/>
  <c r="U98" i="2"/>
  <c r="BF98" i="2"/>
  <c r="BS98" i="2"/>
  <c r="Z98" i="2"/>
  <c r="BQ98" i="2"/>
  <c r="BP98" i="2"/>
  <c r="W98" i="2"/>
  <c r="P98" i="2"/>
  <c r="H29" i="2"/>
  <c r="AB98" i="2"/>
  <c r="L36" i="3"/>
  <c r="CB127" i="2"/>
  <c r="BD127" i="2"/>
  <c r="AF127" i="2"/>
  <c r="BN127" i="2"/>
  <c r="AM127" i="2"/>
  <c r="L127" i="2"/>
  <c r="BM127" i="2"/>
  <c r="AL127" i="2"/>
  <c r="K127" i="2"/>
  <c r="BS127" i="2"/>
  <c r="AO127" i="2"/>
  <c r="J127" i="2"/>
  <c r="BR127" i="2"/>
  <c r="AN127" i="2"/>
  <c r="BQ127" i="2"/>
  <c r="AK127" i="2"/>
  <c r="BB127" i="2"/>
  <c r="Y127" i="2"/>
  <c r="CF127" i="2"/>
  <c r="BA127" i="2"/>
  <c r="X127" i="2"/>
  <c r="CE127" i="2"/>
  <c r="AZ127" i="2"/>
  <c r="W127" i="2"/>
  <c r="CD127" i="2"/>
  <c r="AY127" i="2"/>
  <c r="V127" i="2"/>
  <c r="BU127" i="2"/>
  <c r="AC127" i="2"/>
  <c r="BO127" i="2"/>
  <c r="BL127" i="2"/>
  <c r="Z127" i="2"/>
  <c r="BK127" i="2"/>
  <c r="U127" i="2"/>
  <c r="BI127" i="2"/>
  <c r="R127" i="2"/>
  <c r="BH127" i="2"/>
  <c r="BT127" i="2"/>
  <c r="AB127" i="2"/>
  <c r="AA127" i="2"/>
  <c r="BJ127" i="2"/>
  <c r="S127" i="2"/>
  <c r="Q127" i="2"/>
  <c r="G6" i="6"/>
  <c r="H159" i="2"/>
  <c r="L119" i="3"/>
  <c r="AQ98" i="2"/>
  <c r="BG127" i="2"/>
  <c r="F34" i="2"/>
  <c r="F33" i="2"/>
  <c r="L24" i="3"/>
  <c r="H33" i="2" s="1"/>
  <c r="H34" i="2"/>
  <c r="L57" i="3"/>
  <c r="AS98" i="2"/>
  <c r="M6" i="4"/>
  <c r="N6" i="4" s="1"/>
  <c r="Q9" i="2"/>
  <c r="L38" i="3"/>
  <c r="M11" i="4" s="1"/>
  <c r="N11" i="4" s="1"/>
  <c r="R9" i="2"/>
  <c r="CD9" i="2"/>
  <c r="E47" i="2"/>
  <c r="AX98" i="2"/>
  <c r="BY127" i="2"/>
  <c r="BO153" i="2"/>
  <c r="F47" i="2"/>
  <c r="G36" i="2"/>
  <c r="L45" i="3"/>
  <c r="M12" i="4" s="1"/>
  <c r="N12" i="4" s="1"/>
  <c r="E100" i="2"/>
  <c r="G100" i="2" s="1"/>
  <c r="J17" i="4"/>
  <c r="E99" i="2" s="1"/>
  <c r="G99" i="2" s="1"/>
  <c r="L5" i="3"/>
  <c r="E29" i="2"/>
  <c r="G29" i="2" s="1"/>
  <c r="J8" i="4"/>
  <c r="E28" i="2" s="1"/>
  <c r="M10" i="4"/>
  <c r="N10" i="4" s="1"/>
  <c r="F11" i="2"/>
  <c r="G11" i="2" s="1"/>
  <c r="L13" i="1"/>
  <c r="H152" i="2" s="1"/>
  <c r="F146" i="2"/>
  <c r="F147" i="2"/>
  <c r="G147" i="2" s="1"/>
  <c r="L123" i="3"/>
  <c r="F157" i="2"/>
  <c r="G157" i="2" s="1"/>
  <c r="K24" i="4"/>
  <c r="F154" i="2" s="1"/>
  <c r="E148" i="2"/>
  <c r="G148" i="2" s="1"/>
  <c r="E146" i="2"/>
  <c r="L117" i="3"/>
  <c r="E76" i="2"/>
  <c r="G76" i="2" s="1"/>
  <c r="O98" i="2"/>
  <c r="L69" i="3"/>
  <c r="H112" i="2"/>
  <c r="L83" i="3"/>
  <c r="L104" i="3"/>
  <c r="M22" i="4" s="1"/>
  <c r="N22" i="4" s="1"/>
  <c r="AK98" i="2"/>
  <c r="M13" i="4"/>
  <c r="N13" i="4" s="1"/>
  <c r="F132" i="2"/>
  <c r="G132" i="2" s="1"/>
  <c r="K21" i="4"/>
  <c r="F128" i="2" s="1"/>
  <c r="G128" i="2" s="1"/>
  <c r="AL98" i="2"/>
  <c r="AM98" i="2"/>
  <c r="AX127" i="2"/>
  <c r="L63" i="3"/>
  <c r="E123" i="2"/>
  <c r="G123" i="2" s="1"/>
  <c r="E122" i="2"/>
  <c r="L98" i="3"/>
  <c r="AN98" i="2"/>
  <c r="L105" i="3"/>
  <c r="J24" i="4"/>
  <c r="E154" i="2" s="1"/>
  <c r="AO98" i="2"/>
  <c r="BF127" i="2"/>
  <c r="J6" i="4"/>
  <c r="E16" i="2" s="1"/>
  <c r="G16" i="2" s="1"/>
  <c r="E34" i="2"/>
  <c r="E33" i="2"/>
  <c r="L30" i="3"/>
  <c r="L92" i="3"/>
  <c r="H122" i="2" s="1"/>
  <c r="BI9" i="2"/>
  <c r="AH9" i="2"/>
  <c r="BH9" i="2"/>
  <c r="AG9" i="2"/>
  <c r="CC9" i="2"/>
  <c r="BA9" i="2"/>
  <c r="Y9" i="2"/>
  <c r="CB9" i="2"/>
  <c r="AZ9" i="2"/>
  <c r="X9" i="2"/>
  <c r="CA9" i="2"/>
  <c r="AY9" i="2"/>
  <c r="W9" i="2"/>
  <c r="BP9" i="2"/>
  <c r="AN9" i="2"/>
  <c r="L9" i="2"/>
  <c r="BO9" i="2"/>
  <c r="AM9" i="2"/>
  <c r="J9" i="2"/>
  <c r="BN9" i="2"/>
  <c r="AL9" i="2"/>
  <c r="BM9" i="2"/>
  <c r="AK9" i="2"/>
  <c r="BU9" i="2"/>
  <c r="AD9" i="2"/>
  <c r="BT9" i="2"/>
  <c r="AC9" i="2"/>
  <c r="BS9" i="2"/>
  <c r="AA9" i="2"/>
  <c r="AB9" i="2"/>
  <c r="BQ9" i="2"/>
  <c r="BL9" i="2"/>
  <c r="Z9" i="2"/>
  <c r="BK9" i="2"/>
  <c r="U9" i="2"/>
  <c r="BJ9" i="2"/>
  <c r="T9" i="2"/>
  <c r="BX9" i="2"/>
  <c r="AR98" i="2"/>
  <c r="BV127" i="2"/>
  <c r="P9" i="2"/>
  <c r="BY9" i="2"/>
  <c r="BW127" i="2"/>
  <c r="L17" i="3"/>
  <c r="M7" i="4" s="1"/>
  <c r="N7" i="4" s="1"/>
  <c r="J9" i="4"/>
  <c r="E40" i="2" s="1"/>
  <c r="BZ9" i="2"/>
  <c r="AT98" i="2"/>
  <c r="BX127" i="2"/>
  <c r="L86" i="3"/>
  <c r="M19" i="4" s="1"/>
  <c r="N19" i="4" s="1"/>
  <c r="K9" i="4"/>
  <c r="F40" i="2" s="1"/>
  <c r="CD153" i="2"/>
  <c r="BC153" i="2"/>
  <c r="AB153" i="2"/>
  <c r="CC153" i="2"/>
  <c r="BB153" i="2"/>
  <c r="AA153" i="2"/>
  <c r="BS153" i="2"/>
  <c r="AP153" i="2"/>
  <c r="L153" i="2"/>
  <c r="BR153" i="2"/>
  <c r="AO153" i="2"/>
  <c r="K153" i="2"/>
  <c r="BQ153" i="2"/>
  <c r="AN153" i="2"/>
  <c r="J153" i="2"/>
  <c r="BF153" i="2"/>
  <c r="AC153" i="2"/>
  <c r="BE153" i="2"/>
  <c r="X153" i="2"/>
  <c r="BD153" i="2"/>
  <c r="W153" i="2"/>
  <c r="CF153" i="2"/>
  <c r="BA153" i="2"/>
  <c r="V153" i="2"/>
  <c r="CE153" i="2"/>
  <c r="AZ153" i="2"/>
  <c r="Q153" i="2"/>
  <c r="O153" i="2"/>
  <c r="N153" i="2"/>
  <c r="AV153" i="2"/>
  <c r="AU153" i="2"/>
  <c r="AT153" i="2"/>
  <c r="BJ153" i="2"/>
  <c r="P153" i="2"/>
  <c r="BG153" i="2"/>
  <c r="AY153" i="2"/>
  <c r="L72" i="3"/>
  <c r="S9" i="2"/>
  <c r="AY98" i="2"/>
  <c r="M127" i="2"/>
  <c r="BZ127" i="2"/>
  <c r="AE9" i="2"/>
  <c r="AZ98" i="2"/>
  <c r="N127" i="2"/>
  <c r="CA127" i="2"/>
  <c r="BT153" i="2"/>
  <c r="E160" i="2"/>
  <c r="L32" i="3"/>
  <c r="E62" i="2"/>
  <c r="G62" i="2" s="1"/>
  <c r="E63" i="2"/>
  <c r="G63" i="2" s="1"/>
  <c r="J20" i="4"/>
  <c r="E116" i="2" s="1"/>
  <c r="G116" i="2" s="1"/>
  <c r="BO39" i="2"/>
  <c r="AQ39" i="2"/>
  <c r="S39" i="2"/>
  <c r="CB39" i="2"/>
  <c r="BD39" i="2"/>
  <c r="AF39" i="2"/>
  <c r="BX39" i="2"/>
  <c r="AX39" i="2"/>
  <c r="X39" i="2"/>
  <c r="BW39" i="2"/>
  <c r="AW39" i="2"/>
  <c r="W39" i="2"/>
  <c r="BG39" i="2"/>
  <c r="AD39" i="2"/>
  <c r="BF39" i="2"/>
  <c r="AC39" i="2"/>
  <c r="BE39" i="2"/>
  <c r="AB39" i="2"/>
  <c r="BT39" i="2"/>
  <c r="AR39" i="2"/>
  <c r="O39" i="2"/>
  <c r="BS39" i="2"/>
  <c r="AP39" i="2"/>
  <c r="N39" i="2"/>
  <c r="BR39" i="2"/>
  <c r="AO39" i="2"/>
  <c r="M39" i="2"/>
  <c r="BQ39" i="2"/>
  <c r="AN39" i="2"/>
  <c r="L39" i="2"/>
  <c r="U39" i="2"/>
  <c r="BJ39" i="2"/>
  <c r="K20" i="4"/>
  <c r="F116" i="2" s="1"/>
  <c r="BK39" i="2"/>
  <c r="Y39" i="2"/>
  <c r="K12" i="4"/>
  <c r="F56" i="2" s="1"/>
  <c r="F136" i="2"/>
  <c r="K22" i="4"/>
  <c r="F134" i="2" s="1"/>
  <c r="L120" i="3"/>
  <c r="H160" i="2" s="1"/>
  <c r="L101" i="3"/>
  <c r="AE39" i="2"/>
  <c r="BP39" i="2"/>
  <c r="F57" i="2"/>
  <c r="G57" i="2" s="1"/>
  <c r="H14" i="2"/>
  <c r="L8" i="3"/>
  <c r="E58" i="2"/>
  <c r="G58" i="2" s="1"/>
  <c r="J12" i="4"/>
  <c r="E56" i="2" s="1"/>
  <c r="G56" i="2" s="1"/>
  <c r="H144" i="2"/>
  <c r="L108" i="3"/>
  <c r="BR67" i="2"/>
  <c r="AO67" i="2"/>
  <c r="L67" i="2"/>
  <c r="BQ67" i="2"/>
  <c r="AN67" i="2"/>
  <c r="K67" i="2"/>
  <c r="BP67" i="2"/>
  <c r="AL67" i="2"/>
  <c r="J67" i="2"/>
  <c r="CF67" i="2"/>
  <c r="BC67" i="2"/>
  <c r="AA67" i="2"/>
  <c r="CE67" i="2"/>
  <c r="BB67" i="2"/>
  <c r="Y67" i="2"/>
  <c r="CD67" i="2"/>
  <c r="BA67" i="2"/>
  <c r="X67" i="2"/>
  <c r="J15" i="4"/>
  <c r="E81" i="2" s="1"/>
  <c r="M17" i="4"/>
  <c r="N17" i="4" s="1"/>
  <c r="L113" i="3"/>
  <c r="V39" i="2"/>
  <c r="G136" i="2"/>
  <c r="BL39" i="2"/>
  <c r="L80" i="3"/>
  <c r="Z39" i="2"/>
  <c r="BM39" i="2"/>
  <c r="L47" i="3"/>
  <c r="H62" i="2" s="1"/>
  <c r="L60" i="3"/>
  <c r="AA39" i="2"/>
  <c r="BN39" i="2"/>
  <c r="AG39" i="2"/>
  <c r="BU39" i="2"/>
  <c r="J7" i="4"/>
  <c r="E22" i="2" s="1"/>
  <c r="G22" i="2" s="1"/>
  <c r="J16" i="4"/>
  <c r="E87" i="2" s="1"/>
  <c r="G87" i="2" s="1"/>
  <c r="L77" i="3"/>
  <c r="E23" i="2"/>
  <c r="G23" i="2" s="1"/>
  <c r="L96" i="3"/>
  <c r="J22" i="4"/>
  <c r="E134" i="2" s="1"/>
  <c r="L65" i="3"/>
  <c r="M16" i="4" s="1"/>
  <c r="N16" i="4" s="1"/>
  <c r="AB67" i="2"/>
  <c r="BV67" i="2"/>
  <c r="AX67" i="2"/>
  <c r="Z67" i="2"/>
  <c r="BK67" i="2"/>
  <c r="AM67" i="2"/>
  <c r="O67" i="2"/>
  <c r="BJ67" i="2"/>
  <c r="BU67" i="2"/>
  <c r="AT67" i="2"/>
  <c r="T67" i="2"/>
  <c r="BT67" i="2"/>
  <c r="AS67" i="2"/>
  <c r="S67" i="2"/>
  <c r="BP127" i="2"/>
  <c r="E92" i="2"/>
  <c r="G121" i="2"/>
  <c r="G53" i="2"/>
  <c r="F92" i="2"/>
  <c r="L81" i="3"/>
  <c r="G15" i="6" s="1"/>
  <c r="BR9" i="2"/>
  <c r="AT9" i="2"/>
  <c r="V9" i="2"/>
  <c r="CE9" i="2"/>
  <c r="BG9" i="2"/>
  <c r="AI9" i="2"/>
  <c r="K9" i="2"/>
  <c r="BI153" i="2"/>
  <c r="AK153" i="2"/>
  <c r="M153" i="2"/>
  <c r="BV153" i="2"/>
  <c r="AX153" i="2"/>
  <c r="Z153" i="2"/>
  <c r="BU153" i="2"/>
  <c r="AW153" i="2"/>
  <c r="Y153" i="2"/>
  <c r="H20" i="2"/>
  <c r="H76" i="2"/>
  <c r="L91" i="3"/>
  <c r="AG127" i="2"/>
  <c r="BE127" i="2"/>
  <c r="CC127" i="2"/>
  <c r="T127" i="2"/>
  <c r="AR127" i="2"/>
  <c r="G10" i="6" l="1"/>
  <c r="G105" i="2"/>
  <c r="G81" i="2"/>
  <c r="G160" i="2"/>
  <c r="M24" i="4"/>
  <c r="N24" i="4" s="1"/>
  <c r="G14" i="6"/>
  <c r="G28" i="2"/>
  <c r="G104" i="2"/>
  <c r="G17" i="6"/>
  <c r="G18" i="6"/>
  <c r="G19" i="6"/>
  <c r="L10" i="1"/>
  <c r="H66" i="2" s="1"/>
  <c r="G13" i="6"/>
  <c r="G46" i="2"/>
  <c r="G22" i="6"/>
  <c r="G122" i="2"/>
  <c r="G11" i="6"/>
  <c r="P7" i="4"/>
  <c r="I22" i="2" s="1"/>
  <c r="H22" i="2"/>
  <c r="P24" i="4"/>
  <c r="H154" i="2"/>
  <c r="H134" i="2"/>
  <c r="P22" i="4"/>
  <c r="I134" i="2" s="1"/>
  <c r="P12" i="4"/>
  <c r="I56" i="2" s="1"/>
  <c r="H56" i="2"/>
  <c r="H110" i="2"/>
  <c r="P19" i="4"/>
  <c r="I110" i="2" s="1"/>
  <c r="M21" i="4"/>
  <c r="N21" i="4" s="1"/>
  <c r="L9" i="1"/>
  <c r="M14" i="4"/>
  <c r="N14" i="4" s="1"/>
  <c r="P11" i="4"/>
  <c r="I51" i="2" s="1"/>
  <c r="H51" i="2"/>
  <c r="G33" i="2"/>
  <c r="H46" i="2"/>
  <c r="P10" i="4"/>
  <c r="I46" i="2" s="1"/>
  <c r="G40" i="2"/>
  <c r="G34" i="2"/>
  <c r="H92" i="2"/>
  <c r="G20" i="6"/>
  <c r="G7" i="6"/>
  <c r="G5" i="6"/>
  <c r="M5" i="4"/>
  <c r="N5" i="4" s="1"/>
  <c r="M15" i="4"/>
  <c r="N15" i="4" s="1"/>
  <c r="G154" i="2"/>
  <c r="G21" i="6"/>
  <c r="H146" i="2"/>
  <c r="M23" i="4"/>
  <c r="N23" i="4" s="1"/>
  <c r="G146" i="2"/>
  <c r="M18" i="4"/>
  <c r="N18" i="4" s="1"/>
  <c r="G16" i="6"/>
  <c r="G92" i="2"/>
  <c r="G8" i="6"/>
  <c r="H28" i="2"/>
  <c r="P8" i="4"/>
  <c r="I28" i="2" s="1"/>
  <c r="L12" i="1"/>
  <c r="H126" i="2" s="1"/>
  <c r="M20" i="4"/>
  <c r="N20" i="4" s="1"/>
  <c r="G12" i="6"/>
  <c r="L8" i="1"/>
  <c r="G47" i="2"/>
  <c r="H87" i="2"/>
  <c r="P16" i="4"/>
  <c r="I87" i="2" s="1"/>
  <c r="P17" i="4"/>
  <c r="H99" i="2"/>
  <c r="M9" i="4"/>
  <c r="N9" i="4" s="1"/>
  <c r="G134" i="2"/>
  <c r="L11" i="1"/>
  <c r="H97" i="2" s="1"/>
  <c r="H16" i="2"/>
  <c r="P6" i="4"/>
  <c r="I16" i="2" s="1"/>
  <c r="P13" i="4"/>
  <c r="H68" i="2"/>
  <c r="P9" i="4" l="1"/>
  <c r="H40" i="2"/>
  <c r="I99" i="2"/>
  <c r="H8" i="2"/>
  <c r="L14" i="1"/>
  <c r="B5" i="1" s="1"/>
  <c r="Q8" i="1"/>
  <c r="I8" i="2" s="1"/>
  <c r="P20" i="4"/>
  <c r="I116" i="2" s="1"/>
  <c r="H116" i="2"/>
  <c r="P14" i="4"/>
  <c r="I75" i="2" s="1"/>
  <c r="H75" i="2"/>
  <c r="H38" i="2"/>
  <c r="Q9" i="1"/>
  <c r="I38" i="2" s="1"/>
  <c r="P21" i="4"/>
  <c r="H128" i="2"/>
  <c r="H104" i="2"/>
  <c r="P18" i="4"/>
  <c r="I104" i="2" s="1"/>
  <c r="P23" i="4"/>
  <c r="I140" i="2" s="1"/>
  <c r="H140" i="2"/>
  <c r="I68" i="2"/>
  <c r="J13" i="1"/>
  <c r="I154" i="2"/>
  <c r="H81" i="2"/>
  <c r="P15" i="4"/>
  <c r="I81" i="2" s="1"/>
  <c r="P5" i="4"/>
  <c r="H10" i="2"/>
  <c r="J10" i="1" l="1"/>
  <c r="J12" i="1"/>
  <c r="I128" i="2"/>
  <c r="J11" i="1"/>
  <c r="G5" i="1"/>
  <c r="J8" i="1"/>
  <c r="I10" i="2"/>
  <c r="J9" i="1"/>
  <c r="I40" i="2"/>
  <c r="J14" i="1" l="1"/>
  <c r="E5" i="1" s="1"/>
</calcChain>
</file>

<file path=xl/sharedStrings.xml><?xml version="1.0" encoding="utf-8"?>
<sst xmlns="http://schemas.openxmlformats.org/spreadsheetml/2006/main" count="1947" uniqueCount="493">
  <si>
    <t>Planificación de sprints · Plataforma Integrada GGH</t>
  </si>
  <si>
    <t>Resumen del avance. Actualice el estado de cada tarea en la hoja Tareas y la aceptación de cada historia en la hoja Historias; el resto se recalcula.</t>
  </si>
  <si>
    <t>Avance global</t>
  </si>
  <si>
    <t>Story Points terminados</t>
  </si>
  <si>
    <t>Historias terminadas</t>
  </si>
  <si>
    <t>Sprint actual</t>
  </si>
  <si>
    <t>Fecha de hoy</t>
  </si>
  <si>
    <t>Sprint</t>
  </si>
  <si>
    <t>Inicio</t>
  </si>
  <si>
    <t>Término</t>
  </si>
  <si>
    <t>Días hábiles</t>
  </si>
  <si>
    <t>Tema</t>
  </si>
  <si>
    <t>Sprint Goal</t>
  </si>
  <si>
    <t>Historias</t>
  </si>
  <si>
    <t>SP planificados</t>
  </si>
  <si>
    <t>SP terminados</t>
  </si>
  <si>
    <t>Horas planificadas</t>
  </si>
  <si>
    <t>% avance</t>
  </si>
  <si>
    <t>Product Owner</t>
  </si>
  <si>
    <t>Scrum Master</t>
  </si>
  <si>
    <t>Integración</t>
  </si>
  <si>
    <t>Versión</t>
  </si>
  <si>
    <t>Estado</t>
  </si>
  <si>
    <t>Sprint 1</t>
  </si>
  <si>
    <t>Usuarios, roles y permisos</t>
  </si>
  <si>
    <t>Habilitar el acceso seguro a la plataforma con usuarios, roles, permisos y contexto de empresa y vendedor, como base para operar los demás módulos.</t>
  </si>
  <si>
    <t>HU-001, HU-002, HU-003, HU-004</t>
  </si>
  <si>
    <t>Matías Orellana</t>
  </si>
  <si>
    <t>Millaray Espósito</t>
  </si>
  <si>
    <t>Alexssander López</t>
  </si>
  <si>
    <t>v0.1.0</t>
  </si>
  <si>
    <t>Sprint 2</t>
  </si>
  <si>
    <t>Solicitudes y autorizaciones</t>
  </si>
  <si>
    <t>Permitir que un vendedor cree y envíe una solicitud de código con sus respaldos, y que el grupo autorizador la reciba, resuelva y notifique, con seguimiento completo de su estado.</t>
  </si>
  <si>
    <t>HU-005, HU-006, HU-007, HU-012</t>
  </si>
  <si>
    <t>v0.2.0</t>
  </si>
  <si>
    <t>Sprint 3</t>
  </si>
  <si>
    <t>Lectura SAP, consultas y cotizaciones</t>
  </si>
  <si>
    <t>Conectar la plataforma con SAP Business One en modo lectura para consultar productos, stock y clientes, y crear cotizaciones con el vendedor y la comisión correctos, informando al participante cada cambio de estado.</t>
  </si>
  <si>
    <t>HU-015, HU-008, HU-009, HU-013</t>
  </si>
  <si>
    <t>v0.3.0</t>
  </si>
  <si>
    <t>Sprint 4</t>
  </si>
  <si>
    <t>Órdenes de venta e integración SAP</t>
  </si>
  <si>
    <t>Completar el flujo comercial desde la cotización aceptada hasta la orden de venta autorizada y enviada al ERP por Service Layer, con registro de resultados y reintentos sin duplicidad.</t>
  </si>
  <si>
    <t>HU-010, HU-016, HU-017, HU-011</t>
  </si>
  <si>
    <t>v0.4.0</t>
  </si>
  <si>
    <t>Sprint 5</t>
  </si>
  <si>
    <t>Posventa y trazabilidad</t>
  </si>
  <si>
    <t>Registrar, evaluar y autorizar casos de posventa con evidencias y comprobante QR, y ofrecer una consulta de trazabilidad común para todos los procesos.</t>
  </si>
  <si>
    <t>HU-018, HU-019, HU-014</t>
  </si>
  <si>
    <t>v0.5.0</t>
  </si>
  <si>
    <t>Sprint 6</t>
  </si>
  <si>
    <t>Cierre de posventa e integración final</t>
  </si>
  <si>
    <t>Cerrar el ciclo de posventa con el seguimiento de estados hasta su resolución final y dejar el producto integrado y estabilizado para la validación final.</t>
  </si>
  <si>
    <t>HU-020</t>
  </si>
  <si>
    <t>v0.6.0</t>
  </si>
  <si>
    <t>Total</t>
  </si>
  <si>
    <t>Cómo usar este archivo</t>
  </si>
  <si>
    <t>1. En la hoja Tareas, cambie el Estado de cada tarea (Por hacer, En curso, En revisión, En pruebas, Terminado). El avance de historias, sprints y la Carta Gantt se actualiza solo.</t>
  </si>
  <si>
    <t>2. En la hoja Historias, marque «Aceptada por PO» = Sí cuando el Product Owner acepte la historia en la Sprint Review. Solo entonces cuenta como Terminada.</t>
  </si>
  <si>
    <t>3. Si cambian las fechas de un sprint, edite Inicio y Término en esta hoja (celdas azules): las tareas, eventos y barras se mueven automáticamente.</t>
  </si>
  <si>
    <t>4. En la Carta Gantt use los botones 1, 2 y 3 del margen izquierdo para ver solo sprints, sprints e historias, o todas las tareas.</t>
  </si>
  <si>
    <t>Carta Gantt de sprints</t>
  </si>
  <si>
    <t>Barras calculadas desde las fechas de cada tarea. Leyenda de eventos: P = Sprint Planning · F = Refinamiento · C = Congelamiento · R = Review y Retrospective. Gris = feriado; borde rojo = hoy.</t>
  </si>
  <si>
    <t>Historia</t>
  </si>
  <si>
    <t>Tarea</t>
  </si>
  <si>
    <t>Avance</t>
  </si>
  <si>
    <t>Evento</t>
  </si>
  <si>
    <t>Hito</t>
  </si>
  <si>
    <t>Feriado</t>
  </si>
  <si>
    <t>Septiembre 2026</t>
  </si>
  <si>
    <t>Octubre 2026</t>
  </si>
  <si>
    <t>Noviembre 2026</t>
  </si>
  <si>
    <t>Diciembre 2026</t>
  </si>
  <si>
    <t>Cierre del proyecto</t>
  </si>
  <si>
    <t>ID</t>
  </si>
  <si>
    <t>Actividad</t>
  </si>
  <si>
    <t>Tipo</t>
  </si>
  <si>
    <t>Responsable</t>
  </si>
  <si>
    <t>Fin</t>
  </si>
  <si>
    <t>Días</t>
  </si>
  <si>
    <t>S1</t>
  </si>
  <si>
    <t>Sprint 1 · Usuarios, roles y permisos</t>
  </si>
  <si>
    <t>PO: Matías · SM: Millaray</t>
  </si>
  <si>
    <t>Eventos Scrum</t>
  </si>
  <si>
    <t>Eventos</t>
  </si>
  <si>
    <t>Scrum Team</t>
  </si>
  <si>
    <t>HU-001</t>
  </si>
  <si>
    <t>Autenticarse en la plataforma</t>
  </si>
  <si>
    <t>Matías y Alexssander</t>
  </si>
  <si>
    <t>T-1.01</t>
  </si>
  <si>
    <t>Configurar el inicio y cierre de sesión con la autenticación de Django y la pantalla de acceso</t>
  </si>
  <si>
    <t>Matías</t>
  </si>
  <si>
    <t>T-1.02</t>
  </si>
  <si>
    <t>Bloquear el acceso de usuarios desactivados y mostrar mensajes de error claros</t>
  </si>
  <si>
    <t>T-1.03</t>
  </si>
  <si>
    <t>Configurar el hash de contraseñas y la expiración de la sesión por inactividad</t>
  </si>
  <si>
    <t>Alexssander</t>
  </si>
  <si>
    <t>T-1.04</t>
  </si>
  <si>
    <t>Registrar la auditoría de accesos e intentos fallidos</t>
  </si>
  <si>
    <t>T-1.05</t>
  </si>
  <si>
    <t>Pruebas automatizadas y ejecución de CP-001 a CP-003</t>
  </si>
  <si>
    <t>Millaray</t>
  </si>
  <si>
    <t>HU-002</t>
  </si>
  <si>
    <t>Administrar usuarios y perfiles</t>
  </si>
  <si>
    <t>T-1.06</t>
  </si>
  <si>
    <t>Modelos de área, cargo, rol y perfil de usuario, con sus migraciones</t>
  </si>
  <si>
    <t>T-1.07</t>
  </si>
  <si>
    <t>Mantenedor de usuarios con área, cargo y rol obligatorios</t>
  </si>
  <si>
    <t>T-1.08</t>
  </si>
  <si>
    <t>Desactivación y reactivación de usuarios conservando su historial</t>
  </si>
  <si>
    <t>T-1.09</t>
  </si>
  <si>
    <t>Restringir la administración de usuarios al administrador, validado en el servidor</t>
  </si>
  <si>
    <t>T-1.10</t>
  </si>
  <si>
    <t>Pruebas automatizadas y ejecución de CP-004 a CP-006</t>
  </si>
  <si>
    <t>HU-003</t>
  </si>
  <si>
    <t>Configurar permisos y grupos de autorización</t>
  </si>
  <si>
    <t>T-1.11</t>
  </si>
  <si>
    <t>Modelo de permisos directos, por área y por cargo, y cálculo de permisos efectivos</t>
  </si>
  <si>
    <t>T-1.12</t>
  </si>
  <si>
    <t>Validación centralizada de permisos en el servidor para cada vista</t>
  </si>
  <si>
    <t>T-1.13</t>
  </si>
  <si>
    <t>Grupos autorizadores por tipo de solicitud con al menos un integrante activo</t>
  </si>
  <si>
    <t>T-1.14</t>
  </si>
  <si>
    <t>Pantallas de administración de permisos y grupos</t>
  </si>
  <si>
    <t>T-1.15</t>
  </si>
  <si>
    <t>Pruebas automatizadas y ejecución de CP-007 a CP-010</t>
  </si>
  <si>
    <t>HU-004</t>
  </si>
  <si>
    <t>Configurar empresas, vendedores y comisiones</t>
  </si>
  <si>
    <t>T-1.16</t>
  </si>
  <si>
    <t>Modelos de SlpCode por empresa y escala de comisión, con sus migraciones</t>
  </si>
  <si>
    <t>T-1.17</t>
  </si>
  <si>
    <t>Asignación de SlpCode y escala de comisión en el perfil del vendedor</t>
  </si>
  <si>
    <t>T-1.18</t>
  </si>
  <si>
    <t>Selector de empresa activa en la barra de navegación y colores por empresa</t>
  </si>
  <si>
    <t>T-1.19</t>
  </si>
  <si>
    <t>Pruebas automatizadas y ejecución de CP-011 a CP-014</t>
  </si>
  <si>
    <t>Tareas transversales del sprint</t>
  </si>
  <si>
    <t>T-1.20</t>
  </si>
  <si>
    <t>Configurar el repositorio privado, las ramas protegidas, el tablero y el archivo .env.example</t>
  </si>
  <si>
    <t>T-1.21</t>
  </si>
  <si>
    <t>Cargar datos ficticios de demostración: usuarios, áreas, cargos y empresas</t>
  </si>
  <si>
    <t>T-1.22</t>
  </si>
  <si>
    <t>Integrar develop en main, etiquetar v0.1.0 y preparar la demostración</t>
  </si>
  <si>
    <t>T-1.23</t>
  </si>
  <si>
    <t>Actualizar la matriz de trazabilidad y el Expediente de Sprint</t>
  </si>
  <si>
    <t>S2</t>
  </si>
  <si>
    <t>Sprint 2 · Solicitudes y autorizaciones</t>
  </si>
  <si>
    <t>PO: Millaray · SM: Alexssander</t>
  </si>
  <si>
    <t>HU-005</t>
  </si>
  <si>
    <t>Crear y enviar solicitudes de código</t>
  </si>
  <si>
    <t>Millaray y Matías</t>
  </si>
  <si>
    <t>T-2.01</t>
  </si>
  <si>
    <t>Modelos de solicitud, productos solicitados y adjuntos, con estados y migraciones</t>
  </si>
  <si>
    <t>T-2.02</t>
  </si>
  <si>
    <t>Formulario de solicitud por tipo (creación, activación o modificación) con uno o más productos</t>
  </si>
  <si>
    <t>T-2.03</t>
  </si>
  <si>
    <t>Validación y almacenamiento de respaldos fuera de la base de datos, según los formatos permitidos</t>
  </si>
  <si>
    <t>T-2.04</t>
  </si>
  <si>
    <t>Envío de la solicitud a la bandeja del grupo autorizador correspondiente</t>
  </si>
  <si>
    <t>T-2.05</t>
  </si>
  <si>
    <t>Pruebas automatizadas y ejecución de CP-015 a CP-018</t>
  </si>
  <si>
    <t>HU-006</t>
  </si>
  <si>
    <t>Aprobar o rechazar solicitudes</t>
  </si>
  <si>
    <t>T-2.06</t>
  </si>
  <si>
    <t>Bandeja compartida del grupo y acción para tomar la solicitud</t>
  </si>
  <si>
    <t>T-2.07</t>
  </si>
  <si>
    <t>Aprobación y rechazo con motivo obligatorio; bloqueo de edición después de aprobar</t>
  </si>
  <si>
    <t>T-2.08</t>
  </si>
  <si>
    <t>Registro de usuario, fecha, hora y comentario de la resolución</t>
  </si>
  <si>
    <t>T-2.09</t>
  </si>
  <si>
    <t>Pruebas automatizadas y ejecución de CP-019 a CP-022</t>
  </si>
  <si>
    <t>HU-007</t>
  </si>
  <si>
    <t>Corregir, reenviar y consultar solicitudes</t>
  </si>
  <si>
    <t>T-2.10</t>
  </si>
  <si>
    <t>Corrección y reenvío por el creador, con retorno a estado Pendiente</t>
  </si>
  <si>
    <t>T-2.11</t>
  </si>
  <si>
    <t>Vista de seguimiento con estado, responsable, fecha y comentario</t>
  </si>
  <si>
    <t>T-2.12</t>
  </si>
  <si>
    <t>Filtros y búsqueda por estado, fecha, área y responsable, según permisos</t>
  </si>
  <si>
    <t>T-2.13</t>
  </si>
  <si>
    <t>Pruebas automatizadas y ejecución de CP-023 a CP-026</t>
  </si>
  <si>
    <t>HU-012</t>
  </si>
  <si>
    <t>Notificar pendientes y recordatorios</t>
  </si>
  <si>
    <t>T-2.14</t>
  </si>
  <si>
    <t>Modelo de notificación con destinatario, categoría, emisor, nivel y enlace</t>
  </si>
  <si>
    <t>T-2.15</t>
  </si>
  <si>
    <t>Notificación a los integrantes del grupo al enviar un proceso</t>
  </si>
  <si>
    <t>T-2.16</t>
  </si>
  <si>
    <t>Tarea programada de recordatorio para procesos pendientes por más de una hora</t>
  </si>
  <si>
    <t>T-2.17</t>
  </si>
  <si>
    <t>Campana general en la barra superior con restricción de notificaciones ajenas</t>
  </si>
  <si>
    <t>T-2.18</t>
  </si>
  <si>
    <t>Pruebas automatizadas y ejecución de CP-043 a CP-046</t>
  </si>
  <si>
    <t>T-2.19</t>
  </si>
  <si>
    <t>Validar el flujo de solicitudes con usuarios clave antes de la Sprint Review</t>
  </si>
  <si>
    <t>T-2.20</t>
  </si>
  <si>
    <t>Integrar develop en main, etiquetar v0.2.0 y preparar la demostración</t>
  </si>
  <si>
    <t>T-2.21</t>
  </si>
  <si>
    <t>S3</t>
  </si>
  <si>
    <t>Sprint 3 · Lectura SAP, consultas y cotizaciones</t>
  </si>
  <si>
    <t>PO: Alexssander · SM: Matías</t>
  </si>
  <si>
    <t>HU-015</t>
  </si>
  <si>
    <t>Consultar SAP mediante una API segura</t>
  </si>
  <si>
    <t>Alexssander y Matías</t>
  </si>
  <si>
    <t>T-3.01</t>
  </si>
  <si>
    <t>API de lectura en FastAPI con usuario de solo lectura sobre SAP HANA y respuestas JSON</t>
  </si>
  <si>
    <t>T-3.02</t>
  </si>
  <si>
    <t>Firma de peticiones entre la plataforma y la API, con rechazo de firmas inválidas</t>
  </si>
  <si>
    <t>T-3.03</t>
  </si>
  <si>
    <t>Credenciales de conexión en variables de entorno</t>
  </si>
  <si>
    <t>T-3.04</t>
  </si>
  <si>
    <t>Paginación, tiempo límite, reintentos y servicio simulado con datos ficticios</t>
  </si>
  <si>
    <t>T-3.05</t>
  </si>
  <si>
    <t>Registro de consultas para medir la carga sobre el ERP</t>
  </si>
  <si>
    <t>T-3.06</t>
  </si>
  <si>
    <t>Pruebas, medición de tiempos y ejecución de CP-055 a CP-058</t>
  </si>
  <si>
    <t>HU-008</t>
  </si>
  <si>
    <t>Consultar productos, stock y clientes</t>
  </si>
  <si>
    <t>Alexssander y Millaray</t>
  </si>
  <si>
    <t>T-3.07</t>
  </si>
  <si>
    <t>Cliente de la API en la plataforma para productos, stock y clientes de la empresa activa</t>
  </si>
  <si>
    <t>T-3.08</t>
  </si>
  <si>
    <t>Pantallas de consulta de productos y stock</t>
  </si>
  <si>
    <t>T-3.09</t>
  </si>
  <si>
    <t>Consulta de clientes con crédito y bloqueo, según la cartera del vendedor o asistente</t>
  </si>
  <si>
    <t>T-3.10</t>
  </si>
  <si>
    <t>Indicador visible de cliente bloqueado</t>
  </si>
  <si>
    <t>T-3.11</t>
  </si>
  <si>
    <t>Pruebas automatizadas y ejecución de CP-027 a CP-030</t>
  </si>
  <si>
    <t>HU-009</t>
  </si>
  <si>
    <t>Crear y administrar cotizaciones</t>
  </si>
  <si>
    <t>Millaray y Alexssander</t>
  </si>
  <si>
    <t>T-3.12</t>
  </si>
  <si>
    <t>Modelos de cotización y líneas, con sus migraciones</t>
  </si>
  <si>
    <t>T-3.13</t>
  </si>
  <si>
    <t>Formulario de cotización con validación de cliente y líneas</t>
  </si>
  <si>
    <t>T-3.14</t>
  </si>
  <si>
    <t>Selección de SlpCode por el asistente y registro de creador y vendedor</t>
  </si>
  <si>
    <t>T-3.15</t>
  </si>
  <si>
    <t>Cálculo de la comisión con la escala del vendedor o la predeterminada</t>
  </si>
  <si>
    <t>T-3.16</t>
  </si>
  <si>
    <t>Pruebas automatizadas y ejecución de CP-031 a CP-034</t>
  </si>
  <si>
    <t>HU-013</t>
  </si>
  <si>
    <t>Informar cambios de estado al solicitante</t>
  </si>
  <si>
    <t>T-3.17</t>
  </si>
  <si>
    <t>Notificaciones al participante ante aprobaciones, rechazos, observaciones y cambios de estado</t>
  </si>
  <si>
    <t>T-3.18</t>
  </si>
  <si>
    <t>Campana de autorizaciones de órdenes de venta</t>
  </si>
  <si>
    <t>T-3.19</t>
  </si>
  <si>
    <t>Página de notificaciones: abrir, marcar como leída, marcar todas y eliminar, con fecha de lectura</t>
  </si>
  <si>
    <t>T-3.20</t>
  </si>
  <si>
    <t>Pruebas automatizadas y ejecución de CP-047 a CP-050</t>
  </si>
  <si>
    <t>T-3.21</t>
  </si>
  <si>
    <t>Pruebas de regresión de los módulos de usuarios y solicitudes</t>
  </si>
  <si>
    <t>T-3.22</t>
  </si>
  <si>
    <t>Validar consultas y cotizaciones con la Jefatura Comercial y los ejecutivos comerciales</t>
  </si>
  <si>
    <t>T-3.23</t>
  </si>
  <si>
    <t>Integrar develop en main, etiquetar v0.3.0 y preparar la demostración</t>
  </si>
  <si>
    <t>T-3.24</t>
  </si>
  <si>
    <t>S4</t>
  </si>
  <si>
    <t>Sprint 4 · Órdenes de venta e integración SAP</t>
  </si>
  <si>
    <t>HU-010</t>
  </si>
  <si>
    <t>Emitir la cotización y solicitar la orden de venta</t>
  </si>
  <si>
    <t>T-4.01</t>
  </si>
  <si>
    <t>Generación de la cotización en formato imprimible o descargable</t>
  </si>
  <si>
    <t>T-4.02</t>
  </si>
  <si>
    <t>Conversión de la cotización aceptada en solicitud de orden de venta, con su vínculo</t>
  </si>
  <si>
    <t>T-4.03</t>
  </si>
  <si>
    <t>Validación de cotización abierta y aceptada, y bloqueo por cliente bloqueado</t>
  </si>
  <si>
    <t>T-4.04</t>
  </si>
  <si>
    <t>Pruebas automatizadas y ejecución de CP-035 a CP-038</t>
  </si>
  <si>
    <t>HU-016</t>
  </si>
  <si>
    <t>Crear documentos mediante Service Layer</t>
  </si>
  <si>
    <t>T-4.05</t>
  </si>
  <si>
    <t>Cliente de Service Layer y servicio simulado equivalente</t>
  </si>
  <si>
    <t>T-4.06</t>
  </si>
  <si>
    <t>Validación de autorización registrada antes de cada envío</t>
  </si>
  <si>
    <t>T-4.07</t>
  </si>
  <si>
    <t>Conservación inmutable del documento autorizado para su envío</t>
  </si>
  <si>
    <t>T-4.08</t>
  </si>
  <si>
    <t>Registro del resultado devuelto por Service Layer</t>
  </si>
  <si>
    <t>T-4.09</t>
  </si>
  <si>
    <t>Pruebas automatizadas y ejecución de CP-059 a CP-062</t>
  </si>
  <si>
    <t>HU-017</t>
  </si>
  <si>
    <t>Registrar y reintentar operaciones fallidas</t>
  </si>
  <si>
    <t>T-4.10</t>
  </si>
  <si>
    <t>Registro de operaciones (documento, resultado, identificador y error) y pantalla de consulta</t>
  </si>
  <si>
    <t>T-4.11</t>
  </si>
  <si>
    <t>Mensajes de error comprensibles para el usuario</t>
  </si>
  <si>
    <t>T-4.12</t>
  </si>
  <si>
    <t>Reintento seguro que reutiliza el documento autorizado sin duplicar líneas</t>
  </si>
  <si>
    <t>T-4.13</t>
  </si>
  <si>
    <t>Operaciones atómicas ante errores</t>
  </si>
  <si>
    <t>T-4.14</t>
  </si>
  <si>
    <t>Pruebas automatizadas y ejecución de CP-063 a CP-066</t>
  </si>
  <si>
    <t>HU-011</t>
  </si>
  <si>
    <t>Autorizar, enviar y seguir órdenes de venta</t>
  </si>
  <si>
    <t>T-4.15</t>
  </si>
  <si>
    <t>Regla de límites de autorización y estado pendiente de autorización</t>
  </si>
  <si>
    <t>T-4.16</t>
  </si>
  <si>
    <t>Bandeja y aprobación del autorizador comercial</t>
  </si>
  <si>
    <t>T-4.17</t>
  </si>
  <si>
    <t>Envío de la orden autorizada por Service Layer y registro del identificador</t>
  </si>
  <si>
    <t>T-4.18</t>
  </si>
  <si>
    <t>Consulta del estado, vínculo y trazabilidad del documento</t>
  </si>
  <si>
    <t>T-4.19</t>
  </si>
  <si>
    <t>Pruebas automatizadas y ejecución de CP-039 a CP-042</t>
  </si>
  <si>
    <t>T-4.20</t>
  </si>
  <si>
    <t>Validar el flujo comercial completo con la Jefatura Comercial y el Administrador de SAP</t>
  </si>
  <si>
    <t>T-4.21</t>
  </si>
  <si>
    <t>Integrar develop en main, etiquetar v0.4.0 y preparar la demostración</t>
  </si>
  <si>
    <t>T-4.22</t>
  </si>
  <si>
    <t>S5</t>
  </si>
  <si>
    <t>Sprint 5 · Posventa y trazabilidad</t>
  </si>
  <si>
    <t>HU-018</t>
  </si>
  <si>
    <t>Registrar un caso de posventa</t>
  </si>
  <si>
    <t>T-5.01</t>
  </si>
  <si>
    <t>Modelos de caso de posventa, productos y documento de respaldo, con sus migraciones</t>
  </si>
  <si>
    <t>T-5.02</t>
  </si>
  <si>
    <t>Formulario de registro por tipo de caso, con consulta de cliente y documentos por la API</t>
  </si>
  <si>
    <t>T-5.03</t>
  </si>
  <si>
    <t>Carga de evidencias con validación y excepción para factura de reserva</t>
  </si>
  <si>
    <t>T-5.04</t>
  </si>
  <si>
    <t>Acceso a las evidencias restringido a los participantes autorizados</t>
  </si>
  <si>
    <t>T-5.05</t>
  </si>
  <si>
    <t>Pruebas automatizadas y ejecución de CP-067 a CP-070</t>
  </si>
  <si>
    <t>HU-019</t>
  </si>
  <si>
    <t>Evaluar, resolver y emitir comprobante QR</t>
  </si>
  <si>
    <t>T-5.06</t>
  </si>
  <si>
    <t>Evaluación de producto, accesorios, manual y embalaje con los valores definidos</t>
  </si>
  <si>
    <t>T-5.07</t>
  </si>
  <si>
    <t>Aprobación o rechazo con motivo, corrección y reenvío a Pendiente</t>
  </si>
  <si>
    <t>T-5.08</t>
  </si>
  <si>
    <t>Generación del comprobante con código QR</t>
  </si>
  <si>
    <t>T-5.09</t>
  </si>
  <si>
    <t>Descarga del comprobante y marca de QR enviado al cliente</t>
  </si>
  <si>
    <t>T-5.10</t>
  </si>
  <si>
    <t>Pruebas automatizadas y ejecución de CP-071 a CP-074</t>
  </si>
  <si>
    <t>HU-014</t>
  </si>
  <si>
    <t>Consultar la trazabilidad de los procesos</t>
  </si>
  <si>
    <t>T-5.11</t>
  </si>
  <si>
    <t>Historial de estados común para solicitudes, órdenes y casos</t>
  </si>
  <si>
    <t>T-5.12</t>
  </si>
  <si>
    <t>Pantalla de trazabilidad con estado actual, responsable y secuencia histórica</t>
  </si>
  <si>
    <t>T-5.13</t>
  </si>
  <si>
    <t>Bloqueo de edición de las respuestas resueltas</t>
  </si>
  <si>
    <t>T-5.14</t>
  </si>
  <si>
    <t>Visibilidad según participación y rol</t>
  </si>
  <si>
    <t>T-5.15</t>
  </si>
  <si>
    <t>Pruebas automatizadas y ejecución de CP-051 a CP-054</t>
  </si>
  <si>
    <t>T-5.16</t>
  </si>
  <si>
    <t>Pruebas de regresión de los módulos anteriores</t>
  </si>
  <si>
    <t>T-5.17</t>
  </si>
  <si>
    <t>Pruebas no funcionales: tiempos de respuesta, navegadores y restricciones de acceso</t>
  </si>
  <si>
    <t>T-5.18</t>
  </si>
  <si>
    <t>Validar el registro y la evaluación de casos con la Jefatura de Posventa</t>
  </si>
  <si>
    <t>T-5.19</t>
  </si>
  <si>
    <t>Integrar develop en main, etiquetar v0.5.0 y preparar la demostración</t>
  </si>
  <si>
    <t>T-5.20</t>
  </si>
  <si>
    <t>S6</t>
  </si>
  <si>
    <t>Sprint 6 · Cierre de posventa e integración final</t>
  </si>
  <si>
    <t>Gestionar el avance y cierre de posventa</t>
  </si>
  <si>
    <t>T-6.01</t>
  </si>
  <si>
    <t>Flujo de estados con guía: QR enviado, recepcionado, ruta de stock o proveedor y cierre</t>
  </si>
  <si>
    <t>T-6.02</t>
  </si>
  <si>
    <t>Ruta de los casos con factura de reserva</t>
  </si>
  <si>
    <t>T-6.03</t>
  </si>
  <si>
    <t>Notificaciones y observaciones visibles en cada cambio de estado</t>
  </si>
  <si>
    <t>T-6.04</t>
  </si>
  <si>
    <t>Cierre exclusivo del autorizador con resolución final</t>
  </si>
  <si>
    <t>T-6.05</t>
  </si>
  <si>
    <t>Pruebas automatizadas y ejecución de CP-075 a CP-078</t>
  </si>
  <si>
    <t>T-6.06</t>
  </si>
  <si>
    <t>Integración final y corrección de incidencias abiertas</t>
  </si>
  <si>
    <t>T-6.07</t>
  </si>
  <si>
    <t>Regresión completa del producto</t>
  </si>
  <si>
    <t>T-6.08</t>
  </si>
  <si>
    <t>Validar el cierre de casos con la Jefatura de Posventa</t>
  </si>
  <si>
    <t>T-6.09</t>
  </si>
  <si>
    <t>Integrar develop en main, etiquetar v0.6.0 y preparar la demostración</t>
  </si>
  <si>
    <t>T-6.10</t>
  </si>
  <si>
    <t>C</t>
  </si>
  <si>
    <t>Cierre</t>
  </si>
  <si>
    <t>Elaboración de evidencias sanitizadas</t>
  </si>
  <si>
    <t>Preparación de la demostración y presentación final</t>
  </si>
  <si>
    <t>Fin del período del proyecto</t>
  </si>
  <si>
    <t>Tareas del Sprint Backlog</t>
  </si>
  <si>
    <t>Lista maestra de tareas de todos los sprints. Actualice la columna Estado; las fechas se calculan desde las fechas del sprint.</t>
  </si>
  <si>
    <t>Horas</t>
  </si>
  <si>
    <t>Semana</t>
  </si>
  <si>
    <t>Horas avanzadas</t>
  </si>
  <si>
    <t>Observaciones</t>
  </si>
  <si>
    <t>Terminado</t>
  </si>
  <si>
    <t>Transversal</t>
  </si>
  <si>
    <t>Por hacer</t>
  </si>
  <si>
    <t>Historias de usuario por sprint</t>
  </si>
  <si>
    <t>Fechas y avance calculados desde la hoja Tareas. Marque «Aceptada por PO» en la Sprint Review.</t>
  </si>
  <si>
    <t>Título</t>
  </si>
  <si>
    <t>Épica</t>
  </si>
  <si>
    <t>SP</t>
  </si>
  <si>
    <t>Prioridad</t>
  </si>
  <si>
    <t>Dependencias</t>
  </si>
  <si>
    <t>Responsables</t>
  </si>
  <si>
    <t>Casos de prueba</t>
  </si>
  <si>
    <t>Aceptada por PO</t>
  </si>
  <si>
    <t>EP-01</t>
  </si>
  <si>
    <t>Alta</t>
  </si>
  <si>
    <t>Ninguna</t>
  </si>
  <si>
    <t>CP-001 a CP-003</t>
  </si>
  <si>
    <t>Sí</t>
  </si>
  <si>
    <t>CP-004 a CP-006</t>
  </si>
  <si>
    <t>CP-007 a CP-010</t>
  </si>
  <si>
    <t>HU-002, HU-003</t>
  </si>
  <si>
    <t>CP-011 a CP-014</t>
  </si>
  <si>
    <t>EP-02</t>
  </si>
  <si>
    <t>HU-003, HU-004</t>
  </si>
  <si>
    <t>CP-015 a CP-018</t>
  </si>
  <si>
    <t>CP-019 a CP-022</t>
  </si>
  <si>
    <t>CP-023 a CP-026</t>
  </si>
  <si>
    <t>EP-04</t>
  </si>
  <si>
    <t>HU-005, HU-006</t>
  </si>
  <si>
    <t>CP-043 a CP-046</t>
  </si>
  <si>
    <t>EP-05</t>
  </si>
  <si>
    <t>CP-055 a CP-058</t>
  </si>
  <si>
    <t>No</t>
  </si>
  <si>
    <t>EP-03</t>
  </si>
  <si>
    <t>HU-004, HU-015</t>
  </si>
  <si>
    <t>CP-027 a CP-030</t>
  </si>
  <si>
    <t>HU-004, HU-008</t>
  </si>
  <si>
    <t>CP-031 a CP-034</t>
  </si>
  <si>
    <t>HU-006, HU-012</t>
  </si>
  <si>
    <t>CP-047 a CP-050</t>
  </si>
  <si>
    <t>CP-035 a CP-038</t>
  </si>
  <si>
    <t>CP-059 a CP-062</t>
  </si>
  <si>
    <t>CP-063 a CP-066</t>
  </si>
  <si>
    <t>HU-010, HU-016, HU-017</t>
  </si>
  <si>
    <t>CP-039 a CP-042</t>
  </si>
  <si>
    <t>EP-06</t>
  </si>
  <si>
    <t>HU-003, HU-004, HU-015</t>
  </si>
  <si>
    <t>CP-067 a CP-070</t>
  </si>
  <si>
    <t>HU-018, HU-012, HU-013</t>
  </si>
  <si>
    <t>CP-071 a CP-074</t>
  </si>
  <si>
    <t>HU-006, HU-011, HU-019</t>
  </si>
  <si>
    <t>CP-051 a CP-054</t>
  </si>
  <si>
    <t>HU-019, HU-014</t>
  </si>
  <si>
    <t>CP-075 a CP-078</t>
  </si>
  <si>
    <t>Fechas calculadas desde las fechas de cada sprint. El Daily Scrum se realiza de lunes a viernes a las 21:00 (15 min).</t>
  </si>
  <si>
    <t>Fecha</t>
  </si>
  <si>
    <t>Duración máxima</t>
  </si>
  <si>
    <t>Participantes</t>
  </si>
  <si>
    <t>Registro</t>
  </si>
  <si>
    <t>Realizado</t>
  </si>
  <si>
    <t>Sprint Planning</t>
  </si>
  <si>
    <t>2 h</t>
  </si>
  <si>
    <t>Secciones 1 a 7 del Expediente</t>
  </si>
  <si>
    <t>Refinamiento del Product Backlog</t>
  </si>
  <si>
    <t>45 min</t>
  </si>
  <si>
    <t>Scrum Team y usuarios clave</t>
  </si>
  <si>
    <t>Product Backlog actualizado</t>
  </si>
  <si>
    <t>Integración y congelamiento</t>
  </si>
  <si>
    <t>—</t>
  </si>
  <si>
    <t>Developers</t>
  </si>
  <si>
    <t>develop estable para la demostración</t>
  </si>
  <si>
    <t>Sprint Review</t>
  </si>
  <si>
    <t>1 h</t>
  </si>
  <si>
    <t>Scrum Team y stakeholders</t>
  </si>
  <si>
    <t>Secciones 11 a 13 del Expediente</t>
  </si>
  <si>
    <t>Sprint Retrospective</t>
  </si>
  <si>
    <t>Secciones 14 y 15 del Expediente</t>
  </si>
  <si>
    <t>30 min</t>
  </si>
  <si>
    <t>Capacidad por sprint e integrante</t>
  </si>
  <si>
    <t>Horas disponibles = dedicación (3 h por día hábil + 3 h el sábado) − eventos Scrum − rol de PO o SM. Comprometido y avanzado se calculan desde Tareas.</t>
  </si>
  <si>
    <t>Integrante</t>
  </si>
  <si>
    <t>Rol</t>
  </si>
  <si>
    <t>Disponible (h)</t>
  </si>
  <si>
    <t>Comprometido (h)</t>
  </si>
  <si>
    <t>% de uso</t>
  </si>
  <si>
    <t>Avanzado (h)</t>
  </si>
  <si>
    <t>Configuración</t>
  </si>
  <si>
    <t>Listas usadas por las fórmulas. Los valores en azul pueden editarse.</t>
  </si>
  <si>
    <t>Descripción</t>
  </si>
  <si>
    <t>Estado de tarea</t>
  </si>
  <si>
    <t>% de avance</t>
  </si>
  <si>
    <t>Fiestas Patrias</t>
  </si>
  <si>
    <t>Día de las Glorias del Ejército</t>
  </si>
  <si>
    <t>En curso</t>
  </si>
  <si>
    <t>Encuentro de Dos Mundos</t>
  </si>
  <si>
    <t>En revisión</t>
  </si>
  <si>
    <t>Día de las Iglesias Evangélicas</t>
  </si>
  <si>
    <t>En pruebas</t>
  </si>
  <si>
    <t>Día de Todos los Santos</t>
  </si>
  <si>
    <t>Inmaculada Concepción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</si>
</sst>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"/>
    <numFmt numFmtId="166" formatCode="dd"/>
    <numFmt numFmtId="167" formatCode="dd/mm"/>
  </numFmts>
  <fonts count="15" x14ac:knownFonts="1">
    <font>
      <sz val="11"/>
      <color theme="1"/>
      <name val="Arial"/>
      <family val="2"/>
    </font>
    <font>
      <b/>
      <sz val="16"/>
      <color rgb="FF1C3557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0"/>
      <name val="Arial"/>
    </font>
    <font>
      <sz val="9"/>
      <color rgb="FF595959"/>
      <name val="Arial"/>
    </font>
    <font>
      <b/>
      <sz val="14"/>
      <color rgb="FF1C3557"/>
      <name val="Arial"/>
    </font>
    <font>
      <b/>
      <sz val="8"/>
      <color rgb="FFFFFFFF"/>
      <name val="Arial"/>
    </font>
    <font>
      <sz val="8"/>
      <color rgb="FF595959"/>
      <name val="Arial"/>
    </font>
    <font>
      <b/>
      <sz val="9"/>
      <color rgb="FFFFFFFF"/>
      <name val="Arial"/>
    </font>
    <font>
      <i/>
      <sz val="9"/>
      <color rgb="FF595959"/>
      <name val="Arial"/>
    </font>
    <font>
      <b/>
      <sz val="8"/>
      <color rgb="FF7A4A00"/>
      <name val="Arial"/>
    </font>
    <font>
      <sz val="9"/>
      <name val="Arial"/>
    </font>
  </fonts>
  <fills count="13">
    <fill>
      <patternFill patternType="none"/>
    </fill>
    <fill>
      <patternFill patternType="gray125"/>
    </fill>
    <fill>
      <patternFill patternType="solid">
        <fgColor rgb="FF1C3557"/>
      </patternFill>
    </fill>
    <fill>
      <patternFill patternType="solid">
        <fgColor rgb="FFEEF3F9"/>
      </patternFill>
    </fill>
    <fill>
      <patternFill patternType="solid">
        <fgColor rgb="FFF7F8FA"/>
      </patternFill>
    </fill>
    <fill>
      <patternFill patternType="solid">
        <fgColor rgb="FF4470B8"/>
      </patternFill>
    </fill>
    <fill>
      <patternFill patternType="solid">
        <fgColor rgb="FF7F7F7F"/>
      </patternFill>
    </fill>
    <fill>
      <patternFill patternType="solid">
        <fgColor rgb="FF4470B8"/>
      </patternFill>
    </fill>
    <fill>
      <patternFill patternType="solid">
        <fgColor rgb="FFC9D6EA"/>
      </patternFill>
    </fill>
    <fill>
      <patternFill patternType="solid">
        <fgColor rgb="FF70AD47"/>
      </patternFill>
    </fill>
    <fill>
      <patternFill patternType="solid">
        <fgColor rgb="FFFCE3B0"/>
      </patternFill>
    </fill>
    <fill>
      <patternFill patternType="solid">
        <fgColor rgb="FFF7A81B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hair">
        <color rgb="FFE7E6E6"/>
      </left>
      <right style="hair">
        <color rgb="FFE7E6E6"/>
      </right>
      <top style="hair">
        <color rgb="FFE7E6E6"/>
      </top>
      <bottom style="hair">
        <color rgb="FFE7E6E6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9" fontId="5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5" fillId="0" borderId="0" xfId="0" applyFont="1"/>
    <xf numFmtId="0" fontId="0" fillId="2" borderId="0" xfId="0" applyFill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166" fontId="9" fillId="2" borderId="0" xfId="0" applyNumberFormat="1" applyFont="1" applyFill="1" applyAlignment="1">
      <alignment horizontal="center" vertical="center" wrapText="1"/>
    </xf>
    <xf numFmtId="0" fontId="0" fillId="4" borderId="0" xfId="0" applyFill="1"/>
    <xf numFmtId="0" fontId="10" fillId="0" borderId="0" xfId="0" applyFont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167" fontId="6" fillId="3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indent="1"/>
    </xf>
    <xf numFmtId="167" fontId="12" fillId="0" borderId="1" xfId="0" applyNumberFormat="1" applyFont="1" applyBorder="1" applyAlignment="1">
      <alignment horizontal="center" vertical="center" wrapText="1"/>
    </xf>
    <xf numFmtId="9" fontId="12" fillId="0" borderId="1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indent="1"/>
    </xf>
    <xf numFmtId="167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indent="3"/>
    </xf>
    <xf numFmtId="167" fontId="7" fillId="0" borderId="1" xfId="0" applyNumberFormat="1" applyFont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9" fontId="8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4" fontId="8" fillId="4" borderId="1" xfId="0" applyNumberFormat="1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0" fillId="0" borderId="0" xfId="0"/>
    <xf numFmtId="0" fontId="6" fillId="4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15">
    <dxf>
      <font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9C5700"/>
        <name val="Arial"/>
      </font>
      <fill>
        <patternFill patternType="solid">
          <fgColor rgb="FFFFEB9C"/>
          <bgColor rgb="FFFFEB9C"/>
        </patternFill>
      </fill>
    </dxf>
    <dxf>
      <font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color rgb="FF9C5700"/>
        <name val="Arial"/>
      </font>
      <fill>
        <patternFill patternType="solid">
          <fgColor rgb="FFFFEB9C"/>
          <bgColor rgb="FFFFEB9C"/>
        </patternFill>
      </fill>
    </dxf>
    <dxf>
      <font>
        <color rgb="FF006100"/>
        <name val="Arial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CE3B0"/>
          <bgColor rgb="FFFCE3B0"/>
        </patternFill>
      </fill>
    </dxf>
    <dxf>
      <fill>
        <patternFill patternType="solid">
          <fgColor rgb="FFF7A81B"/>
          <bgColor rgb="FFF7A81B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9D6EA"/>
          <bgColor rgb="FFC9D6EA"/>
        </patternFill>
      </fill>
    </dxf>
    <dxf>
      <fill>
        <patternFill patternType="solid">
          <fgColor rgb="FF4470B8"/>
          <bgColor rgb="FF4470B8"/>
        </patternFill>
      </fill>
    </dxf>
    <dxf>
      <fill>
        <patternFill patternType="solid">
          <fgColor rgb="FF1C3557"/>
          <bgColor rgb="FF1C355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D9D9D9"/>
          <bgColor rgb="FFD9D9D9"/>
        </patternFill>
      </fill>
    </dxf>
    <dxf>
      <border>
        <left style="medium">
          <color rgb="FFC00000"/>
        </left>
        <right style="medium">
          <color rgb="FFC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Story Points por sprint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Resumen!$I$7</c:f>
              <c:strCache>
                <c:ptCount val="1"/>
                <c:pt idx="0">
                  <c:v>SP planificados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Resumen!$B$8:$B$13</c:f>
              <c:strCache>
                <c:ptCount val="6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</c:strCache>
            </c:strRef>
          </c:cat>
          <c:val>
            <c:numRef>
              <c:f>Resumen!$I$8:$I$13</c:f>
              <c:numCache>
                <c:formatCode>General</c:formatCode>
                <c:ptCount val="6"/>
                <c:pt idx="0">
                  <c:v>29</c:v>
                </c:pt>
                <c:pt idx="1">
                  <c:v>26</c:v>
                </c:pt>
                <c:pt idx="2">
                  <c:v>29</c:v>
                </c:pt>
                <c:pt idx="3">
                  <c:v>29</c:v>
                </c:pt>
                <c:pt idx="4">
                  <c:v>24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3-498C-A0CA-D1FFB3FF88D6}"/>
            </c:ext>
          </c:extLst>
        </c:ser>
        <c:ser>
          <c:idx val="1"/>
          <c:order val="1"/>
          <c:tx>
            <c:strRef>
              <c:f>Resumen!$J$7</c:f>
              <c:strCache>
                <c:ptCount val="1"/>
                <c:pt idx="0">
                  <c:v>SP terminados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Resumen!$B$8:$B$13</c:f>
              <c:strCache>
                <c:ptCount val="6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</c:strCache>
            </c:strRef>
          </c:cat>
          <c:val>
            <c:numRef>
              <c:f>Resumen!$J$8:$J$13</c:f>
              <c:numCache>
                <c:formatCode>General</c:formatCode>
                <c:ptCount val="6"/>
                <c:pt idx="0">
                  <c:v>29</c:v>
                </c:pt>
                <c:pt idx="1">
                  <c:v>26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3-498C-A0CA-D1FFB3FF8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SP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Tareas" displayName="TablaTareas" ref="A4:M124">
  <autoFilter ref="A4:M124" xr:uid="{00000000-0009-0000-0100-000001000000}"/>
  <tableColumns count="13">
    <tableColumn id="1" xr3:uid="{00000000-0010-0000-0000-000001000000}" name="ID"/>
    <tableColumn id="2" xr3:uid="{00000000-0010-0000-0000-000002000000}" name="Sprint"/>
    <tableColumn id="3" xr3:uid="{00000000-0010-0000-0000-000003000000}" name="Historia"/>
    <tableColumn id="4" xr3:uid="{00000000-0010-0000-0000-000004000000}" name="Tarea"/>
    <tableColumn id="5" xr3:uid="{00000000-0010-0000-0000-000005000000}" name="Responsable"/>
    <tableColumn id="6" xr3:uid="{00000000-0010-0000-0000-000006000000}" name="Horas"/>
    <tableColumn id="7" xr3:uid="{00000000-0010-0000-0000-000007000000}" name="Semana"/>
    <tableColumn id="8" xr3:uid="{00000000-0010-0000-0000-000008000000}" name="Inicio"/>
    <tableColumn id="9" xr3:uid="{00000000-0010-0000-0000-000009000000}" name="Término"/>
    <tableColumn id="10" xr3:uid="{00000000-0010-0000-0000-00000A000000}" name="Estado"/>
    <tableColumn id="11" xr3:uid="{00000000-0010-0000-0000-00000B000000}" name="% avance"/>
    <tableColumn id="12" xr3:uid="{00000000-0010-0000-0000-00000C000000}" name="Horas avanzadas"/>
    <tableColumn id="13" xr3:uid="{00000000-0010-0000-0000-00000D000000}" name="Observacion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Historias" displayName="TablaHistorias" ref="A4:P24">
  <autoFilter ref="A4:P24" xr:uid="{00000000-0009-0000-0100-000002000000}"/>
  <tableColumns count="16">
    <tableColumn id="1" xr3:uid="{00000000-0010-0000-0100-000001000000}" name="ID"/>
    <tableColumn id="2" xr3:uid="{00000000-0010-0000-0100-000002000000}" name="Título"/>
    <tableColumn id="3" xr3:uid="{00000000-0010-0000-0100-000003000000}" name="Épica"/>
    <tableColumn id="4" xr3:uid="{00000000-0010-0000-0100-000004000000}" name="Sprint"/>
    <tableColumn id="5" xr3:uid="{00000000-0010-0000-0100-000005000000}" name="SP"/>
    <tableColumn id="6" xr3:uid="{00000000-0010-0000-0100-000006000000}" name="Prioridad"/>
    <tableColumn id="7" xr3:uid="{00000000-0010-0000-0100-000007000000}" name="Dependencias"/>
    <tableColumn id="8" xr3:uid="{00000000-0010-0000-0100-000008000000}" name="Responsables"/>
    <tableColumn id="9" xr3:uid="{00000000-0010-0000-0100-000009000000}" name="Casos de prueba"/>
    <tableColumn id="10" xr3:uid="{00000000-0010-0000-0100-00000A000000}" name="Inicio"/>
    <tableColumn id="11" xr3:uid="{00000000-0010-0000-0100-00000B000000}" name="Término"/>
    <tableColumn id="12" xr3:uid="{00000000-0010-0000-0100-00000C000000}" name="Horas"/>
    <tableColumn id="13" xr3:uid="{00000000-0010-0000-0100-00000D000000}" name="Horas avanzadas"/>
    <tableColumn id="14" xr3:uid="{00000000-0010-0000-0100-00000E000000}" name="% avance"/>
    <tableColumn id="15" xr3:uid="{00000000-0010-0000-0100-00000F000000}" name="Aceptada por PO"/>
    <tableColumn id="16" xr3:uid="{00000000-0010-0000-0100-000010000000}" name="Estad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"/>
  <sheetViews>
    <sheetView showGridLines="0" tabSelected="1" workbookViewId="0">
      <pane xSplit="2" ySplit="7" topLeftCell="C8" activePane="bottomRight" state="frozen"/>
      <selection pane="topRight"/>
      <selection pane="bottomLeft"/>
      <selection pane="bottomRight"/>
    </sheetView>
  </sheetViews>
  <sheetFormatPr baseColWidth="10" defaultColWidth="9" defaultRowHeight="14.25" x14ac:dyDescent="0.2"/>
  <cols>
    <col min="1" max="1" width="2" customWidth="1"/>
    <col min="2" max="4" width="11" customWidth="1"/>
    <col min="5" max="5" width="9" customWidth="1"/>
    <col min="6" max="6" width="24" customWidth="1"/>
    <col min="7" max="7" width="52" customWidth="1"/>
    <col min="8" max="8" width="22" customWidth="1"/>
    <col min="9" max="11" width="11" customWidth="1"/>
    <col min="12" max="12" width="10" customWidth="1"/>
    <col min="13" max="15" width="17" customWidth="1"/>
    <col min="16" max="16" width="9" customWidth="1"/>
    <col min="17" max="17" width="20" customWidth="1"/>
  </cols>
  <sheetData>
    <row r="1" spans="1:17" ht="20.25" x14ac:dyDescent="0.3">
      <c r="A1" s="1" t="s">
        <v>0</v>
      </c>
    </row>
    <row r="2" spans="1:17" x14ac:dyDescent="0.2">
      <c r="A2" s="2" t="s">
        <v>1</v>
      </c>
    </row>
    <row r="4" spans="1:17" x14ac:dyDescent="0.2">
      <c r="B4" s="46" t="s">
        <v>2</v>
      </c>
      <c r="C4" s="47"/>
      <c r="E4" s="46" t="s">
        <v>3</v>
      </c>
      <c r="F4" s="47"/>
      <c r="G4" s="46" t="s">
        <v>4</v>
      </c>
      <c r="H4" s="47"/>
      <c r="I4" s="46" t="s">
        <v>5</v>
      </c>
      <c r="J4" s="47"/>
      <c r="L4" s="46" t="s">
        <v>6</v>
      </c>
      <c r="M4" s="47"/>
    </row>
    <row r="5" spans="1:17" ht="26.1" customHeight="1" x14ac:dyDescent="0.2">
      <c r="B5" s="48">
        <f>L14</f>
        <v>0.522508038585209</v>
      </c>
      <c r="C5" s="47"/>
      <c r="E5" s="49" t="str">
        <f>J14&amp;" de "&amp;I14</f>
        <v>55 de 145</v>
      </c>
      <c r="F5" s="47"/>
      <c r="G5" s="49" t="str">
        <f>COUNTIF(Historias!$P:$P,"Terminada")&amp;" de "&amp;COUNTA(Historias!$A$5:$A$200)</f>
        <v>8 de 20</v>
      </c>
      <c r="H5" s="47"/>
      <c r="I5" s="49" t="str">
        <f ca="1">IFERROR(LOOKUP(2,1/((TODAY()&gt;=C8:C13)*(TODAY()&lt;=D8:D13)),B8:B13),"Entre sprints")</f>
        <v>Sprint 3</v>
      </c>
      <c r="J5" s="47"/>
      <c r="L5" s="50">
        <f ca="1">TODAY()</f>
        <v>46300</v>
      </c>
      <c r="M5" s="47"/>
    </row>
    <row r="7" spans="1:17" ht="25.5" x14ac:dyDescent="0.2">
      <c r="B7" s="3" t="s">
        <v>7</v>
      </c>
      <c r="C7" s="3" t="s">
        <v>8</v>
      </c>
      <c r="D7" s="3" t="s">
        <v>9</v>
      </c>
      <c r="E7" s="3" t="s">
        <v>10</v>
      </c>
      <c r="F7" s="3" t="s">
        <v>11</v>
      </c>
      <c r="G7" s="3" t="s">
        <v>12</v>
      </c>
      <c r="H7" s="3" t="s">
        <v>13</v>
      </c>
      <c r="I7" s="3" t="s">
        <v>14</v>
      </c>
      <c r="J7" s="3" t="s">
        <v>15</v>
      </c>
      <c r="K7" s="3" t="s">
        <v>16</v>
      </c>
      <c r="L7" s="3" t="s">
        <v>17</v>
      </c>
      <c r="M7" s="3" t="s">
        <v>18</v>
      </c>
      <c r="N7" s="3" t="s">
        <v>19</v>
      </c>
      <c r="O7" s="3" t="s">
        <v>20</v>
      </c>
      <c r="P7" s="3" t="s">
        <v>21</v>
      </c>
      <c r="Q7" s="3" t="s">
        <v>22</v>
      </c>
    </row>
    <row r="8" spans="1:17" ht="66" customHeight="1" x14ac:dyDescent="0.2">
      <c r="B8" s="4" t="s">
        <v>23</v>
      </c>
      <c r="C8" s="5">
        <v>46265</v>
      </c>
      <c r="D8" s="5">
        <v>46276</v>
      </c>
      <c r="E8" s="6">
        <f t="shared" ref="E8:E13" si="0">NETWORKDAYS(C8,D8,Feriados)</f>
        <v>10</v>
      </c>
      <c r="F8" s="7" t="s">
        <v>24</v>
      </c>
      <c r="G8" s="7" t="s">
        <v>25</v>
      </c>
      <c r="H8" s="6" t="s">
        <v>26</v>
      </c>
      <c r="I8" s="6">
        <f>SUMIFS(Historias!$E:$E,Historias!$D:$D,B8)</f>
        <v>29</v>
      </c>
      <c r="J8" s="6">
        <f>SUMIFS(Historias!$E:$E,Historias!$D:$D,B8,Historias!$P:$P,"Terminada")</f>
        <v>29</v>
      </c>
      <c r="K8" s="6">
        <f>SUMIFS(Tareas!$F:$F,Tareas!$B:$B,B8)</f>
        <v>69</v>
      </c>
      <c r="L8" s="8">
        <f>IFERROR(SUMIFS(Tareas!$L:$L,Tareas!$B:$B,B8)/K8,0)</f>
        <v>1</v>
      </c>
      <c r="M8" s="6" t="s">
        <v>27</v>
      </c>
      <c r="N8" s="6" t="s">
        <v>28</v>
      </c>
      <c r="O8" s="6" t="s">
        <v>29</v>
      </c>
      <c r="P8" s="6" t="s">
        <v>30</v>
      </c>
      <c r="Q8" s="6" t="str">
        <f t="shared" ref="Q8:Q13" ca="1" si="1">IF(TODAY()&lt;C8,"Planificado",IF(TODAY()&lt;=D8,"En curso",IF(L8&gt;=1,"Cerrado","Cerrado con pendientes")))</f>
        <v>Cerrado</v>
      </c>
    </row>
    <row r="9" spans="1:17" ht="66" customHeight="1" x14ac:dyDescent="0.2">
      <c r="B9" s="4" t="s">
        <v>31</v>
      </c>
      <c r="C9" s="5">
        <v>46279</v>
      </c>
      <c r="D9" s="5">
        <v>46290</v>
      </c>
      <c r="E9" s="6">
        <f t="shared" si="0"/>
        <v>9</v>
      </c>
      <c r="F9" s="7" t="s">
        <v>32</v>
      </c>
      <c r="G9" s="7" t="s">
        <v>33</v>
      </c>
      <c r="H9" s="6" t="s">
        <v>34</v>
      </c>
      <c r="I9" s="6">
        <f>SUMIFS(Historias!$E:$E,Historias!$D:$D,B9)</f>
        <v>26</v>
      </c>
      <c r="J9" s="6">
        <f>SUMIFS(Historias!$E:$E,Historias!$D:$D,B9,Historias!$P:$P,"Terminada")</f>
        <v>26</v>
      </c>
      <c r="K9" s="6">
        <f>SUMIFS(Tareas!$F:$F,Tareas!$B:$B,B9)</f>
        <v>56</v>
      </c>
      <c r="L9" s="8">
        <f>IFERROR(SUMIFS(Tareas!$L:$L,Tareas!$B:$B,B9)/K9,0)</f>
        <v>1</v>
      </c>
      <c r="M9" s="6" t="s">
        <v>28</v>
      </c>
      <c r="N9" s="6" t="s">
        <v>29</v>
      </c>
      <c r="O9" s="6" t="s">
        <v>27</v>
      </c>
      <c r="P9" s="6" t="s">
        <v>35</v>
      </c>
      <c r="Q9" s="6" t="str">
        <f t="shared" ca="1" si="1"/>
        <v>Cerrado</v>
      </c>
    </row>
    <row r="10" spans="1:17" ht="66" customHeight="1" x14ac:dyDescent="0.2">
      <c r="B10" s="4" t="s">
        <v>36</v>
      </c>
      <c r="C10" s="5">
        <v>46293</v>
      </c>
      <c r="D10" s="5">
        <v>46304</v>
      </c>
      <c r="E10" s="6">
        <f t="shared" si="0"/>
        <v>10</v>
      </c>
      <c r="F10" s="7" t="s">
        <v>37</v>
      </c>
      <c r="G10" s="7" t="s">
        <v>38</v>
      </c>
      <c r="H10" s="6" t="s">
        <v>39</v>
      </c>
      <c r="I10" s="6">
        <f>SUMIFS(Historias!$E:$E,Historias!$D:$D,B10)</f>
        <v>29</v>
      </c>
      <c r="J10" s="6">
        <f>SUMIFS(Historias!$E:$E,Historias!$D:$D,B10,Historias!$P:$P,"Terminada")</f>
        <v>0</v>
      </c>
      <c r="K10" s="6">
        <f>SUMIFS(Tareas!$F:$F,Tareas!$B:$B,B10)</f>
        <v>59</v>
      </c>
      <c r="L10" s="8">
        <f>IFERROR(SUMIFS(Tareas!$L:$L,Tareas!$B:$B,B10)/K10,0)</f>
        <v>0.63559322033898302</v>
      </c>
      <c r="M10" s="6" t="s">
        <v>29</v>
      </c>
      <c r="N10" s="6" t="s">
        <v>27</v>
      </c>
      <c r="O10" s="6" t="s">
        <v>28</v>
      </c>
      <c r="P10" s="6" t="s">
        <v>40</v>
      </c>
      <c r="Q10" s="6" t="str">
        <f t="shared" ca="1" si="1"/>
        <v>En curso</v>
      </c>
    </row>
    <row r="11" spans="1:17" ht="66" customHeight="1" x14ac:dyDescent="0.2">
      <c r="B11" s="4" t="s">
        <v>41</v>
      </c>
      <c r="C11" s="5">
        <v>46308</v>
      </c>
      <c r="D11" s="5">
        <v>46318</v>
      </c>
      <c r="E11" s="6">
        <f t="shared" si="0"/>
        <v>9</v>
      </c>
      <c r="F11" s="7" t="s">
        <v>42</v>
      </c>
      <c r="G11" s="7" t="s">
        <v>43</v>
      </c>
      <c r="H11" s="6" t="s">
        <v>44</v>
      </c>
      <c r="I11" s="6">
        <f>SUMIFS(Historias!$E:$E,Historias!$D:$D,B11)</f>
        <v>29</v>
      </c>
      <c r="J11" s="6">
        <f>SUMIFS(Historias!$E:$E,Historias!$D:$D,B11,Historias!$P:$P,"Terminada")</f>
        <v>0</v>
      </c>
      <c r="K11" s="6">
        <f>SUMIFS(Tareas!$F:$F,Tareas!$B:$B,B11)</f>
        <v>55</v>
      </c>
      <c r="L11" s="8">
        <f>IFERROR(SUMIFS(Tareas!$L:$L,Tareas!$B:$B,B11)/K11,0)</f>
        <v>0</v>
      </c>
      <c r="M11" s="6" t="s">
        <v>27</v>
      </c>
      <c r="N11" s="6" t="s">
        <v>28</v>
      </c>
      <c r="O11" s="6" t="s">
        <v>29</v>
      </c>
      <c r="P11" s="6" t="s">
        <v>45</v>
      </c>
      <c r="Q11" s="6" t="str">
        <f t="shared" ca="1" si="1"/>
        <v>Planificado</v>
      </c>
    </row>
    <row r="12" spans="1:17" ht="66" customHeight="1" x14ac:dyDescent="0.2">
      <c r="B12" s="4" t="s">
        <v>46</v>
      </c>
      <c r="C12" s="5">
        <v>46321</v>
      </c>
      <c r="D12" s="5">
        <v>46332</v>
      </c>
      <c r="E12" s="6">
        <f t="shared" si="0"/>
        <v>10</v>
      </c>
      <c r="F12" s="7" t="s">
        <v>47</v>
      </c>
      <c r="G12" s="7" t="s">
        <v>48</v>
      </c>
      <c r="H12" s="6" t="s">
        <v>49</v>
      </c>
      <c r="I12" s="6">
        <f>SUMIFS(Historias!$E:$E,Historias!$D:$D,B12)</f>
        <v>24</v>
      </c>
      <c r="J12" s="6">
        <f>SUMIFS(Historias!$E:$E,Historias!$D:$D,B12,Historias!$P:$P,"Terminada")</f>
        <v>0</v>
      </c>
      <c r="K12" s="6">
        <f>SUMIFS(Tareas!$F:$F,Tareas!$B:$B,B12)</f>
        <v>51</v>
      </c>
      <c r="L12" s="8">
        <f>IFERROR(SUMIFS(Tareas!$L:$L,Tareas!$B:$B,B12)/K12,0)</f>
        <v>0</v>
      </c>
      <c r="M12" s="6" t="s">
        <v>28</v>
      </c>
      <c r="N12" s="6" t="s">
        <v>29</v>
      </c>
      <c r="O12" s="6" t="s">
        <v>27</v>
      </c>
      <c r="P12" s="6" t="s">
        <v>50</v>
      </c>
      <c r="Q12" s="6" t="str">
        <f t="shared" ca="1" si="1"/>
        <v>Planificado</v>
      </c>
    </row>
    <row r="13" spans="1:17" ht="66" customHeight="1" x14ac:dyDescent="0.2">
      <c r="B13" s="4" t="s">
        <v>51</v>
      </c>
      <c r="C13" s="5">
        <v>46335</v>
      </c>
      <c r="D13" s="5">
        <v>46339</v>
      </c>
      <c r="E13" s="6">
        <f t="shared" si="0"/>
        <v>5</v>
      </c>
      <c r="F13" s="7" t="s">
        <v>52</v>
      </c>
      <c r="G13" s="7" t="s">
        <v>53</v>
      </c>
      <c r="H13" s="6" t="s">
        <v>54</v>
      </c>
      <c r="I13" s="6">
        <f>SUMIFS(Historias!$E:$E,Historias!$D:$D,B13)</f>
        <v>8</v>
      </c>
      <c r="J13" s="6">
        <f>SUMIFS(Historias!$E:$E,Historias!$D:$D,B13,Historias!$P:$P,"Terminada")</f>
        <v>0</v>
      </c>
      <c r="K13" s="6">
        <f>SUMIFS(Tareas!$F:$F,Tareas!$B:$B,B13)</f>
        <v>21</v>
      </c>
      <c r="L13" s="8">
        <f>IFERROR(SUMIFS(Tareas!$L:$L,Tareas!$B:$B,B13)/K13,0)</f>
        <v>0</v>
      </c>
      <c r="M13" s="6" t="s">
        <v>29</v>
      </c>
      <c r="N13" s="6" t="s">
        <v>27</v>
      </c>
      <c r="O13" s="6" t="s">
        <v>28</v>
      </c>
      <c r="P13" s="6" t="s">
        <v>55</v>
      </c>
      <c r="Q13" s="6" t="str">
        <f t="shared" ca="1" si="1"/>
        <v>Planificado</v>
      </c>
    </row>
    <row r="14" spans="1:17" x14ac:dyDescent="0.2">
      <c r="B14" s="9" t="s">
        <v>56</v>
      </c>
      <c r="C14" s="10"/>
      <c r="D14" s="10"/>
      <c r="E14" s="10"/>
      <c r="F14" s="10"/>
      <c r="G14" s="10"/>
      <c r="H14" s="10"/>
      <c r="I14" s="4">
        <f>SUM(I8:I13)</f>
        <v>145</v>
      </c>
      <c r="J14" s="4">
        <f>SUM(J8:J13)</f>
        <v>55</v>
      </c>
      <c r="K14" s="4">
        <f>SUM(K8:K13)</f>
        <v>311</v>
      </c>
      <c r="L14" s="11">
        <f>IFERROR(SUMPRODUCT(K8:K13,L8:L13)/K14,0)</f>
        <v>0.522508038585209</v>
      </c>
      <c r="M14" s="10"/>
      <c r="N14" s="10"/>
      <c r="O14" s="10"/>
      <c r="P14" s="10"/>
      <c r="Q14" s="10"/>
    </row>
    <row r="16" spans="1:17" x14ac:dyDescent="0.2">
      <c r="B16" s="12" t="s">
        <v>57</v>
      </c>
    </row>
    <row r="17" spans="2:2" x14ac:dyDescent="0.2">
      <c r="B17" s="13" t="s">
        <v>58</v>
      </c>
    </row>
    <row r="18" spans="2:2" x14ac:dyDescent="0.2">
      <c r="B18" s="13" t="s">
        <v>59</v>
      </c>
    </row>
    <row r="19" spans="2:2" x14ac:dyDescent="0.2">
      <c r="B19" s="13" t="s">
        <v>60</v>
      </c>
    </row>
    <row r="20" spans="2:2" x14ac:dyDescent="0.2">
      <c r="B20" s="13" t="s">
        <v>61</v>
      </c>
    </row>
  </sheetData>
  <mergeCells count="10">
    <mergeCell ref="G4:H4"/>
    <mergeCell ref="E4:F4"/>
    <mergeCell ref="I4:J4"/>
    <mergeCell ref="L4:M4"/>
    <mergeCell ref="B5:C5"/>
    <mergeCell ref="G5:H5"/>
    <mergeCell ref="E5:F5"/>
    <mergeCell ref="I5:J5"/>
    <mergeCell ref="L5:M5"/>
    <mergeCell ref="B4:C4"/>
  </mergeCells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  <pageSetUpPr fitToPage="1"/>
  </sheetPr>
  <dimension ref="A1:CF169"/>
  <sheetViews>
    <sheetView showGridLines="0" zoomScale="90" workbookViewId="0">
      <pane xSplit="9" ySplit="7" topLeftCell="J8" activePane="bottomRight" state="frozen"/>
      <selection pane="topRight"/>
      <selection pane="bottomLeft"/>
      <selection pane="bottomRight"/>
    </sheetView>
  </sheetViews>
  <sheetFormatPr baseColWidth="10" defaultColWidth="9" defaultRowHeight="14.25" outlineLevelRow="2" x14ac:dyDescent="0.2"/>
  <cols>
    <col min="1" max="1" width="7" customWidth="1"/>
    <col min="2" max="2" width="46" customWidth="1"/>
    <col min="3" max="3" width="9" customWidth="1"/>
    <col min="4" max="4" width="22" customWidth="1"/>
    <col min="5" max="6" width="7" customWidth="1"/>
    <col min="7" max="7" width="5" customWidth="1"/>
    <col min="8" max="8" width="8" customWidth="1"/>
    <col min="9" max="9" width="16" customWidth="1"/>
    <col min="10" max="84" width="3.25" customWidth="1"/>
  </cols>
  <sheetData>
    <row r="1" spans="1:84" ht="20.25" x14ac:dyDescent="0.3">
      <c r="A1" s="1" t="s">
        <v>62</v>
      </c>
    </row>
    <row r="2" spans="1:84" x14ac:dyDescent="0.2">
      <c r="A2" s="2" t="s">
        <v>63</v>
      </c>
    </row>
    <row r="3" spans="1:84" x14ac:dyDescent="0.2">
      <c r="J3" s="14"/>
      <c r="K3" s="15" t="s">
        <v>7</v>
      </c>
      <c r="N3" s="16"/>
      <c r="O3" s="15" t="s">
        <v>64</v>
      </c>
      <c r="R3" s="17"/>
      <c r="S3" s="15" t="s">
        <v>65</v>
      </c>
      <c r="V3" s="18"/>
      <c r="W3" s="15" t="s">
        <v>66</v>
      </c>
      <c r="Z3" s="19"/>
      <c r="AA3" s="15" t="s">
        <v>67</v>
      </c>
      <c r="AD3" s="20"/>
      <c r="AE3" s="15" t="s">
        <v>68</v>
      </c>
      <c r="AH3" s="21"/>
      <c r="AI3" s="15" t="s">
        <v>69</v>
      </c>
    </row>
    <row r="4" spans="1:84" x14ac:dyDescent="0.2">
      <c r="J4" s="53"/>
      <c r="K4" s="53" t="s">
        <v>70</v>
      </c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3" t="s">
        <v>71</v>
      </c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3" t="s">
        <v>72</v>
      </c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3" t="s">
        <v>73</v>
      </c>
      <c r="BY4" s="52"/>
      <c r="BZ4" s="52"/>
      <c r="CA4" s="52"/>
      <c r="CB4" s="52"/>
      <c r="CC4" s="52"/>
      <c r="CD4" s="52"/>
      <c r="CE4" s="52"/>
      <c r="CF4" s="52"/>
    </row>
    <row r="5" spans="1:84" x14ac:dyDescent="0.2">
      <c r="J5" s="54" t="s">
        <v>23</v>
      </c>
      <c r="K5" s="52"/>
      <c r="L5" s="52"/>
      <c r="M5" s="52"/>
      <c r="N5" s="52"/>
      <c r="O5" s="52"/>
      <c r="P5" s="52"/>
      <c r="Q5" s="52"/>
      <c r="R5" s="52"/>
      <c r="S5" s="52"/>
      <c r="T5" s="51" t="s">
        <v>31</v>
      </c>
      <c r="U5" s="52"/>
      <c r="V5" s="52"/>
      <c r="W5" s="52"/>
      <c r="X5" s="52"/>
      <c r="Y5" s="52"/>
      <c r="Z5" s="52"/>
      <c r="AA5" s="52"/>
      <c r="AB5" s="52"/>
      <c r="AC5" s="52"/>
      <c r="AD5" s="54" t="s">
        <v>36</v>
      </c>
      <c r="AE5" s="52"/>
      <c r="AF5" s="52"/>
      <c r="AG5" s="52"/>
      <c r="AH5" s="52"/>
      <c r="AI5" s="52"/>
      <c r="AJ5" s="52"/>
      <c r="AK5" s="52"/>
      <c r="AL5" s="52"/>
      <c r="AM5" s="52"/>
      <c r="AO5" s="51" t="s">
        <v>41</v>
      </c>
      <c r="AP5" s="52"/>
      <c r="AQ5" s="52"/>
      <c r="AR5" s="52"/>
      <c r="AS5" s="52"/>
      <c r="AT5" s="52"/>
      <c r="AU5" s="52"/>
      <c r="AV5" s="52"/>
      <c r="AW5" s="52"/>
      <c r="AX5" s="54" t="s">
        <v>46</v>
      </c>
      <c r="AY5" s="52"/>
      <c r="AZ5" s="52"/>
      <c r="BA5" s="52"/>
      <c r="BB5" s="52"/>
      <c r="BC5" s="52"/>
      <c r="BD5" s="52"/>
      <c r="BE5" s="52"/>
      <c r="BF5" s="52"/>
      <c r="BG5" s="52"/>
      <c r="BH5" s="51" t="s">
        <v>51</v>
      </c>
      <c r="BI5" s="52"/>
      <c r="BJ5" s="52"/>
      <c r="BK5" s="52"/>
      <c r="BL5" s="52"/>
      <c r="BM5" s="55" t="s">
        <v>74</v>
      </c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</row>
    <row r="6" spans="1:84" ht="25.5" x14ac:dyDescent="0.2">
      <c r="A6" s="3" t="s">
        <v>75</v>
      </c>
      <c r="B6" s="3" t="s">
        <v>76</v>
      </c>
      <c r="C6" s="3" t="s">
        <v>77</v>
      </c>
      <c r="D6" s="3" t="s">
        <v>78</v>
      </c>
      <c r="E6" s="3" t="s">
        <v>8</v>
      </c>
      <c r="F6" s="3" t="s">
        <v>79</v>
      </c>
      <c r="G6" s="3" t="s">
        <v>80</v>
      </c>
      <c r="H6" s="3" t="s">
        <v>17</v>
      </c>
      <c r="I6" s="3" t="s">
        <v>22</v>
      </c>
      <c r="J6" s="22">
        <v>46265</v>
      </c>
      <c r="K6" s="22">
        <v>46266</v>
      </c>
      <c r="L6" s="22">
        <v>46267</v>
      </c>
      <c r="M6" s="22">
        <v>46268</v>
      </c>
      <c r="N6" s="22">
        <v>46269</v>
      </c>
      <c r="O6" s="22">
        <v>46272</v>
      </c>
      <c r="P6" s="22">
        <v>46273</v>
      </c>
      <c r="Q6" s="22">
        <v>46274</v>
      </c>
      <c r="R6" s="22">
        <v>46275</v>
      </c>
      <c r="S6" s="22">
        <v>46276</v>
      </c>
      <c r="T6" s="22">
        <v>46279</v>
      </c>
      <c r="U6" s="22">
        <v>46280</v>
      </c>
      <c r="V6" s="22">
        <v>46281</v>
      </c>
      <c r="W6" s="22">
        <v>46282</v>
      </c>
      <c r="X6" s="22">
        <v>46283</v>
      </c>
      <c r="Y6" s="22">
        <v>46286</v>
      </c>
      <c r="Z6" s="22">
        <v>46287</v>
      </c>
      <c r="AA6" s="22">
        <v>46288</v>
      </c>
      <c r="AB6" s="22">
        <v>46289</v>
      </c>
      <c r="AC6" s="22">
        <v>46290</v>
      </c>
      <c r="AD6" s="22">
        <v>46293</v>
      </c>
      <c r="AE6" s="22">
        <v>46294</v>
      </c>
      <c r="AF6" s="22">
        <v>46295</v>
      </c>
      <c r="AG6" s="22">
        <v>46296</v>
      </c>
      <c r="AH6" s="22">
        <v>46297</v>
      </c>
      <c r="AI6" s="22">
        <v>46300</v>
      </c>
      <c r="AJ6" s="22">
        <v>46301</v>
      </c>
      <c r="AK6" s="22">
        <v>46302</v>
      </c>
      <c r="AL6" s="22">
        <v>46303</v>
      </c>
      <c r="AM6" s="22">
        <v>46304</v>
      </c>
      <c r="AN6" s="22">
        <v>46307</v>
      </c>
      <c r="AO6" s="22">
        <v>46308</v>
      </c>
      <c r="AP6" s="22">
        <v>46309</v>
      </c>
      <c r="AQ6" s="22">
        <v>46310</v>
      </c>
      <c r="AR6" s="22">
        <v>46311</v>
      </c>
      <c r="AS6" s="22">
        <v>46314</v>
      </c>
      <c r="AT6" s="22">
        <v>46315</v>
      </c>
      <c r="AU6" s="22">
        <v>46316</v>
      </c>
      <c r="AV6" s="22">
        <v>46317</v>
      </c>
      <c r="AW6" s="22">
        <v>46318</v>
      </c>
      <c r="AX6" s="22">
        <v>46321</v>
      </c>
      <c r="AY6" s="22">
        <v>46322</v>
      </c>
      <c r="AZ6" s="22">
        <v>46323</v>
      </c>
      <c r="BA6" s="22">
        <v>46324</v>
      </c>
      <c r="BB6" s="22">
        <v>46325</v>
      </c>
      <c r="BC6" s="22">
        <v>46328</v>
      </c>
      <c r="BD6" s="22">
        <v>46329</v>
      </c>
      <c r="BE6" s="22">
        <v>46330</v>
      </c>
      <c r="BF6" s="22">
        <v>46331</v>
      </c>
      <c r="BG6" s="22">
        <v>46332</v>
      </c>
      <c r="BH6" s="22">
        <v>46335</v>
      </c>
      <c r="BI6" s="22">
        <v>46336</v>
      </c>
      <c r="BJ6" s="22">
        <v>46337</v>
      </c>
      <c r="BK6" s="22">
        <v>46338</v>
      </c>
      <c r="BL6" s="22">
        <v>46339</v>
      </c>
      <c r="BM6" s="22">
        <v>46342</v>
      </c>
      <c r="BN6" s="22">
        <v>46343</v>
      </c>
      <c r="BO6" s="22">
        <v>46344</v>
      </c>
      <c r="BP6" s="22">
        <v>46345</v>
      </c>
      <c r="BQ6" s="22">
        <v>46346</v>
      </c>
      <c r="BR6" s="22">
        <v>46349</v>
      </c>
      <c r="BS6" s="22">
        <v>46350</v>
      </c>
      <c r="BT6" s="22">
        <v>46351</v>
      </c>
      <c r="BU6" s="22">
        <v>46352</v>
      </c>
      <c r="BV6" s="22">
        <v>46353</v>
      </c>
      <c r="BW6" s="22">
        <v>46356</v>
      </c>
      <c r="BX6" s="22">
        <v>46357</v>
      </c>
      <c r="BY6" s="22">
        <v>46358</v>
      </c>
      <c r="BZ6" s="22">
        <v>46359</v>
      </c>
      <c r="CA6" s="22">
        <v>46360</v>
      </c>
      <c r="CB6" s="22">
        <v>46363</v>
      </c>
      <c r="CC6" s="22">
        <v>46364</v>
      </c>
      <c r="CD6" s="22">
        <v>46365</v>
      </c>
      <c r="CE6" s="22">
        <v>46366</v>
      </c>
      <c r="CF6" s="22">
        <v>46367</v>
      </c>
    </row>
    <row r="7" spans="1:84" x14ac:dyDescent="0.2">
      <c r="A7" s="23"/>
      <c r="B7" s="23"/>
      <c r="C7" s="23"/>
      <c r="D7" s="23"/>
      <c r="E7" s="23"/>
      <c r="F7" s="23"/>
      <c r="G7" s="23"/>
      <c r="H7" s="23"/>
      <c r="I7" s="23"/>
      <c r="J7" s="24" t="str">
        <f t="shared" ref="J7:AO7" si="0">MID("LMMJV",WEEKDAY(J6,2),1)</f>
        <v>L</v>
      </c>
      <c r="K7" s="24" t="str">
        <f t="shared" si="0"/>
        <v>M</v>
      </c>
      <c r="L7" s="24" t="str">
        <f t="shared" si="0"/>
        <v>M</v>
      </c>
      <c r="M7" s="24" t="str">
        <f t="shared" si="0"/>
        <v>J</v>
      </c>
      <c r="N7" s="24" t="str">
        <f t="shared" si="0"/>
        <v>V</v>
      </c>
      <c r="O7" s="24" t="str">
        <f t="shared" si="0"/>
        <v>L</v>
      </c>
      <c r="P7" s="24" t="str">
        <f t="shared" si="0"/>
        <v>M</v>
      </c>
      <c r="Q7" s="24" t="str">
        <f t="shared" si="0"/>
        <v>M</v>
      </c>
      <c r="R7" s="24" t="str">
        <f t="shared" si="0"/>
        <v>J</v>
      </c>
      <c r="S7" s="24" t="str">
        <f t="shared" si="0"/>
        <v>V</v>
      </c>
      <c r="T7" s="24" t="str">
        <f t="shared" si="0"/>
        <v>L</v>
      </c>
      <c r="U7" s="24" t="str">
        <f t="shared" si="0"/>
        <v>M</v>
      </c>
      <c r="V7" s="24" t="str">
        <f t="shared" si="0"/>
        <v>M</v>
      </c>
      <c r="W7" s="24" t="str">
        <f t="shared" si="0"/>
        <v>J</v>
      </c>
      <c r="X7" s="24" t="str">
        <f t="shared" si="0"/>
        <v>V</v>
      </c>
      <c r="Y7" s="24" t="str">
        <f t="shared" si="0"/>
        <v>L</v>
      </c>
      <c r="Z7" s="24" t="str">
        <f t="shared" si="0"/>
        <v>M</v>
      </c>
      <c r="AA7" s="24" t="str">
        <f t="shared" si="0"/>
        <v>M</v>
      </c>
      <c r="AB7" s="24" t="str">
        <f t="shared" si="0"/>
        <v>J</v>
      </c>
      <c r="AC7" s="24" t="str">
        <f t="shared" si="0"/>
        <v>V</v>
      </c>
      <c r="AD7" s="24" t="str">
        <f t="shared" si="0"/>
        <v>L</v>
      </c>
      <c r="AE7" s="24" t="str">
        <f t="shared" si="0"/>
        <v>M</v>
      </c>
      <c r="AF7" s="24" t="str">
        <f t="shared" si="0"/>
        <v>M</v>
      </c>
      <c r="AG7" s="24" t="str">
        <f t="shared" si="0"/>
        <v>J</v>
      </c>
      <c r="AH7" s="24" t="str">
        <f t="shared" si="0"/>
        <v>V</v>
      </c>
      <c r="AI7" s="24" t="str">
        <f t="shared" si="0"/>
        <v>L</v>
      </c>
      <c r="AJ7" s="24" t="str">
        <f t="shared" si="0"/>
        <v>M</v>
      </c>
      <c r="AK7" s="24" t="str">
        <f t="shared" si="0"/>
        <v>M</v>
      </c>
      <c r="AL7" s="24" t="str">
        <f t="shared" si="0"/>
        <v>J</v>
      </c>
      <c r="AM7" s="24" t="str">
        <f t="shared" si="0"/>
        <v>V</v>
      </c>
      <c r="AN7" s="24" t="str">
        <f t="shared" si="0"/>
        <v>L</v>
      </c>
      <c r="AO7" s="24" t="str">
        <f t="shared" si="0"/>
        <v>M</v>
      </c>
      <c r="AP7" s="24" t="str">
        <f t="shared" ref="AP7:BU7" si="1">MID("LMMJV",WEEKDAY(AP6,2),1)</f>
        <v>M</v>
      </c>
      <c r="AQ7" s="24" t="str">
        <f t="shared" si="1"/>
        <v>J</v>
      </c>
      <c r="AR7" s="24" t="str">
        <f t="shared" si="1"/>
        <v>V</v>
      </c>
      <c r="AS7" s="24" t="str">
        <f t="shared" si="1"/>
        <v>L</v>
      </c>
      <c r="AT7" s="24" t="str">
        <f t="shared" si="1"/>
        <v>M</v>
      </c>
      <c r="AU7" s="24" t="str">
        <f t="shared" si="1"/>
        <v>M</v>
      </c>
      <c r="AV7" s="24" t="str">
        <f t="shared" si="1"/>
        <v>J</v>
      </c>
      <c r="AW7" s="24" t="str">
        <f t="shared" si="1"/>
        <v>V</v>
      </c>
      <c r="AX7" s="24" t="str">
        <f t="shared" si="1"/>
        <v>L</v>
      </c>
      <c r="AY7" s="24" t="str">
        <f t="shared" si="1"/>
        <v>M</v>
      </c>
      <c r="AZ7" s="24" t="str">
        <f t="shared" si="1"/>
        <v>M</v>
      </c>
      <c r="BA7" s="24" t="str">
        <f t="shared" si="1"/>
        <v>J</v>
      </c>
      <c r="BB7" s="24" t="str">
        <f t="shared" si="1"/>
        <v>V</v>
      </c>
      <c r="BC7" s="24" t="str">
        <f t="shared" si="1"/>
        <v>L</v>
      </c>
      <c r="BD7" s="24" t="str">
        <f t="shared" si="1"/>
        <v>M</v>
      </c>
      <c r="BE7" s="24" t="str">
        <f t="shared" si="1"/>
        <v>M</v>
      </c>
      <c r="BF7" s="24" t="str">
        <f t="shared" si="1"/>
        <v>J</v>
      </c>
      <c r="BG7" s="24" t="str">
        <f t="shared" si="1"/>
        <v>V</v>
      </c>
      <c r="BH7" s="24" t="str">
        <f t="shared" si="1"/>
        <v>L</v>
      </c>
      <c r="BI7" s="24" t="str">
        <f t="shared" si="1"/>
        <v>M</v>
      </c>
      <c r="BJ7" s="24" t="str">
        <f t="shared" si="1"/>
        <v>M</v>
      </c>
      <c r="BK7" s="24" t="str">
        <f t="shared" si="1"/>
        <v>J</v>
      </c>
      <c r="BL7" s="24" t="str">
        <f t="shared" si="1"/>
        <v>V</v>
      </c>
      <c r="BM7" s="24" t="str">
        <f t="shared" si="1"/>
        <v>L</v>
      </c>
      <c r="BN7" s="24" t="str">
        <f t="shared" si="1"/>
        <v>M</v>
      </c>
      <c r="BO7" s="24" t="str">
        <f t="shared" si="1"/>
        <v>M</v>
      </c>
      <c r="BP7" s="24" t="str">
        <f t="shared" si="1"/>
        <v>J</v>
      </c>
      <c r="BQ7" s="24" t="str">
        <f t="shared" si="1"/>
        <v>V</v>
      </c>
      <c r="BR7" s="24" t="str">
        <f t="shared" si="1"/>
        <v>L</v>
      </c>
      <c r="BS7" s="24" t="str">
        <f t="shared" si="1"/>
        <v>M</v>
      </c>
      <c r="BT7" s="24" t="str">
        <f t="shared" si="1"/>
        <v>M</v>
      </c>
      <c r="BU7" s="24" t="str">
        <f t="shared" si="1"/>
        <v>J</v>
      </c>
      <c r="BV7" s="24" t="str">
        <f t="shared" ref="BV7:DA7" si="2">MID("LMMJV",WEEKDAY(BV6,2),1)</f>
        <v>V</v>
      </c>
      <c r="BW7" s="24" t="str">
        <f t="shared" si="2"/>
        <v>L</v>
      </c>
      <c r="BX7" s="24" t="str">
        <f t="shared" si="2"/>
        <v>M</v>
      </c>
      <c r="BY7" s="24" t="str">
        <f t="shared" si="2"/>
        <v>M</v>
      </c>
      <c r="BZ7" s="24" t="str">
        <f t="shared" si="2"/>
        <v>J</v>
      </c>
      <c r="CA7" s="24" t="str">
        <f t="shared" si="2"/>
        <v>V</v>
      </c>
      <c r="CB7" s="24" t="str">
        <f t="shared" si="2"/>
        <v>L</v>
      </c>
      <c r="CC7" s="24" t="str">
        <f t="shared" si="2"/>
        <v>M</v>
      </c>
      <c r="CD7" s="24" t="str">
        <f t="shared" si="2"/>
        <v>M</v>
      </c>
      <c r="CE7" s="24" t="str">
        <f t="shared" si="2"/>
        <v>J</v>
      </c>
      <c r="CF7" s="24" t="str">
        <f t="shared" si="2"/>
        <v>V</v>
      </c>
    </row>
    <row r="8" spans="1:84" x14ac:dyDescent="0.2">
      <c r="A8" s="4" t="s">
        <v>81</v>
      </c>
      <c r="B8" s="25" t="s">
        <v>82</v>
      </c>
      <c r="C8" s="4" t="s">
        <v>7</v>
      </c>
      <c r="D8" s="4" t="s">
        <v>83</v>
      </c>
      <c r="E8" s="26">
        <f>Resumen!C8</f>
        <v>46265</v>
      </c>
      <c r="F8" s="26">
        <f>Resumen!D8</f>
        <v>46276</v>
      </c>
      <c r="G8" s="4">
        <f>NETWORKDAYS(E8,F8,Feriados)</f>
        <v>10</v>
      </c>
      <c r="H8" s="11">
        <f>Resumen!L8</f>
        <v>1</v>
      </c>
      <c r="I8" s="4" t="str">
        <f ca="1">Resumen!Q8</f>
        <v>Cerrado</v>
      </c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</row>
    <row r="9" spans="1:84" outlineLevel="1" x14ac:dyDescent="0.2">
      <c r="A9" s="28"/>
      <c r="B9" s="29" t="s">
        <v>84</v>
      </c>
      <c r="C9" s="28" t="s">
        <v>85</v>
      </c>
      <c r="D9" s="28" t="s">
        <v>86</v>
      </c>
      <c r="E9" s="30"/>
      <c r="F9" s="30"/>
      <c r="G9" s="28"/>
      <c r="H9" s="31"/>
      <c r="I9" s="28"/>
      <c r="J9" s="32" t="str">
        <f>IF(J$6=Eventos!$C$6,"F",IF(J$6=Eventos!$C$5,"P",IF(J$6=Eventos!$C$7,"C",IF(J$6=Eventos!$C$8,"R",""))))</f>
        <v>P</v>
      </c>
      <c r="K9" s="32" t="str">
        <f>IF(K$6=Eventos!$C$6,"F",IF(K$6=Eventos!$C$5,"P",IF(K$6=Eventos!$C$7,"C",IF(K$6=Eventos!$C$8,"R",""))))</f>
        <v/>
      </c>
      <c r="L9" s="32" t="str">
        <f>IF(L$6=Eventos!$C$6,"F",IF(L$6=Eventos!$C$5,"P",IF(L$6=Eventos!$C$7,"C",IF(L$6=Eventos!$C$8,"R",""))))</f>
        <v/>
      </c>
      <c r="M9" s="32" t="str">
        <f>IF(M$6=Eventos!$C$6,"F",IF(M$6=Eventos!$C$5,"P",IF(M$6=Eventos!$C$7,"C",IF(M$6=Eventos!$C$8,"R",""))))</f>
        <v/>
      </c>
      <c r="N9" s="32" t="str">
        <f>IF(N$6=Eventos!$C$6,"F",IF(N$6=Eventos!$C$5,"P",IF(N$6=Eventos!$C$7,"C",IF(N$6=Eventos!$C$8,"R",""))))</f>
        <v/>
      </c>
      <c r="O9" s="32" t="str">
        <f>IF(O$6=Eventos!$C$6,"F",IF(O$6=Eventos!$C$5,"P",IF(O$6=Eventos!$C$7,"C",IF(O$6=Eventos!$C$8,"R",""))))</f>
        <v>F</v>
      </c>
      <c r="P9" s="32" t="str">
        <f>IF(P$6=Eventos!$C$6,"F",IF(P$6=Eventos!$C$5,"P",IF(P$6=Eventos!$C$7,"C",IF(P$6=Eventos!$C$8,"R",""))))</f>
        <v/>
      </c>
      <c r="Q9" s="32" t="str">
        <f>IF(Q$6=Eventos!$C$6,"F",IF(Q$6=Eventos!$C$5,"P",IF(Q$6=Eventos!$C$7,"C",IF(Q$6=Eventos!$C$8,"R",""))))</f>
        <v/>
      </c>
      <c r="R9" s="32" t="str">
        <f>IF(R$6=Eventos!$C$6,"F",IF(R$6=Eventos!$C$5,"P",IF(R$6=Eventos!$C$7,"C",IF(R$6=Eventos!$C$8,"R",""))))</f>
        <v>C</v>
      </c>
      <c r="S9" s="32" t="str">
        <f>IF(S$6=Eventos!$C$6,"F",IF(S$6=Eventos!$C$5,"P",IF(S$6=Eventos!$C$7,"C",IF(S$6=Eventos!$C$8,"R",""))))</f>
        <v>R</v>
      </c>
      <c r="T9" s="32" t="str">
        <f>IF(T$6=Eventos!$C$6,"F",IF(T$6=Eventos!$C$5,"P",IF(T$6=Eventos!$C$7,"C",IF(T$6=Eventos!$C$8,"R",""))))</f>
        <v/>
      </c>
      <c r="U9" s="32" t="str">
        <f>IF(U$6=Eventos!$C$6,"F",IF(U$6=Eventos!$C$5,"P",IF(U$6=Eventos!$C$7,"C",IF(U$6=Eventos!$C$8,"R",""))))</f>
        <v/>
      </c>
      <c r="V9" s="32" t="str">
        <f>IF(V$6=Eventos!$C$6,"F",IF(V$6=Eventos!$C$5,"P",IF(V$6=Eventos!$C$7,"C",IF(V$6=Eventos!$C$8,"R",""))))</f>
        <v/>
      </c>
      <c r="W9" s="32" t="str">
        <f>IF(W$6=Eventos!$C$6,"F",IF(W$6=Eventos!$C$5,"P",IF(W$6=Eventos!$C$7,"C",IF(W$6=Eventos!$C$8,"R",""))))</f>
        <v/>
      </c>
      <c r="X9" s="32" t="str">
        <f>IF(X$6=Eventos!$C$6,"F",IF(X$6=Eventos!$C$5,"P",IF(X$6=Eventos!$C$7,"C",IF(X$6=Eventos!$C$8,"R",""))))</f>
        <v/>
      </c>
      <c r="Y9" s="32" t="str">
        <f>IF(Y$6=Eventos!$C$6,"F",IF(Y$6=Eventos!$C$5,"P",IF(Y$6=Eventos!$C$7,"C",IF(Y$6=Eventos!$C$8,"R",""))))</f>
        <v/>
      </c>
      <c r="Z9" s="32" t="str">
        <f>IF(Z$6=Eventos!$C$6,"F",IF(Z$6=Eventos!$C$5,"P",IF(Z$6=Eventos!$C$7,"C",IF(Z$6=Eventos!$C$8,"R",""))))</f>
        <v/>
      </c>
      <c r="AA9" s="32" t="str">
        <f>IF(AA$6=Eventos!$C$6,"F",IF(AA$6=Eventos!$C$5,"P",IF(AA$6=Eventos!$C$7,"C",IF(AA$6=Eventos!$C$8,"R",""))))</f>
        <v/>
      </c>
      <c r="AB9" s="32" t="str">
        <f>IF(AB$6=Eventos!$C$6,"F",IF(AB$6=Eventos!$C$5,"P",IF(AB$6=Eventos!$C$7,"C",IF(AB$6=Eventos!$C$8,"R",""))))</f>
        <v/>
      </c>
      <c r="AC9" s="32" t="str">
        <f>IF(AC$6=Eventos!$C$6,"F",IF(AC$6=Eventos!$C$5,"P",IF(AC$6=Eventos!$C$7,"C",IF(AC$6=Eventos!$C$8,"R",""))))</f>
        <v/>
      </c>
      <c r="AD9" s="32" t="str">
        <f>IF(AD$6=Eventos!$C$6,"F",IF(AD$6=Eventos!$C$5,"P",IF(AD$6=Eventos!$C$7,"C",IF(AD$6=Eventos!$C$8,"R",""))))</f>
        <v/>
      </c>
      <c r="AE9" s="32" t="str">
        <f>IF(AE$6=Eventos!$C$6,"F",IF(AE$6=Eventos!$C$5,"P",IF(AE$6=Eventos!$C$7,"C",IF(AE$6=Eventos!$C$8,"R",""))))</f>
        <v/>
      </c>
      <c r="AF9" s="32" t="str">
        <f>IF(AF$6=Eventos!$C$6,"F",IF(AF$6=Eventos!$C$5,"P",IF(AF$6=Eventos!$C$7,"C",IF(AF$6=Eventos!$C$8,"R",""))))</f>
        <v/>
      </c>
      <c r="AG9" s="32" t="str">
        <f>IF(AG$6=Eventos!$C$6,"F",IF(AG$6=Eventos!$C$5,"P",IF(AG$6=Eventos!$C$7,"C",IF(AG$6=Eventos!$C$8,"R",""))))</f>
        <v/>
      </c>
      <c r="AH9" s="32" t="str">
        <f>IF(AH$6=Eventos!$C$6,"F",IF(AH$6=Eventos!$C$5,"P",IF(AH$6=Eventos!$C$7,"C",IF(AH$6=Eventos!$C$8,"R",""))))</f>
        <v/>
      </c>
      <c r="AI9" s="32" t="str">
        <f>IF(AI$6=Eventos!$C$6,"F",IF(AI$6=Eventos!$C$5,"P",IF(AI$6=Eventos!$C$7,"C",IF(AI$6=Eventos!$C$8,"R",""))))</f>
        <v/>
      </c>
      <c r="AJ9" s="32" t="str">
        <f>IF(AJ$6=Eventos!$C$6,"F",IF(AJ$6=Eventos!$C$5,"P",IF(AJ$6=Eventos!$C$7,"C",IF(AJ$6=Eventos!$C$8,"R",""))))</f>
        <v/>
      </c>
      <c r="AK9" s="32" t="str">
        <f>IF(AK$6=Eventos!$C$6,"F",IF(AK$6=Eventos!$C$5,"P",IF(AK$6=Eventos!$C$7,"C",IF(AK$6=Eventos!$C$8,"R",""))))</f>
        <v/>
      </c>
      <c r="AL9" s="32" t="str">
        <f>IF(AL$6=Eventos!$C$6,"F",IF(AL$6=Eventos!$C$5,"P",IF(AL$6=Eventos!$C$7,"C",IF(AL$6=Eventos!$C$8,"R",""))))</f>
        <v/>
      </c>
      <c r="AM9" s="32" t="str">
        <f>IF(AM$6=Eventos!$C$6,"F",IF(AM$6=Eventos!$C$5,"P",IF(AM$6=Eventos!$C$7,"C",IF(AM$6=Eventos!$C$8,"R",""))))</f>
        <v/>
      </c>
      <c r="AN9" s="32" t="str">
        <f>IF(AN$6=Eventos!$C$6,"F",IF(AN$6=Eventos!$C$5,"P",IF(AN$6=Eventos!$C$7,"C",IF(AN$6=Eventos!$C$8,"R",""))))</f>
        <v/>
      </c>
      <c r="AO9" s="32" t="str">
        <f>IF(AO$6=Eventos!$C$6,"F",IF(AO$6=Eventos!$C$5,"P",IF(AO$6=Eventos!$C$7,"C",IF(AO$6=Eventos!$C$8,"R",""))))</f>
        <v/>
      </c>
      <c r="AP9" s="32" t="str">
        <f>IF(AP$6=Eventos!$C$6,"F",IF(AP$6=Eventos!$C$5,"P",IF(AP$6=Eventos!$C$7,"C",IF(AP$6=Eventos!$C$8,"R",""))))</f>
        <v/>
      </c>
      <c r="AQ9" s="32" t="str">
        <f>IF(AQ$6=Eventos!$C$6,"F",IF(AQ$6=Eventos!$C$5,"P",IF(AQ$6=Eventos!$C$7,"C",IF(AQ$6=Eventos!$C$8,"R",""))))</f>
        <v/>
      </c>
      <c r="AR9" s="32" t="str">
        <f>IF(AR$6=Eventos!$C$6,"F",IF(AR$6=Eventos!$C$5,"P",IF(AR$6=Eventos!$C$7,"C",IF(AR$6=Eventos!$C$8,"R",""))))</f>
        <v/>
      </c>
      <c r="AS9" s="32" t="str">
        <f>IF(AS$6=Eventos!$C$6,"F",IF(AS$6=Eventos!$C$5,"P",IF(AS$6=Eventos!$C$7,"C",IF(AS$6=Eventos!$C$8,"R",""))))</f>
        <v/>
      </c>
      <c r="AT9" s="32" t="str">
        <f>IF(AT$6=Eventos!$C$6,"F",IF(AT$6=Eventos!$C$5,"P",IF(AT$6=Eventos!$C$7,"C",IF(AT$6=Eventos!$C$8,"R",""))))</f>
        <v/>
      </c>
      <c r="AU9" s="32" t="str">
        <f>IF(AU$6=Eventos!$C$6,"F",IF(AU$6=Eventos!$C$5,"P",IF(AU$6=Eventos!$C$7,"C",IF(AU$6=Eventos!$C$8,"R",""))))</f>
        <v/>
      </c>
      <c r="AV9" s="32" t="str">
        <f>IF(AV$6=Eventos!$C$6,"F",IF(AV$6=Eventos!$C$5,"P",IF(AV$6=Eventos!$C$7,"C",IF(AV$6=Eventos!$C$8,"R",""))))</f>
        <v/>
      </c>
      <c r="AW9" s="32" t="str">
        <f>IF(AW$6=Eventos!$C$6,"F",IF(AW$6=Eventos!$C$5,"P",IF(AW$6=Eventos!$C$7,"C",IF(AW$6=Eventos!$C$8,"R",""))))</f>
        <v/>
      </c>
      <c r="AX9" s="32" t="str">
        <f>IF(AX$6=Eventos!$C$6,"F",IF(AX$6=Eventos!$C$5,"P",IF(AX$6=Eventos!$C$7,"C",IF(AX$6=Eventos!$C$8,"R",""))))</f>
        <v/>
      </c>
      <c r="AY9" s="32" t="str">
        <f>IF(AY$6=Eventos!$C$6,"F",IF(AY$6=Eventos!$C$5,"P",IF(AY$6=Eventos!$C$7,"C",IF(AY$6=Eventos!$C$8,"R",""))))</f>
        <v/>
      </c>
      <c r="AZ9" s="32" t="str">
        <f>IF(AZ$6=Eventos!$C$6,"F",IF(AZ$6=Eventos!$C$5,"P",IF(AZ$6=Eventos!$C$7,"C",IF(AZ$6=Eventos!$C$8,"R",""))))</f>
        <v/>
      </c>
      <c r="BA9" s="32" t="str">
        <f>IF(BA$6=Eventos!$C$6,"F",IF(BA$6=Eventos!$C$5,"P",IF(BA$6=Eventos!$C$7,"C",IF(BA$6=Eventos!$C$8,"R",""))))</f>
        <v/>
      </c>
      <c r="BB9" s="32" t="str">
        <f>IF(BB$6=Eventos!$C$6,"F",IF(BB$6=Eventos!$C$5,"P",IF(BB$6=Eventos!$C$7,"C",IF(BB$6=Eventos!$C$8,"R",""))))</f>
        <v/>
      </c>
      <c r="BC9" s="32" t="str">
        <f>IF(BC$6=Eventos!$C$6,"F",IF(BC$6=Eventos!$C$5,"P",IF(BC$6=Eventos!$C$7,"C",IF(BC$6=Eventos!$C$8,"R",""))))</f>
        <v/>
      </c>
      <c r="BD9" s="32" t="str">
        <f>IF(BD$6=Eventos!$C$6,"F",IF(BD$6=Eventos!$C$5,"P",IF(BD$6=Eventos!$C$7,"C",IF(BD$6=Eventos!$C$8,"R",""))))</f>
        <v/>
      </c>
      <c r="BE9" s="32" t="str">
        <f>IF(BE$6=Eventos!$C$6,"F",IF(BE$6=Eventos!$C$5,"P",IF(BE$6=Eventos!$C$7,"C",IF(BE$6=Eventos!$C$8,"R",""))))</f>
        <v/>
      </c>
      <c r="BF9" s="32" t="str">
        <f>IF(BF$6=Eventos!$C$6,"F",IF(BF$6=Eventos!$C$5,"P",IF(BF$6=Eventos!$C$7,"C",IF(BF$6=Eventos!$C$8,"R",""))))</f>
        <v/>
      </c>
      <c r="BG9" s="32" t="str">
        <f>IF(BG$6=Eventos!$C$6,"F",IF(BG$6=Eventos!$C$5,"P",IF(BG$6=Eventos!$C$7,"C",IF(BG$6=Eventos!$C$8,"R",""))))</f>
        <v/>
      </c>
      <c r="BH9" s="32" t="str">
        <f>IF(BH$6=Eventos!$C$6,"F",IF(BH$6=Eventos!$C$5,"P",IF(BH$6=Eventos!$C$7,"C",IF(BH$6=Eventos!$C$8,"R",""))))</f>
        <v/>
      </c>
      <c r="BI9" s="32" t="str">
        <f>IF(BI$6=Eventos!$C$6,"F",IF(BI$6=Eventos!$C$5,"P",IF(BI$6=Eventos!$C$7,"C",IF(BI$6=Eventos!$C$8,"R",""))))</f>
        <v/>
      </c>
      <c r="BJ9" s="32" t="str">
        <f>IF(BJ$6=Eventos!$C$6,"F",IF(BJ$6=Eventos!$C$5,"P",IF(BJ$6=Eventos!$C$7,"C",IF(BJ$6=Eventos!$C$8,"R",""))))</f>
        <v/>
      </c>
      <c r="BK9" s="32" t="str">
        <f>IF(BK$6=Eventos!$C$6,"F",IF(BK$6=Eventos!$C$5,"P",IF(BK$6=Eventos!$C$7,"C",IF(BK$6=Eventos!$C$8,"R",""))))</f>
        <v/>
      </c>
      <c r="BL9" s="32" t="str">
        <f>IF(BL$6=Eventos!$C$6,"F",IF(BL$6=Eventos!$C$5,"P",IF(BL$6=Eventos!$C$7,"C",IF(BL$6=Eventos!$C$8,"R",""))))</f>
        <v/>
      </c>
      <c r="BM9" s="32" t="str">
        <f>IF(BM$6=Eventos!$C$6,"F",IF(BM$6=Eventos!$C$5,"P",IF(BM$6=Eventos!$C$7,"C",IF(BM$6=Eventos!$C$8,"R",""))))</f>
        <v/>
      </c>
      <c r="BN9" s="32" t="str">
        <f>IF(BN$6=Eventos!$C$6,"F",IF(BN$6=Eventos!$C$5,"P",IF(BN$6=Eventos!$C$7,"C",IF(BN$6=Eventos!$C$8,"R",""))))</f>
        <v/>
      </c>
      <c r="BO9" s="32" t="str">
        <f>IF(BO$6=Eventos!$C$6,"F",IF(BO$6=Eventos!$C$5,"P",IF(BO$6=Eventos!$C$7,"C",IF(BO$6=Eventos!$C$8,"R",""))))</f>
        <v/>
      </c>
      <c r="BP9" s="32" t="str">
        <f>IF(BP$6=Eventos!$C$6,"F",IF(BP$6=Eventos!$C$5,"P",IF(BP$6=Eventos!$C$7,"C",IF(BP$6=Eventos!$C$8,"R",""))))</f>
        <v/>
      </c>
      <c r="BQ9" s="32" t="str">
        <f>IF(BQ$6=Eventos!$C$6,"F",IF(BQ$6=Eventos!$C$5,"P",IF(BQ$6=Eventos!$C$7,"C",IF(BQ$6=Eventos!$C$8,"R",""))))</f>
        <v/>
      </c>
      <c r="BR9" s="32" t="str">
        <f>IF(BR$6=Eventos!$C$6,"F",IF(BR$6=Eventos!$C$5,"P",IF(BR$6=Eventos!$C$7,"C",IF(BR$6=Eventos!$C$8,"R",""))))</f>
        <v/>
      </c>
      <c r="BS9" s="32" t="str">
        <f>IF(BS$6=Eventos!$C$6,"F",IF(BS$6=Eventos!$C$5,"P",IF(BS$6=Eventos!$C$7,"C",IF(BS$6=Eventos!$C$8,"R",""))))</f>
        <v/>
      </c>
      <c r="BT9" s="32" t="str">
        <f>IF(BT$6=Eventos!$C$6,"F",IF(BT$6=Eventos!$C$5,"P",IF(BT$6=Eventos!$C$7,"C",IF(BT$6=Eventos!$C$8,"R",""))))</f>
        <v/>
      </c>
      <c r="BU9" s="32" t="str">
        <f>IF(BU$6=Eventos!$C$6,"F",IF(BU$6=Eventos!$C$5,"P",IF(BU$6=Eventos!$C$7,"C",IF(BU$6=Eventos!$C$8,"R",""))))</f>
        <v/>
      </c>
      <c r="BV9" s="32" t="str">
        <f>IF(BV$6=Eventos!$C$6,"F",IF(BV$6=Eventos!$C$5,"P",IF(BV$6=Eventos!$C$7,"C",IF(BV$6=Eventos!$C$8,"R",""))))</f>
        <v/>
      </c>
      <c r="BW9" s="32" t="str">
        <f>IF(BW$6=Eventos!$C$6,"F",IF(BW$6=Eventos!$C$5,"P",IF(BW$6=Eventos!$C$7,"C",IF(BW$6=Eventos!$C$8,"R",""))))</f>
        <v/>
      </c>
      <c r="BX9" s="32" t="str">
        <f>IF(BX$6=Eventos!$C$6,"F",IF(BX$6=Eventos!$C$5,"P",IF(BX$6=Eventos!$C$7,"C",IF(BX$6=Eventos!$C$8,"R",""))))</f>
        <v/>
      </c>
      <c r="BY9" s="32" t="str">
        <f>IF(BY$6=Eventos!$C$6,"F",IF(BY$6=Eventos!$C$5,"P",IF(BY$6=Eventos!$C$7,"C",IF(BY$6=Eventos!$C$8,"R",""))))</f>
        <v/>
      </c>
      <c r="BZ9" s="32" t="str">
        <f>IF(BZ$6=Eventos!$C$6,"F",IF(BZ$6=Eventos!$C$5,"P",IF(BZ$6=Eventos!$C$7,"C",IF(BZ$6=Eventos!$C$8,"R",""))))</f>
        <v/>
      </c>
      <c r="CA9" s="32" t="str">
        <f>IF(CA$6=Eventos!$C$6,"F",IF(CA$6=Eventos!$C$5,"P",IF(CA$6=Eventos!$C$7,"C",IF(CA$6=Eventos!$C$8,"R",""))))</f>
        <v/>
      </c>
      <c r="CB9" s="32" t="str">
        <f>IF(CB$6=Eventos!$C$6,"F",IF(CB$6=Eventos!$C$5,"P",IF(CB$6=Eventos!$C$7,"C",IF(CB$6=Eventos!$C$8,"R",""))))</f>
        <v/>
      </c>
      <c r="CC9" s="32" t="str">
        <f>IF(CC$6=Eventos!$C$6,"F",IF(CC$6=Eventos!$C$5,"P",IF(CC$6=Eventos!$C$7,"C",IF(CC$6=Eventos!$C$8,"R",""))))</f>
        <v/>
      </c>
      <c r="CD9" s="32" t="str">
        <f>IF(CD$6=Eventos!$C$6,"F",IF(CD$6=Eventos!$C$5,"P",IF(CD$6=Eventos!$C$7,"C",IF(CD$6=Eventos!$C$8,"R",""))))</f>
        <v/>
      </c>
      <c r="CE9" s="32" t="str">
        <f>IF(CE$6=Eventos!$C$6,"F",IF(CE$6=Eventos!$C$5,"P",IF(CE$6=Eventos!$C$7,"C",IF(CE$6=Eventos!$C$8,"R",""))))</f>
        <v/>
      </c>
      <c r="CF9" s="32" t="str">
        <f>IF(CF$6=Eventos!$C$6,"F",IF(CF$6=Eventos!$C$5,"P",IF(CF$6=Eventos!$C$7,"C",IF(CF$6=Eventos!$C$8,"R",""))))</f>
        <v/>
      </c>
    </row>
    <row r="10" spans="1:84" outlineLevel="1" x14ac:dyDescent="0.2">
      <c r="A10" s="6" t="s">
        <v>87</v>
      </c>
      <c r="B10" s="33" t="s">
        <v>88</v>
      </c>
      <c r="C10" s="6" t="s">
        <v>64</v>
      </c>
      <c r="D10" s="6" t="s">
        <v>89</v>
      </c>
      <c r="E10" s="34">
        <f>Historias!J5</f>
        <v>46265</v>
      </c>
      <c r="F10" s="34">
        <f>Historias!K5</f>
        <v>46269</v>
      </c>
      <c r="G10" s="6">
        <f t="shared" ref="G10:G38" si="3">NETWORKDAYS(E10,F10,Feriados)</f>
        <v>5</v>
      </c>
      <c r="H10" s="8">
        <f>Historias!N5</f>
        <v>1</v>
      </c>
      <c r="I10" s="6" t="str">
        <f>Historias!P5</f>
        <v>Terminada</v>
      </c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</row>
    <row r="11" spans="1:84" hidden="1" outlineLevel="2" x14ac:dyDescent="0.2">
      <c r="A11" s="35" t="s">
        <v>90</v>
      </c>
      <c r="B11" s="36" t="s">
        <v>91</v>
      </c>
      <c r="C11" s="35" t="s">
        <v>65</v>
      </c>
      <c r="D11" s="35" t="s">
        <v>92</v>
      </c>
      <c r="E11" s="37">
        <f>Tareas!H5</f>
        <v>46265</v>
      </c>
      <c r="F11" s="37">
        <f>Tareas!I5</f>
        <v>46269</v>
      </c>
      <c r="G11" s="35">
        <f t="shared" si="3"/>
        <v>5</v>
      </c>
      <c r="H11" s="38">
        <f>Tareas!K5</f>
        <v>1</v>
      </c>
      <c r="I11" s="35" t="str">
        <f>Tareas!J5</f>
        <v>Terminado</v>
      </c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</row>
    <row r="12" spans="1:84" hidden="1" outlineLevel="2" x14ac:dyDescent="0.2">
      <c r="A12" s="35" t="s">
        <v>93</v>
      </c>
      <c r="B12" s="36" t="s">
        <v>94</v>
      </c>
      <c r="C12" s="35" t="s">
        <v>65</v>
      </c>
      <c r="D12" s="35" t="s">
        <v>92</v>
      </c>
      <c r="E12" s="37">
        <f>Tareas!H6</f>
        <v>46265</v>
      </c>
      <c r="F12" s="37">
        <f>Tareas!I6</f>
        <v>46269</v>
      </c>
      <c r="G12" s="35">
        <f t="shared" si="3"/>
        <v>5</v>
      </c>
      <c r="H12" s="38">
        <f>Tareas!K6</f>
        <v>1</v>
      </c>
      <c r="I12" s="35" t="str">
        <f>Tareas!J6</f>
        <v>Terminado</v>
      </c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</row>
    <row r="13" spans="1:84" hidden="1" outlineLevel="2" x14ac:dyDescent="0.2">
      <c r="A13" s="35" t="s">
        <v>95</v>
      </c>
      <c r="B13" s="36" t="s">
        <v>96</v>
      </c>
      <c r="C13" s="35" t="s">
        <v>65</v>
      </c>
      <c r="D13" s="35" t="s">
        <v>97</v>
      </c>
      <c r="E13" s="37">
        <f>Tareas!H7</f>
        <v>46265</v>
      </c>
      <c r="F13" s="37">
        <f>Tareas!I7</f>
        <v>46269</v>
      </c>
      <c r="G13" s="35">
        <f t="shared" si="3"/>
        <v>5</v>
      </c>
      <c r="H13" s="38">
        <f>Tareas!K7</f>
        <v>1</v>
      </c>
      <c r="I13" s="35" t="str">
        <f>Tareas!J7</f>
        <v>Terminado</v>
      </c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</row>
    <row r="14" spans="1:84" hidden="1" outlineLevel="2" x14ac:dyDescent="0.2">
      <c r="A14" s="35" t="s">
        <v>98</v>
      </c>
      <c r="B14" s="36" t="s">
        <v>99</v>
      </c>
      <c r="C14" s="35" t="s">
        <v>65</v>
      </c>
      <c r="D14" s="35" t="s">
        <v>97</v>
      </c>
      <c r="E14" s="37">
        <f>Tareas!H8</f>
        <v>46265</v>
      </c>
      <c r="F14" s="37">
        <f>Tareas!I8</f>
        <v>46269</v>
      </c>
      <c r="G14" s="35">
        <f t="shared" si="3"/>
        <v>5</v>
      </c>
      <c r="H14" s="38">
        <f>Tareas!K8</f>
        <v>1</v>
      </c>
      <c r="I14" s="35" t="str">
        <f>Tareas!J8</f>
        <v>Terminado</v>
      </c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</row>
    <row r="15" spans="1:84" hidden="1" outlineLevel="2" x14ac:dyDescent="0.2">
      <c r="A15" s="35" t="s">
        <v>100</v>
      </c>
      <c r="B15" s="36" t="s">
        <v>101</v>
      </c>
      <c r="C15" s="35" t="s">
        <v>65</v>
      </c>
      <c r="D15" s="35" t="s">
        <v>102</v>
      </c>
      <c r="E15" s="37">
        <f>Tareas!H9</f>
        <v>46265</v>
      </c>
      <c r="F15" s="37">
        <f>Tareas!I9</f>
        <v>46269</v>
      </c>
      <c r="G15" s="35">
        <f t="shared" si="3"/>
        <v>5</v>
      </c>
      <c r="H15" s="38">
        <f>Tareas!K9</f>
        <v>1</v>
      </c>
      <c r="I15" s="35" t="str">
        <f>Tareas!J9</f>
        <v>Terminado</v>
      </c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</row>
    <row r="16" spans="1:84" outlineLevel="1" x14ac:dyDescent="0.2">
      <c r="A16" s="6" t="s">
        <v>103</v>
      </c>
      <c r="B16" s="33" t="s">
        <v>104</v>
      </c>
      <c r="C16" s="6" t="s">
        <v>64</v>
      </c>
      <c r="D16" s="6" t="s">
        <v>89</v>
      </c>
      <c r="E16" s="34">
        <f>Historias!J6</f>
        <v>46265</v>
      </c>
      <c r="F16" s="34">
        <f>Historias!K6</f>
        <v>46269</v>
      </c>
      <c r="G16" s="6">
        <f t="shared" si="3"/>
        <v>5</v>
      </c>
      <c r="H16" s="8">
        <f>Historias!N6</f>
        <v>1</v>
      </c>
      <c r="I16" s="6" t="str">
        <f>Historias!P6</f>
        <v>Terminada</v>
      </c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</row>
    <row r="17" spans="1:84" hidden="1" outlineLevel="2" x14ac:dyDescent="0.2">
      <c r="A17" s="35" t="s">
        <v>105</v>
      </c>
      <c r="B17" s="36" t="s">
        <v>106</v>
      </c>
      <c r="C17" s="35" t="s">
        <v>65</v>
      </c>
      <c r="D17" s="35" t="s">
        <v>97</v>
      </c>
      <c r="E17" s="37">
        <f>Tareas!H10</f>
        <v>46265</v>
      </c>
      <c r="F17" s="37">
        <f>Tareas!I10</f>
        <v>46269</v>
      </c>
      <c r="G17" s="35">
        <f t="shared" si="3"/>
        <v>5</v>
      </c>
      <c r="H17" s="38">
        <f>Tareas!K10</f>
        <v>1</v>
      </c>
      <c r="I17" s="35" t="str">
        <f>Tareas!J10</f>
        <v>Terminado</v>
      </c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</row>
    <row r="18" spans="1:84" hidden="1" outlineLevel="2" x14ac:dyDescent="0.2">
      <c r="A18" s="35" t="s">
        <v>107</v>
      </c>
      <c r="B18" s="36" t="s">
        <v>108</v>
      </c>
      <c r="C18" s="35" t="s">
        <v>65</v>
      </c>
      <c r="D18" s="35" t="s">
        <v>92</v>
      </c>
      <c r="E18" s="37">
        <f>Tareas!H11</f>
        <v>46265</v>
      </c>
      <c r="F18" s="37">
        <f>Tareas!I11</f>
        <v>46269</v>
      </c>
      <c r="G18" s="35">
        <f t="shared" si="3"/>
        <v>5</v>
      </c>
      <c r="H18" s="38">
        <f>Tareas!K11</f>
        <v>1</v>
      </c>
      <c r="I18" s="35" t="str">
        <f>Tareas!J11</f>
        <v>Terminado</v>
      </c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</row>
    <row r="19" spans="1:84" hidden="1" outlineLevel="2" x14ac:dyDescent="0.2">
      <c r="A19" s="35" t="s">
        <v>109</v>
      </c>
      <c r="B19" s="36" t="s">
        <v>110</v>
      </c>
      <c r="C19" s="35" t="s">
        <v>65</v>
      </c>
      <c r="D19" s="35" t="s">
        <v>92</v>
      </c>
      <c r="E19" s="37">
        <f>Tareas!H12</f>
        <v>46265</v>
      </c>
      <c r="F19" s="37">
        <f>Tareas!I12</f>
        <v>46269</v>
      </c>
      <c r="G19" s="35">
        <f t="shared" si="3"/>
        <v>5</v>
      </c>
      <c r="H19" s="38">
        <f>Tareas!K12</f>
        <v>1</v>
      </c>
      <c r="I19" s="35" t="str">
        <f>Tareas!J12</f>
        <v>Terminado</v>
      </c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</row>
    <row r="20" spans="1:84" hidden="1" outlineLevel="2" x14ac:dyDescent="0.2">
      <c r="A20" s="35" t="s">
        <v>111</v>
      </c>
      <c r="B20" s="36" t="s">
        <v>112</v>
      </c>
      <c r="C20" s="35" t="s">
        <v>65</v>
      </c>
      <c r="D20" s="35" t="s">
        <v>97</v>
      </c>
      <c r="E20" s="37">
        <f>Tareas!H13</f>
        <v>46265</v>
      </c>
      <c r="F20" s="37">
        <f>Tareas!I13</f>
        <v>46269</v>
      </c>
      <c r="G20" s="35">
        <f t="shared" si="3"/>
        <v>5</v>
      </c>
      <c r="H20" s="38">
        <f>Tareas!K13</f>
        <v>1</v>
      </c>
      <c r="I20" s="35" t="str">
        <f>Tareas!J13</f>
        <v>Terminado</v>
      </c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</row>
    <row r="21" spans="1:84" hidden="1" outlineLevel="2" x14ac:dyDescent="0.2">
      <c r="A21" s="35" t="s">
        <v>113</v>
      </c>
      <c r="B21" s="36" t="s">
        <v>114</v>
      </c>
      <c r="C21" s="35" t="s">
        <v>65</v>
      </c>
      <c r="D21" s="35" t="s">
        <v>102</v>
      </c>
      <c r="E21" s="37">
        <f>Tareas!H14</f>
        <v>46265</v>
      </c>
      <c r="F21" s="37">
        <f>Tareas!I14</f>
        <v>46269</v>
      </c>
      <c r="G21" s="35">
        <f t="shared" si="3"/>
        <v>5</v>
      </c>
      <c r="H21" s="38">
        <f>Tareas!K14</f>
        <v>1</v>
      </c>
      <c r="I21" s="35" t="str">
        <f>Tareas!J14</f>
        <v>Terminado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</row>
    <row r="22" spans="1:84" outlineLevel="1" x14ac:dyDescent="0.2">
      <c r="A22" s="6" t="s">
        <v>115</v>
      </c>
      <c r="B22" s="33" t="s">
        <v>116</v>
      </c>
      <c r="C22" s="6" t="s">
        <v>64</v>
      </c>
      <c r="D22" s="6" t="s">
        <v>89</v>
      </c>
      <c r="E22" s="34">
        <f>Historias!J7</f>
        <v>46272</v>
      </c>
      <c r="F22" s="34">
        <f>Historias!K7</f>
        <v>46276</v>
      </c>
      <c r="G22" s="6">
        <f t="shared" si="3"/>
        <v>5</v>
      </c>
      <c r="H22" s="8">
        <f>Historias!N7</f>
        <v>1</v>
      </c>
      <c r="I22" s="6" t="str">
        <f>Historias!P7</f>
        <v>Terminada</v>
      </c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</row>
    <row r="23" spans="1:84" hidden="1" outlineLevel="2" x14ac:dyDescent="0.2">
      <c r="A23" s="35" t="s">
        <v>117</v>
      </c>
      <c r="B23" s="36" t="s">
        <v>118</v>
      </c>
      <c r="C23" s="35" t="s">
        <v>65</v>
      </c>
      <c r="D23" s="35" t="s">
        <v>97</v>
      </c>
      <c r="E23" s="37">
        <f>Tareas!H15</f>
        <v>46272</v>
      </c>
      <c r="F23" s="37">
        <f>Tareas!I15</f>
        <v>46276</v>
      </c>
      <c r="G23" s="35">
        <f t="shared" si="3"/>
        <v>5</v>
      </c>
      <c r="H23" s="38">
        <f>Tareas!K15</f>
        <v>1</v>
      </c>
      <c r="I23" s="35" t="str">
        <f>Tareas!J15</f>
        <v>Terminado</v>
      </c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</row>
    <row r="24" spans="1:84" hidden="1" outlineLevel="2" x14ac:dyDescent="0.2">
      <c r="A24" s="35" t="s">
        <v>119</v>
      </c>
      <c r="B24" s="36" t="s">
        <v>120</v>
      </c>
      <c r="C24" s="35" t="s">
        <v>65</v>
      </c>
      <c r="D24" s="35" t="s">
        <v>92</v>
      </c>
      <c r="E24" s="37">
        <f>Tareas!H16</f>
        <v>46272</v>
      </c>
      <c r="F24" s="37">
        <f>Tareas!I16</f>
        <v>46276</v>
      </c>
      <c r="G24" s="35">
        <f t="shared" si="3"/>
        <v>5</v>
      </c>
      <c r="H24" s="38">
        <f>Tareas!K16</f>
        <v>1</v>
      </c>
      <c r="I24" s="35" t="str">
        <f>Tareas!J16</f>
        <v>Terminado</v>
      </c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</row>
    <row r="25" spans="1:84" hidden="1" outlineLevel="2" x14ac:dyDescent="0.2">
      <c r="A25" s="35" t="s">
        <v>121</v>
      </c>
      <c r="B25" s="36" t="s">
        <v>122</v>
      </c>
      <c r="C25" s="35" t="s">
        <v>65</v>
      </c>
      <c r="D25" s="35" t="s">
        <v>92</v>
      </c>
      <c r="E25" s="37">
        <f>Tareas!H17</f>
        <v>46272</v>
      </c>
      <c r="F25" s="37">
        <f>Tareas!I17</f>
        <v>46276</v>
      </c>
      <c r="G25" s="35">
        <f t="shared" si="3"/>
        <v>5</v>
      </c>
      <c r="H25" s="38">
        <f>Tareas!K17</f>
        <v>1</v>
      </c>
      <c r="I25" s="35" t="str">
        <f>Tareas!J17</f>
        <v>Terminado</v>
      </c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</row>
    <row r="26" spans="1:84" hidden="1" outlineLevel="2" x14ac:dyDescent="0.2">
      <c r="A26" s="35" t="s">
        <v>123</v>
      </c>
      <c r="B26" s="36" t="s">
        <v>124</v>
      </c>
      <c r="C26" s="35" t="s">
        <v>65</v>
      </c>
      <c r="D26" s="35" t="s">
        <v>102</v>
      </c>
      <c r="E26" s="37">
        <f>Tareas!H18</f>
        <v>46272</v>
      </c>
      <c r="F26" s="37">
        <f>Tareas!I18</f>
        <v>46276</v>
      </c>
      <c r="G26" s="35">
        <f t="shared" si="3"/>
        <v>5</v>
      </c>
      <c r="H26" s="38">
        <f>Tareas!K18</f>
        <v>1</v>
      </c>
      <c r="I26" s="35" t="str">
        <f>Tareas!J18</f>
        <v>Terminado</v>
      </c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</row>
    <row r="27" spans="1:84" hidden="1" outlineLevel="2" x14ac:dyDescent="0.2">
      <c r="A27" s="35" t="s">
        <v>125</v>
      </c>
      <c r="B27" s="36" t="s">
        <v>126</v>
      </c>
      <c r="C27" s="35" t="s">
        <v>65</v>
      </c>
      <c r="D27" s="35" t="s">
        <v>102</v>
      </c>
      <c r="E27" s="37">
        <f>Tareas!H19</f>
        <v>46272</v>
      </c>
      <c r="F27" s="37">
        <f>Tareas!I19</f>
        <v>46276</v>
      </c>
      <c r="G27" s="35">
        <f t="shared" si="3"/>
        <v>5</v>
      </c>
      <c r="H27" s="38">
        <f>Tareas!K19</f>
        <v>1</v>
      </c>
      <c r="I27" s="35" t="str">
        <f>Tareas!J19</f>
        <v>Terminado</v>
      </c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</row>
    <row r="28" spans="1:84" outlineLevel="1" x14ac:dyDescent="0.2">
      <c r="A28" s="6" t="s">
        <v>127</v>
      </c>
      <c r="B28" s="33" t="s">
        <v>128</v>
      </c>
      <c r="C28" s="6" t="s">
        <v>64</v>
      </c>
      <c r="D28" s="6" t="s">
        <v>89</v>
      </c>
      <c r="E28" s="34">
        <f>Historias!J8</f>
        <v>46272</v>
      </c>
      <c r="F28" s="34">
        <f>Historias!K8</f>
        <v>46276</v>
      </c>
      <c r="G28" s="6">
        <f t="shared" si="3"/>
        <v>5</v>
      </c>
      <c r="H28" s="8">
        <f>Historias!N8</f>
        <v>1</v>
      </c>
      <c r="I28" s="6" t="str">
        <f>Historias!P8</f>
        <v>Terminada</v>
      </c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</row>
    <row r="29" spans="1:84" hidden="1" outlineLevel="2" x14ac:dyDescent="0.2">
      <c r="A29" s="35" t="s">
        <v>129</v>
      </c>
      <c r="B29" s="36" t="s">
        <v>130</v>
      </c>
      <c r="C29" s="35" t="s">
        <v>65</v>
      </c>
      <c r="D29" s="35" t="s">
        <v>97</v>
      </c>
      <c r="E29" s="37">
        <f>Tareas!H20</f>
        <v>46272</v>
      </c>
      <c r="F29" s="37">
        <f>Tareas!I20</f>
        <v>46276</v>
      </c>
      <c r="G29" s="35">
        <f t="shared" si="3"/>
        <v>5</v>
      </c>
      <c r="H29" s="38">
        <f>Tareas!K20</f>
        <v>1</v>
      </c>
      <c r="I29" s="35" t="str">
        <f>Tareas!J20</f>
        <v>Terminado</v>
      </c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</row>
    <row r="30" spans="1:84" hidden="1" outlineLevel="2" x14ac:dyDescent="0.2">
      <c r="A30" s="35" t="s">
        <v>131</v>
      </c>
      <c r="B30" s="36" t="s">
        <v>132</v>
      </c>
      <c r="C30" s="35" t="s">
        <v>65</v>
      </c>
      <c r="D30" s="35" t="s">
        <v>92</v>
      </c>
      <c r="E30" s="37">
        <f>Tareas!H21</f>
        <v>46272</v>
      </c>
      <c r="F30" s="37">
        <f>Tareas!I21</f>
        <v>46276</v>
      </c>
      <c r="G30" s="35">
        <f t="shared" si="3"/>
        <v>5</v>
      </c>
      <c r="H30" s="38">
        <f>Tareas!K21</f>
        <v>1</v>
      </c>
      <c r="I30" s="35" t="str">
        <f>Tareas!J21</f>
        <v>Terminado</v>
      </c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</row>
    <row r="31" spans="1:84" hidden="1" outlineLevel="2" x14ac:dyDescent="0.2">
      <c r="A31" s="35" t="s">
        <v>133</v>
      </c>
      <c r="B31" s="36" t="s">
        <v>134</v>
      </c>
      <c r="C31" s="35" t="s">
        <v>65</v>
      </c>
      <c r="D31" s="35" t="s">
        <v>102</v>
      </c>
      <c r="E31" s="37">
        <f>Tareas!H22</f>
        <v>46272</v>
      </c>
      <c r="F31" s="37">
        <f>Tareas!I22</f>
        <v>46276</v>
      </c>
      <c r="G31" s="35">
        <f t="shared" si="3"/>
        <v>5</v>
      </c>
      <c r="H31" s="38">
        <f>Tareas!K22</f>
        <v>1</v>
      </c>
      <c r="I31" s="35" t="str">
        <f>Tareas!J22</f>
        <v>Terminado</v>
      </c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</row>
    <row r="32" spans="1:84" hidden="1" outlineLevel="2" x14ac:dyDescent="0.2">
      <c r="A32" s="35" t="s">
        <v>135</v>
      </c>
      <c r="B32" s="36" t="s">
        <v>136</v>
      </c>
      <c r="C32" s="35" t="s">
        <v>65</v>
      </c>
      <c r="D32" s="35" t="s">
        <v>97</v>
      </c>
      <c r="E32" s="37">
        <f>Tareas!H23</f>
        <v>46272</v>
      </c>
      <c r="F32" s="37">
        <f>Tareas!I23</f>
        <v>46276</v>
      </c>
      <c r="G32" s="35">
        <f t="shared" si="3"/>
        <v>5</v>
      </c>
      <c r="H32" s="38">
        <f>Tareas!K23</f>
        <v>1</v>
      </c>
      <c r="I32" s="35" t="str">
        <f>Tareas!J23</f>
        <v>Terminado</v>
      </c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</row>
    <row r="33" spans="1:84" outlineLevel="1" x14ac:dyDescent="0.2">
      <c r="A33" s="6"/>
      <c r="B33" s="33" t="s">
        <v>137</v>
      </c>
      <c r="C33" s="6" t="s">
        <v>64</v>
      </c>
      <c r="D33" s="6" t="s">
        <v>86</v>
      </c>
      <c r="E33" s="34">
        <f>_xlfn.MINIFS(Tareas!$H:$H,Tareas!$B:$B,"Sprint 1",Tareas!$C:$C,"Transversal")</f>
        <v>46265</v>
      </c>
      <c r="F33" s="34">
        <f>_xlfn.MAXIFS(Tareas!$I:$I,Tareas!$B:$B,"Sprint 1",Tareas!$C:$C,"Transversal")</f>
        <v>46276</v>
      </c>
      <c r="G33" s="6">
        <f t="shared" si="3"/>
        <v>10</v>
      </c>
      <c r="H33" s="8">
        <f>IFERROR(SUMIFS(Tareas!$L:$L,Tareas!$B:$B,"Sprint 1",Tareas!$C:$C,"Transversal")/SUMIFS(Tareas!$F:$F,Tareas!$B:$B,"Sprint 1",Tareas!$C:$C,"Transversal"),0)</f>
        <v>1</v>
      </c>
      <c r="I33" s="6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</row>
    <row r="34" spans="1:84" hidden="1" outlineLevel="2" x14ac:dyDescent="0.2">
      <c r="A34" s="35" t="s">
        <v>138</v>
      </c>
      <c r="B34" s="36" t="s">
        <v>139</v>
      </c>
      <c r="C34" s="35" t="s">
        <v>65</v>
      </c>
      <c r="D34" s="35" t="s">
        <v>97</v>
      </c>
      <c r="E34" s="37">
        <f>Tareas!H24</f>
        <v>46265</v>
      </c>
      <c r="F34" s="37">
        <f>Tareas!I24</f>
        <v>46269</v>
      </c>
      <c r="G34" s="35">
        <f t="shared" si="3"/>
        <v>5</v>
      </c>
      <c r="H34" s="38">
        <f>Tareas!K24</f>
        <v>1</v>
      </c>
      <c r="I34" s="35" t="str">
        <f>Tareas!J24</f>
        <v>Terminado</v>
      </c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</row>
    <row r="35" spans="1:84" hidden="1" outlineLevel="2" x14ac:dyDescent="0.2">
      <c r="A35" s="35" t="s">
        <v>140</v>
      </c>
      <c r="B35" s="36" t="s">
        <v>141</v>
      </c>
      <c r="C35" s="35" t="s">
        <v>65</v>
      </c>
      <c r="D35" s="35" t="s">
        <v>102</v>
      </c>
      <c r="E35" s="37">
        <f>Tareas!H25</f>
        <v>46265</v>
      </c>
      <c r="F35" s="37">
        <f>Tareas!I25</f>
        <v>46269</v>
      </c>
      <c r="G35" s="35">
        <f t="shared" si="3"/>
        <v>5</v>
      </c>
      <c r="H35" s="38">
        <f>Tareas!K25</f>
        <v>1</v>
      </c>
      <c r="I35" s="35" t="str">
        <f>Tareas!J25</f>
        <v>Terminado</v>
      </c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</row>
    <row r="36" spans="1:84" hidden="1" outlineLevel="2" x14ac:dyDescent="0.2">
      <c r="A36" s="35" t="s">
        <v>142</v>
      </c>
      <c r="B36" s="36" t="s">
        <v>143</v>
      </c>
      <c r="C36" s="35" t="s">
        <v>65</v>
      </c>
      <c r="D36" s="35" t="s">
        <v>97</v>
      </c>
      <c r="E36" s="37">
        <f>Tareas!H26</f>
        <v>46272</v>
      </c>
      <c r="F36" s="37">
        <f>Tareas!I26</f>
        <v>46276</v>
      </c>
      <c r="G36" s="35">
        <f t="shared" si="3"/>
        <v>5</v>
      </c>
      <c r="H36" s="38">
        <f>Tareas!K26</f>
        <v>1</v>
      </c>
      <c r="I36" s="35" t="str">
        <f>Tareas!J26</f>
        <v>Terminado</v>
      </c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</row>
    <row r="37" spans="1:84" hidden="1" outlineLevel="2" x14ac:dyDescent="0.2">
      <c r="A37" s="35" t="s">
        <v>144</v>
      </c>
      <c r="B37" s="36" t="s">
        <v>145</v>
      </c>
      <c r="C37" s="35" t="s">
        <v>65</v>
      </c>
      <c r="D37" s="35" t="s">
        <v>102</v>
      </c>
      <c r="E37" s="37">
        <f>Tareas!H27</f>
        <v>46272</v>
      </c>
      <c r="F37" s="37">
        <f>Tareas!I27</f>
        <v>46276</v>
      </c>
      <c r="G37" s="35">
        <f t="shared" si="3"/>
        <v>5</v>
      </c>
      <c r="H37" s="38">
        <f>Tareas!K27</f>
        <v>1</v>
      </c>
      <c r="I37" s="35" t="str">
        <f>Tareas!J27</f>
        <v>Terminado</v>
      </c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</row>
    <row r="38" spans="1:84" ht="25.5" x14ac:dyDescent="0.2">
      <c r="A38" s="4" t="s">
        <v>146</v>
      </c>
      <c r="B38" s="25" t="s">
        <v>147</v>
      </c>
      <c r="C38" s="4" t="s">
        <v>7</v>
      </c>
      <c r="D38" s="4" t="s">
        <v>148</v>
      </c>
      <c r="E38" s="26">
        <f>Resumen!C9</f>
        <v>46279</v>
      </c>
      <c r="F38" s="26">
        <f>Resumen!D9</f>
        <v>46290</v>
      </c>
      <c r="G38" s="4">
        <f t="shared" si="3"/>
        <v>9</v>
      </c>
      <c r="H38" s="11">
        <f>Resumen!L9</f>
        <v>1</v>
      </c>
      <c r="I38" s="4" t="str">
        <f ca="1">Resumen!Q9</f>
        <v>Cerrado</v>
      </c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</row>
    <row r="39" spans="1:84" outlineLevel="1" x14ac:dyDescent="0.2">
      <c r="A39" s="28"/>
      <c r="B39" s="29" t="s">
        <v>84</v>
      </c>
      <c r="C39" s="28" t="s">
        <v>85</v>
      </c>
      <c r="D39" s="28" t="s">
        <v>86</v>
      </c>
      <c r="E39" s="30"/>
      <c r="F39" s="30"/>
      <c r="G39" s="28"/>
      <c r="H39" s="31"/>
      <c r="I39" s="28"/>
      <c r="J39" s="32" t="str">
        <f>IF(J$6=Eventos!$C$11,"F",IF(J$6=Eventos!$C$10,"P",IF(J$6=Eventos!$C$12,"C",IF(J$6=Eventos!$C$13,"R",""))))</f>
        <v/>
      </c>
      <c r="K39" s="32" t="str">
        <f>IF(K$6=Eventos!$C$11,"F",IF(K$6=Eventos!$C$10,"P",IF(K$6=Eventos!$C$12,"C",IF(K$6=Eventos!$C$13,"R",""))))</f>
        <v/>
      </c>
      <c r="L39" s="32" t="str">
        <f>IF(L$6=Eventos!$C$11,"F",IF(L$6=Eventos!$C$10,"P",IF(L$6=Eventos!$C$12,"C",IF(L$6=Eventos!$C$13,"R",""))))</f>
        <v/>
      </c>
      <c r="M39" s="32" t="str">
        <f>IF(M$6=Eventos!$C$11,"F",IF(M$6=Eventos!$C$10,"P",IF(M$6=Eventos!$C$12,"C",IF(M$6=Eventos!$C$13,"R",""))))</f>
        <v/>
      </c>
      <c r="N39" s="32" t="str">
        <f>IF(N$6=Eventos!$C$11,"F",IF(N$6=Eventos!$C$10,"P",IF(N$6=Eventos!$C$12,"C",IF(N$6=Eventos!$C$13,"R",""))))</f>
        <v/>
      </c>
      <c r="O39" s="32" t="str">
        <f>IF(O$6=Eventos!$C$11,"F",IF(O$6=Eventos!$C$10,"P",IF(O$6=Eventos!$C$12,"C",IF(O$6=Eventos!$C$13,"R",""))))</f>
        <v/>
      </c>
      <c r="P39" s="32" t="str">
        <f>IF(P$6=Eventos!$C$11,"F",IF(P$6=Eventos!$C$10,"P",IF(P$6=Eventos!$C$12,"C",IF(P$6=Eventos!$C$13,"R",""))))</f>
        <v/>
      </c>
      <c r="Q39" s="32" t="str">
        <f>IF(Q$6=Eventos!$C$11,"F",IF(Q$6=Eventos!$C$10,"P",IF(Q$6=Eventos!$C$12,"C",IF(Q$6=Eventos!$C$13,"R",""))))</f>
        <v/>
      </c>
      <c r="R39" s="32" t="str">
        <f>IF(R$6=Eventos!$C$11,"F",IF(R$6=Eventos!$C$10,"P",IF(R$6=Eventos!$C$12,"C",IF(R$6=Eventos!$C$13,"R",""))))</f>
        <v/>
      </c>
      <c r="S39" s="32" t="str">
        <f>IF(S$6=Eventos!$C$11,"F",IF(S$6=Eventos!$C$10,"P",IF(S$6=Eventos!$C$12,"C",IF(S$6=Eventos!$C$13,"R",""))))</f>
        <v/>
      </c>
      <c r="T39" s="32" t="str">
        <f>IF(T$6=Eventos!$C$11,"F",IF(T$6=Eventos!$C$10,"P",IF(T$6=Eventos!$C$12,"C",IF(T$6=Eventos!$C$13,"R",""))))</f>
        <v>P</v>
      </c>
      <c r="U39" s="32" t="str">
        <f>IF(U$6=Eventos!$C$11,"F",IF(U$6=Eventos!$C$10,"P",IF(U$6=Eventos!$C$12,"C",IF(U$6=Eventos!$C$13,"R",""))))</f>
        <v/>
      </c>
      <c r="V39" s="32" t="str">
        <f>IF(V$6=Eventos!$C$11,"F",IF(V$6=Eventos!$C$10,"P",IF(V$6=Eventos!$C$12,"C",IF(V$6=Eventos!$C$13,"R",""))))</f>
        <v/>
      </c>
      <c r="W39" s="32" t="str">
        <f>IF(W$6=Eventos!$C$11,"F",IF(W$6=Eventos!$C$10,"P",IF(W$6=Eventos!$C$12,"C",IF(W$6=Eventos!$C$13,"R",""))))</f>
        <v/>
      </c>
      <c r="X39" s="32" t="str">
        <f>IF(X$6=Eventos!$C$11,"F",IF(X$6=Eventos!$C$10,"P",IF(X$6=Eventos!$C$12,"C",IF(X$6=Eventos!$C$13,"R",""))))</f>
        <v/>
      </c>
      <c r="Y39" s="32" t="str">
        <f>IF(Y$6=Eventos!$C$11,"F",IF(Y$6=Eventos!$C$10,"P",IF(Y$6=Eventos!$C$12,"C",IF(Y$6=Eventos!$C$13,"R",""))))</f>
        <v>F</v>
      </c>
      <c r="Z39" s="32" t="str">
        <f>IF(Z$6=Eventos!$C$11,"F",IF(Z$6=Eventos!$C$10,"P",IF(Z$6=Eventos!$C$12,"C",IF(Z$6=Eventos!$C$13,"R",""))))</f>
        <v/>
      </c>
      <c r="AA39" s="32" t="str">
        <f>IF(AA$6=Eventos!$C$11,"F",IF(AA$6=Eventos!$C$10,"P",IF(AA$6=Eventos!$C$12,"C",IF(AA$6=Eventos!$C$13,"R",""))))</f>
        <v/>
      </c>
      <c r="AB39" s="32" t="str">
        <f>IF(AB$6=Eventos!$C$11,"F",IF(AB$6=Eventos!$C$10,"P",IF(AB$6=Eventos!$C$12,"C",IF(AB$6=Eventos!$C$13,"R",""))))</f>
        <v>C</v>
      </c>
      <c r="AC39" s="32" t="str">
        <f>IF(AC$6=Eventos!$C$11,"F",IF(AC$6=Eventos!$C$10,"P",IF(AC$6=Eventos!$C$12,"C",IF(AC$6=Eventos!$C$13,"R",""))))</f>
        <v>R</v>
      </c>
      <c r="AD39" s="32" t="str">
        <f>IF(AD$6=Eventos!$C$11,"F",IF(AD$6=Eventos!$C$10,"P",IF(AD$6=Eventos!$C$12,"C",IF(AD$6=Eventos!$C$13,"R",""))))</f>
        <v/>
      </c>
      <c r="AE39" s="32" t="str">
        <f>IF(AE$6=Eventos!$C$11,"F",IF(AE$6=Eventos!$C$10,"P",IF(AE$6=Eventos!$C$12,"C",IF(AE$6=Eventos!$C$13,"R",""))))</f>
        <v/>
      </c>
      <c r="AF39" s="32" t="str">
        <f>IF(AF$6=Eventos!$C$11,"F",IF(AF$6=Eventos!$C$10,"P",IF(AF$6=Eventos!$C$12,"C",IF(AF$6=Eventos!$C$13,"R",""))))</f>
        <v/>
      </c>
      <c r="AG39" s="32" t="str">
        <f>IF(AG$6=Eventos!$C$11,"F",IF(AG$6=Eventos!$C$10,"P",IF(AG$6=Eventos!$C$12,"C",IF(AG$6=Eventos!$C$13,"R",""))))</f>
        <v/>
      </c>
      <c r="AH39" s="32" t="str">
        <f>IF(AH$6=Eventos!$C$11,"F",IF(AH$6=Eventos!$C$10,"P",IF(AH$6=Eventos!$C$12,"C",IF(AH$6=Eventos!$C$13,"R",""))))</f>
        <v/>
      </c>
      <c r="AI39" s="32" t="str">
        <f>IF(AI$6=Eventos!$C$11,"F",IF(AI$6=Eventos!$C$10,"P",IF(AI$6=Eventos!$C$12,"C",IF(AI$6=Eventos!$C$13,"R",""))))</f>
        <v/>
      </c>
      <c r="AJ39" s="32" t="str">
        <f>IF(AJ$6=Eventos!$C$11,"F",IF(AJ$6=Eventos!$C$10,"P",IF(AJ$6=Eventos!$C$12,"C",IF(AJ$6=Eventos!$C$13,"R",""))))</f>
        <v/>
      </c>
      <c r="AK39" s="32" t="str">
        <f>IF(AK$6=Eventos!$C$11,"F",IF(AK$6=Eventos!$C$10,"P",IF(AK$6=Eventos!$C$12,"C",IF(AK$6=Eventos!$C$13,"R",""))))</f>
        <v/>
      </c>
      <c r="AL39" s="32" t="str">
        <f>IF(AL$6=Eventos!$C$11,"F",IF(AL$6=Eventos!$C$10,"P",IF(AL$6=Eventos!$C$12,"C",IF(AL$6=Eventos!$C$13,"R",""))))</f>
        <v/>
      </c>
      <c r="AM39" s="32" t="str">
        <f>IF(AM$6=Eventos!$C$11,"F",IF(AM$6=Eventos!$C$10,"P",IF(AM$6=Eventos!$C$12,"C",IF(AM$6=Eventos!$C$13,"R",""))))</f>
        <v/>
      </c>
      <c r="AN39" s="32" t="str">
        <f>IF(AN$6=Eventos!$C$11,"F",IF(AN$6=Eventos!$C$10,"P",IF(AN$6=Eventos!$C$12,"C",IF(AN$6=Eventos!$C$13,"R",""))))</f>
        <v/>
      </c>
      <c r="AO39" s="32" t="str">
        <f>IF(AO$6=Eventos!$C$11,"F",IF(AO$6=Eventos!$C$10,"P",IF(AO$6=Eventos!$C$12,"C",IF(AO$6=Eventos!$C$13,"R",""))))</f>
        <v/>
      </c>
      <c r="AP39" s="32" t="str">
        <f>IF(AP$6=Eventos!$C$11,"F",IF(AP$6=Eventos!$C$10,"P",IF(AP$6=Eventos!$C$12,"C",IF(AP$6=Eventos!$C$13,"R",""))))</f>
        <v/>
      </c>
      <c r="AQ39" s="32" t="str">
        <f>IF(AQ$6=Eventos!$C$11,"F",IF(AQ$6=Eventos!$C$10,"P",IF(AQ$6=Eventos!$C$12,"C",IF(AQ$6=Eventos!$C$13,"R",""))))</f>
        <v/>
      </c>
      <c r="AR39" s="32" t="str">
        <f>IF(AR$6=Eventos!$C$11,"F",IF(AR$6=Eventos!$C$10,"P",IF(AR$6=Eventos!$C$12,"C",IF(AR$6=Eventos!$C$13,"R",""))))</f>
        <v/>
      </c>
      <c r="AS39" s="32" t="str">
        <f>IF(AS$6=Eventos!$C$11,"F",IF(AS$6=Eventos!$C$10,"P",IF(AS$6=Eventos!$C$12,"C",IF(AS$6=Eventos!$C$13,"R",""))))</f>
        <v/>
      </c>
      <c r="AT39" s="32" t="str">
        <f>IF(AT$6=Eventos!$C$11,"F",IF(AT$6=Eventos!$C$10,"P",IF(AT$6=Eventos!$C$12,"C",IF(AT$6=Eventos!$C$13,"R",""))))</f>
        <v/>
      </c>
      <c r="AU39" s="32" t="str">
        <f>IF(AU$6=Eventos!$C$11,"F",IF(AU$6=Eventos!$C$10,"P",IF(AU$6=Eventos!$C$12,"C",IF(AU$6=Eventos!$C$13,"R",""))))</f>
        <v/>
      </c>
      <c r="AV39" s="32" t="str">
        <f>IF(AV$6=Eventos!$C$11,"F",IF(AV$6=Eventos!$C$10,"P",IF(AV$6=Eventos!$C$12,"C",IF(AV$6=Eventos!$C$13,"R",""))))</f>
        <v/>
      </c>
      <c r="AW39" s="32" t="str">
        <f>IF(AW$6=Eventos!$C$11,"F",IF(AW$6=Eventos!$C$10,"P",IF(AW$6=Eventos!$C$12,"C",IF(AW$6=Eventos!$C$13,"R",""))))</f>
        <v/>
      </c>
      <c r="AX39" s="32" t="str">
        <f>IF(AX$6=Eventos!$C$11,"F",IF(AX$6=Eventos!$C$10,"P",IF(AX$6=Eventos!$C$12,"C",IF(AX$6=Eventos!$C$13,"R",""))))</f>
        <v/>
      </c>
      <c r="AY39" s="32" t="str">
        <f>IF(AY$6=Eventos!$C$11,"F",IF(AY$6=Eventos!$C$10,"P",IF(AY$6=Eventos!$C$12,"C",IF(AY$6=Eventos!$C$13,"R",""))))</f>
        <v/>
      </c>
      <c r="AZ39" s="32" t="str">
        <f>IF(AZ$6=Eventos!$C$11,"F",IF(AZ$6=Eventos!$C$10,"P",IF(AZ$6=Eventos!$C$12,"C",IF(AZ$6=Eventos!$C$13,"R",""))))</f>
        <v/>
      </c>
      <c r="BA39" s="32" t="str">
        <f>IF(BA$6=Eventos!$C$11,"F",IF(BA$6=Eventos!$C$10,"P",IF(BA$6=Eventos!$C$12,"C",IF(BA$6=Eventos!$C$13,"R",""))))</f>
        <v/>
      </c>
      <c r="BB39" s="32" t="str">
        <f>IF(BB$6=Eventos!$C$11,"F",IF(BB$6=Eventos!$C$10,"P",IF(BB$6=Eventos!$C$12,"C",IF(BB$6=Eventos!$C$13,"R",""))))</f>
        <v/>
      </c>
      <c r="BC39" s="32" t="str">
        <f>IF(BC$6=Eventos!$C$11,"F",IF(BC$6=Eventos!$C$10,"P",IF(BC$6=Eventos!$C$12,"C",IF(BC$6=Eventos!$C$13,"R",""))))</f>
        <v/>
      </c>
      <c r="BD39" s="32" t="str">
        <f>IF(BD$6=Eventos!$C$11,"F",IF(BD$6=Eventos!$C$10,"P",IF(BD$6=Eventos!$C$12,"C",IF(BD$6=Eventos!$C$13,"R",""))))</f>
        <v/>
      </c>
      <c r="BE39" s="32" t="str">
        <f>IF(BE$6=Eventos!$C$11,"F",IF(BE$6=Eventos!$C$10,"P",IF(BE$6=Eventos!$C$12,"C",IF(BE$6=Eventos!$C$13,"R",""))))</f>
        <v/>
      </c>
      <c r="BF39" s="32" t="str">
        <f>IF(BF$6=Eventos!$C$11,"F",IF(BF$6=Eventos!$C$10,"P",IF(BF$6=Eventos!$C$12,"C",IF(BF$6=Eventos!$C$13,"R",""))))</f>
        <v/>
      </c>
      <c r="BG39" s="32" t="str">
        <f>IF(BG$6=Eventos!$C$11,"F",IF(BG$6=Eventos!$C$10,"P",IF(BG$6=Eventos!$C$12,"C",IF(BG$6=Eventos!$C$13,"R",""))))</f>
        <v/>
      </c>
      <c r="BH39" s="32" t="str">
        <f>IF(BH$6=Eventos!$C$11,"F",IF(BH$6=Eventos!$C$10,"P",IF(BH$6=Eventos!$C$12,"C",IF(BH$6=Eventos!$C$13,"R",""))))</f>
        <v/>
      </c>
      <c r="BI39" s="32" t="str">
        <f>IF(BI$6=Eventos!$C$11,"F",IF(BI$6=Eventos!$C$10,"P",IF(BI$6=Eventos!$C$12,"C",IF(BI$6=Eventos!$C$13,"R",""))))</f>
        <v/>
      </c>
      <c r="BJ39" s="32" t="str">
        <f>IF(BJ$6=Eventos!$C$11,"F",IF(BJ$6=Eventos!$C$10,"P",IF(BJ$6=Eventos!$C$12,"C",IF(BJ$6=Eventos!$C$13,"R",""))))</f>
        <v/>
      </c>
      <c r="BK39" s="32" t="str">
        <f>IF(BK$6=Eventos!$C$11,"F",IF(BK$6=Eventos!$C$10,"P",IF(BK$6=Eventos!$C$12,"C",IF(BK$6=Eventos!$C$13,"R",""))))</f>
        <v/>
      </c>
      <c r="BL39" s="32" t="str">
        <f>IF(BL$6=Eventos!$C$11,"F",IF(BL$6=Eventos!$C$10,"P",IF(BL$6=Eventos!$C$12,"C",IF(BL$6=Eventos!$C$13,"R",""))))</f>
        <v/>
      </c>
      <c r="BM39" s="32" t="str">
        <f>IF(BM$6=Eventos!$C$11,"F",IF(BM$6=Eventos!$C$10,"P",IF(BM$6=Eventos!$C$12,"C",IF(BM$6=Eventos!$C$13,"R",""))))</f>
        <v/>
      </c>
      <c r="BN39" s="32" t="str">
        <f>IF(BN$6=Eventos!$C$11,"F",IF(BN$6=Eventos!$C$10,"P",IF(BN$6=Eventos!$C$12,"C",IF(BN$6=Eventos!$C$13,"R",""))))</f>
        <v/>
      </c>
      <c r="BO39" s="32" t="str">
        <f>IF(BO$6=Eventos!$C$11,"F",IF(BO$6=Eventos!$C$10,"P",IF(BO$6=Eventos!$C$12,"C",IF(BO$6=Eventos!$C$13,"R",""))))</f>
        <v/>
      </c>
      <c r="BP39" s="32" t="str">
        <f>IF(BP$6=Eventos!$C$11,"F",IF(BP$6=Eventos!$C$10,"P",IF(BP$6=Eventos!$C$12,"C",IF(BP$6=Eventos!$C$13,"R",""))))</f>
        <v/>
      </c>
      <c r="BQ39" s="32" t="str">
        <f>IF(BQ$6=Eventos!$C$11,"F",IF(BQ$6=Eventos!$C$10,"P",IF(BQ$6=Eventos!$C$12,"C",IF(BQ$6=Eventos!$C$13,"R",""))))</f>
        <v/>
      </c>
      <c r="BR39" s="32" t="str">
        <f>IF(BR$6=Eventos!$C$11,"F",IF(BR$6=Eventos!$C$10,"P",IF(BR$6=Eventos!$C$12,"C",IF(BR$6=Eventos!$C$13,"R",""))))</f>
        <v/>
      </c>
      <c r="BS39" s="32" t="str">
        <f>IF(BS$6=Eventos!$C$11,"F",IF(BS$6=Eventos!$C$10,"P",IF(BS$6=Eventos!$C$12,"C",IF(BS$6=Eventos!$C$13,"R",""))))</f>
        <v/>
      </c>
      <c r="BT39" s="32" t="str">
        <f>IF(BT$6=Eventos!$C$11,"F",IF(BT$6=Eventos!$C$10,"P",IF(BT$6=Eventos!$C$12,"C",IF(BT$6=Eventos!$C$13,"R",""))))</f>
        <v/>
      </c>
      <c r="BU39" s="32" t="str">
        <f>IF(BU$6=Eventos!$C$11,"F",IF(BU$6=Eventos!$C$10,"P",IF(BU$6=Eventos!$C$12,"C",IF(BU$6=Eventos!$C$13,"R",""))))</f>
        <v/>
      </c>
      <c r="BV39" s="32" t="str">
        <f>IF(BV$6=Eventos!$C$11,"F",IF(BV$6=Eventos!$C$10,"P",IF(BV$6=Eventos!$C$12,"C",IF(BV$6=Eventos!$C$13,"R",""))))</f>
        <v/>
      </c>
      <c r="BW39" s="32" t="str">
        <f>IF(BW$6=Eventos!$C$11,"F",IF(BW$6=Eventos!$C$10,"P",IF(BW$6=Eventos!$C$12,"C",IF(BW$6=Eventos!$C$13,"R",""))))</f>
        <v/>
      </c>
      <c r="BX39" s="32" t="str">
        <f>IF(BX$6=Eventos!$C$11,"F",IF(BX$6=Eventos!$C$10,"P",IF(BX$6=Eventos!$C$12,"C",IF(BX$6=Eventos!$C$13,"R",""))))</f>
        <v/>
      </c>
      <c r="BY39" s="32" t="str">
        <f>IF(BY$6=Eventos!$C$11,"F",IF(BY$6=Eventos!$C$10,"P",IF(BY$6=Eventos!$C$12,"C",IF(BY$6=Eventos!$C$13,"R",""))))</f>
        <v/>
      </c>
      <c r="BZ39" s="32" t="str">
        <f>IF(BZ$6=Eventos!$C$11,"F",IF(BZ$6=Eventos!$C$10,"P",IF(BZ$6=Eventos!$C$12,"C",IF(BZ$6=Eventos!$C$13,"R",""))))</f>
        <v/>
      </c>
      <c r="CA39" s="32" t="str">
        <f>IF(CA$6=Eventos!$C$11,"F",IF(CA$6=Eventos!$C$10,"P",IF(CA$6=Eventos!$C$12,"C",IF(CA$6=Eventos!$C$13,"R",""))))</f>
        <v/>
      </c>
      <c r="CB39" s="32" t="str">
        <f>IF(CB$6=Eventos!$C$11,"F",IF(CB$6=Eventos!$C$10,"P",IF(CB$6=Eventos!$C$12,"C",IF(CB$6=Eventos!$C$13,"R",""))))</f>
        <v/>
      </c>
      <c r="CC39" s="32" t="str">
        <f>IF(CC$6=Eventos!$C$11,"F",IF(CC$6=Eventos!$C$10,"P",IF(CC$6=Eventos!$C$12,"C",IF(CC$6=Eventos!$C$13,"R",""))))</f>
        <v/>
      </c>
      <c r="CD39" s="32" t="str">
        <f>IF(CD$6=Eventos!$C$11,"F",IF(CD$6=Eventos!$C$10,"P",IF(CD$6=Eventos!$C$12,"C",IF(CD$6=Eventos!$C$13,"R",""))))</f>
        <v/>
      </c>
      <c r="CE39" s="32" t="str">
        <f>IF(CE$6=Eventos!$C$11,"F",IF(CE$6=Eventos!$C$10,"P",IF(CE$6=Eventos!$C$12,"C",IF(CE$6=Eventos!$C$13,"R",""))))</f>
        <v/>
      </c>
      <c r="CF39" s="32" t="str">
        <f>IF(CF$6=Eventos!$C$11,"F",IF(CF$6=Eventos!$C$10,"P",IF(CF$6=Eventos!$C$12,"C",IF(CF$6=Eventos!$C$13,"R",""))))</f>
        <v/>
      </c>
    </row>
    <row r="40" spans="1:84" outlineLevel="1" x14ac:dyDescent="0.2">
      <c r="A40" s="6" t="s">
        <v>149</v>
      </c>
      <c r="B40" s="33" t="s">
        <v>150</v>
      </c>
      <c r="C40" s="6" t="s">
        <v>64</v>
      </c>
      <c r="D40" s="6" t="s">
        <v>151</v>
      </c>
      <c r="E40" s="34">
        <f>Historias!J9</f>
        <v>46279</v>
      </c>
      <c r="F40" s="34">
        <f>Historias!K9</f>
        <v>46283</v>
      </c>
      <c r="G40" s="6">
        <f t="shared" ref="G40:G66" si="4">NETWORKDAYS(E40,F40,Feriados)</f>
        <v>4</v>
      </c>
      <c r="H40" s="8">
        <f>Historias!N9</f>
        <v>1</v>
      </c>
      <c r="I40" s="6" t="str">
        <f>Historias!P9</f>
        <v>Terminada</v>
      </c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</row>
    <row r="41" spans="1:84" hidden="1" outlineLevel="2" x14ac:dyDescent="0.2">
      <c r="A41" s="35" t="s">
        <v>152</v>
      </c>
      <c r="B41" s="36" t="s">
        <v>153</v>
      </c>
      <c r="C41" s="35" t="s">
        <v>65</v>
      </c>
      <c r="D41" s="35" t="s">
        <v>92</v>
      </c>
      <c r="E41" s="37">
        <f>Tareas!H28</f>
        <v>46279</v>
      </c>
      <c r="F41" s="37">
        <f>Tareas!I28</f>
        <v>46283</v>
      </c>
      <c r="G41" s="35">
        <f t="shared" si="4"/>
        <v>4</v>
      </c>
      <c r="H41" s="38">
        <f>Tareas!K28</f>
        <v>1</v>
      </c>
      <c r="I41" s="35" t="str">
        <f>Tareas!J28</f>
        <v>Terminado</v>
      </c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</row>
    <row r="42" spans="1:84" hidden="1" outlineLevel="2" x14ac:dyDescent="0.2">
      <c r="A42" s="35" t="s">
        <v>154</v>
      </c>
      <c r="B42" s="36" t="s">
        <v>155</v>
      </c>
      <c r="C42" s="35" t="s">
        <v>65</v>
      </c>
      <c r="D42" s="35" t="s">
        <v>102</v>
      </c>
      <c r="E42" s="37">
        <f>Tareas!H29</f>
        <v>46279</v>
      </c>
      <c r="F42" s="37">
        <f>Tareas!I29</f>
        <v>46283</v>
      </c>
      <c r="G42" s="35">
        <f t="shared" si="4"/>
        <v>4</v>
      </c>
      <c r="H42" s="38">
        <f>Tareas!K29</f>
        <v>1</v>
      </c>
      <c r="I42" s="35" t="str">
        <f>Tareas!J29</f>
        <v>Terminado</v>
      </c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</row>
    <row r="43" spans="1:84" hidden="1" outlineLevel="2" x14ac:dyDescent="0.2">
      <c r="A43" s="35" t="s">
        <v>156</v>
      </c>
      <c r="B43" s="36" t="s">
        <v>157</v>
      </c>
      <c r="C43" s="35" t="s">
        <v>65</v>
      </c>
      <c r="D43" s="35" t="s">
        <v>92</v>
      </c>
      <c r="E43" s="37">
        <f>Tareas!H30</f>
        <v>46279</v>
      </c>
      <c r="F43" s="37">
        <f>Tareas!I30</f>
        <v>46283</v>
      </c>
      <c r="G43" s="35">
        <f t="shared" si="4"/>
        <v>4</v>
      </c>
      <c r="H43" s="38">
        <f>Tareas!K30</f>
        <v>1</v>
      </c>
      <c r="I43" s="35" t="str">
        <f>Tareas!J30</f>
        <v>Terminado</v>
      </c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</row>
    <row r="44" spans="1:84" hidden="1" outlineLevel="2" x14ac:dyDescent="0.2">
      <c r="A44" s="35" t="s">
        <v>158</v>
      </c>
      <c r="B44" s="36" t="s">
        <v>159</v>
      </c>
      <c r="C44" s="35" t="s">
        <v>65</v>
      </c>
      <c r="D44" s="35" t="s">
        <v>92</v>
      </c>
      <c r="E44" s="37">
        <f>Tareas!H31</f>
        <v>46279</v>
      </c>
      <c r="F44" s="37">
        <f>Tareas!I31</f>
        <v>46283</v>
      </c>
      <c r="G44" s="35">
        <f t="shared" si="4"/>
        <v>4</v>
      </c>
      <c r="H44" s="38">
        <f>Tareas!K31</f>
        <v>1</v>
      </c>
      <c r="I44" s="35" t="str">
        <f>Tareas!J31</f>
        <v>Terminado</v>
      </c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</row>
    <row r="45" spans="1:84" hidden="1" outlineLevel="2" x14ac:dyDescent="0.2">
      <c r="A45" s="35" t="s">
        <v>160</v>
      </c>
      <c r="B45" s="36" t="s">
        <v>161</v>
      </c>
      <c r="C45" s="35" t="s">
        <v>65</v>
      </c>
      <c r="D45" s="35" t="s">
        <v>97</v>
      </c>
      <c r="E45" s="37">
        <f>Tareas!H32</f>
        <v>46279</v>
      </c>
      <c r="F45" s="37">
        <f>Tareas!I32</f>
        <v>46283</v>
      </c>
      <c r="G45" s="35">
        <f t="shared" si="4"/>
        <v>4</v>
      </c>
      <c r="H45" s="38">
        <f>Tareas!K32</f>
        <v>1</v>
      </c>
      <c r="I45" s="35" t="str">
        <f>Tareas!J32</f>
        <v>Terminado</v>
      </c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</row>
    <row r="46" spans="1:84" outlineLevel="1" x14ac:dyDescent="0.2">
      <c r="A46" s="6" t="s">
        <v>162</v>
      </c>
      <c r="B46" s="33" t="s">
        <v>163</v>
      </c>
      <c r="C46" s="6" t="s">
        <v>64</v>
      </c>
      <c r="D46" s="6" t="s">
        <v>151</v>
      </c>
      <c r="E46" s="34">
        <f>Historias!J10</f>
        <v>46279</v>
      </c>
      <c r="F46" s="34">
        <f>Historias!K10</f>
        <v>46283</v>
      </c>
      <c r="G46" s="6">
        <f t="shared" si="4"/>
        <v>4</v>
      </c>
      <c r="H46" s="8">
        <f>Historias!N10</f>
        <v>1</v>
      </c>
      <c r="I46" s="6" t="str">
        <f>Historias!P10</f>
        <v>Terminada</v>
      </c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</row>
    <row r="47" spans="1:84" hidden="1" outlineLevel="2" x14ac:dyDescent="0.2">
      <c r="A47" s="35" t="s">
        <v>164</v>
      </c>
      <c r="B47" s="36" t="s">
        <v>165</v>
      </c>
      <c r="C47" s="35" t="s">
        <v>65</v>
      </c>
      <c r="D47" s="35" t="s">
        <v>102</v>
      </c>
      <c r="E47" s="37">
        <f>Tareas!H33</f>
        <v>46279</v>
      </c>
      <c r="F47" s="37">
        <f>Tareas!I33</f>
        <v>46283</v>
      </c>
      <c r="G47" s="35">
        <f t="shared" si="4"/>
        <v>4</v>
      </c>
      <c r="H47" s="38">
        <f>Tareas!K33</f>
        <v>1</v>
      </c>
      <c r="I47" s="35" t="str">
        <f>Tareas!J33</f>
        <v>Terminado</v>
      </c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</row>
    <row r="48" spans="1:84" hidden="1" outlineLevel="2" x14ac:dyDescent="0.2">
      <c r="A48" s="35" t="s">
        <v>166</v>
      </c>
      <c r="B48" s="36" t="s">
        <v>167</v>
      </c>
      <c r="C48" s="35" t="s">
        <v>65</v>
      </c>
      <c r="D48" s="35" t="s">
        <v>92</v>
      </c>
      <c r="E48" s="37">
        <f>Tareas!H34</f>
        <v>46279</v>
      </c>
      <c r="F48" s="37">
        <f>Tareas!I34</f>
        <v>46283</v>
      </c>
      <c r="G48" s="35">
        <f t="shared" si="4"/>
        <v>4</v>
      </c>
      <c r="H48" s="38">
        <f>Tareas!K34</f>
        <v>1</v>
      </c>
      <c r="I48" s="35" t="str">
        <f>Tareas!J34</f>
        <v>Terminado</v>
      </c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</row>
    <row r="49" spans="1:84" hidden="1" outlineLevel="2" x14ac:dyDescent="0.2">
      <c r="A49" s="35" t="s">
        <v>168</v>
      </c>
      <c r="B49" s="36" t="s">
        <v>169</v>
      </c>
      <c r="C49" s="35" t="s">
        <v>65</v>
      </c>
      <c r="D49" s="35" t="s">
        <v>97</v>
      </c>
      <c r="E49" s="37">
        <f>Tareas!H35</f>
        <v>46279</v>
      </c>
      <c r="F49" s="37">
        <f>Tareas!I35</f>
        <v>46283</v>
      </c>
      <c r="G49" s="35">
        <f t="shared" si="4"/>
        <v>4</v>
      </c>
      <c r="H49" s="38">
        <f>Tareas!K35</f>
        <v>1</v>
      </c>
      <c r="I49" s="35" t="str">
        <f>Tareas!J35</f>
        <v>Terminado</v>
      </c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</row>
    <row r="50" spans="1:84" hidden="1" outlineLevel="2" x14ac:dyDescent="0.2">
      <c r="A50" s="35" t="s">
        <v>170</v>
      </c>
      <c r="B50" s="36" t="s">
        <v>171</v>
      </c>
      <c r="C50" s="35" t="s">
        <v>65</v>
      </c>
      <c r="D50" s="35" t="s">
        <v>97</v>
      </c>
      <c r="E50" s="37">
        <f>Tareas!H36</f>
        <v>46279</v>
      </c>
      <c r="F50" s="37">
        <f>Tareas!I36</f>
        <v>46283</v>
      </c>
      <c r="G50" s="35">
        <f t="shared" si="4"/>
        <v>4</v>
      </c>
      <c r="H50" s="38">
        <f>Tareas!K36</f>
        <v>1</v>
      </c>
      <c r="I50" s="35" t="str">
        <f>Tareas!J36</f>
        <v>Terminado</v>
      </c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</row>
    <row r="51" spans="1:84" outlineLevel="1" x14ac:dyDescent="0.2">
      <c r="A51" s="6" t="s">
        <v>172</v>
      </c>
      <c r="B51" s="33" t="s">
        <v>173</v>
      </c>
      <c r="C51" s="6" t="s">
        <v>64</v>
      </c>
      <c r="D51" s="6" t="s">
        <v>151</v>
      </c>
      <c r="E51" s="34">
        <f>Historias!J11</f>
        <v>46286</v>
      </c>
      <c r="F51" s="34">
        <f>Historias!K11</f>
        <v>46290</v>
      </c>
      <c r="G51" s="6">
        <f t="shared" si="4"/>
        <v>5</v>
      </c>
      <c r="H51" s="8">
        <f>Historias!N11</f>
        <v>1</v>
      </c>
      <c r="I51" s="6" t="str">
        <f>Historias!P11</f>
        <v>Terminada</v>
      </c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</row>
    <row r="52" spans="1:84" hidden="1" outlineLevel="2" x14ac:dyDescent="0.2">
      <c r="A52" s="35" t="s">
        <v>174</v>
      </c>
      <c r="B52" s="36" t="s">
        <v>175</v>
      </c>
      <c r="C52" s="35" t="s">
        <v>65</v>
      </c>
      <c r="D52" s="35" t="s">
        <v>92</v>
      </c>
      <c r="E52" s="37">
        <f>Tareas!H37</f>
        <v>46286</v>
      </c>
      <c r="F52" s="37">
        <f>Tareas!I37</f>
        <v>46290</v>
      </c>
      <c r="G52" s="35">
        <f t="shared" si="4"/>
        <v>5</v>
      </c>
      <c r="H52" s="38">
        <f>Tareas!K37</f>
        <v>1</v>
      </c>
      <c r="I52" s="35" t="str">
        <f>Tareas!J37</f>
        <v>Terminado</v>
      </c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</row>
    <row r="53" spans="1:84" hidden="1" outlineLevel="2" x14ac:dyDescent="0.2">
      <c r="A53" s="35" t="s">
        <v>176</v>
      </c>
      <c r="B53" s="36" t="s">
        <v>177</v>
      </c>
      <c r="C53" s="35" t="s">
        <v>65</v>
      </c>
      <c r="D53" s="35" t="s">
        <v>102</v>
      </c>
      <c r="E53" s="37">
        <f>Tareas!H38</f>
        <v>46286</v>
      </c>
      <c r="F53" s="37">
        <f>Tareas!I38</f>
        <v>46290</v>
      </c>
      <c r="G53" s="35">
        <f t="shared" si="4"/>
        <v>5</v>
      </c>
      <c r="H53" s="38">
        <f>Tareas!K38</f>
        <v>1</v>
      </c>
      <c r="I53" s="35" t="str">
        <f>Tareas!J38</f>
        <v>Terminado</v>
      </c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</row>
    <row r="54" spans="1:84" hidden="1" outlineLevel="2" x14ac:dyDescent="0.2">
      <c r="A54" s="35" t="s">
        <v>178</v>
      </c>
      <c r="B54" s="36" t="s">
        <v>179</v>
      </c>
      <c r="C54" s="35" t="s">
        <v>65</v>
      </c>
      <c r="D54" s="35" t="s">
        <v>102</v>
      </c>
      <c r="E54" s="37">
        <f>Tareas!H39</f>
        <v>46286</v>
      </c>
      <c r="F54" s="37">
        <f>Tareas!I39</f>
        <v>46290</v>
      </c>
      <c r="G54" s="35">
        <f t="shared" si="4"/>
        <v>5</v>
      </c>
      <c r="H54" s="38">
        <f>Tareas!K39</f>
        <v>1</v>
      </c>
      <c r="I54" s="35" t="str">
        <f>Tareas!J39</f>
        <v>Terminado</v>
      </c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</row>
    <row r="55" spans="1:84" hidden="1" outlineLevel="2" x14ac:dyDescent="0.2">
      <c r="A55" s="35" t="s">
        <v>180</v>
      </c>
      <c r="B55" s="36" t="s">
        <v>181</v>
      </c>
      <c r="C55" s="35" t="s">
        <v>65</v>
      </c>
      <c r="D55" s="35" t="s">
        <v>97</v>
      </c>
      <c r="E55" s="37">
        <f>Tareas!H40</f>
        <v>46286</v>
      </c>
      <c r="F55" s="37">
        <f>Tareas!I40</f>
        <v>46290</v>
      </c>
      <c r="G55" s="35">
        <f t="shared" si="4"/>
        <v>5</v>
      </c>
      <c r="H55" s="38">
        <f>Tareas!K40</f>
        <v>1</v>
      </c>
      <c r="I55" s="35" t="str">
        <f>Tareas!J40</f>
        <v>Terminado</v>
      </c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</row>
    <row r="56" spans="1:84" outlineLevel="1" x14ac:dyDescent="0.2">
      <c r="A56" s="6" t="s">
        <v>182</v>
      </c>
      <c r="B56" s="33" t="s">
        <v>183</v>
      </c>
      <c r="C56" s="6" t="s">
        <v>64</v>
      </c>
      <c r="D56" s="6" t="s">
        <v>151</v>
      </c>
      <c r="E56" s="34">
        <f>Historias!J12</f>
        <v>46286</v>
      </c>
      <c r="F56" s="34">
        <f>Historias!K12</f>
        <v>46290</v>
      </c>
      <c r="G56" s="6">
        <f t="shared" si="4"/>
        <v>5</v>
      </c>
      <c r="H56" s="8">
        <f>Historias!N12</f>
        <v>1</v>
      </c>
      <c r="I56" s="6" t="str">
        <f>Historias!P12</f>
        <v>Terminada</v>
      </c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</row>
    <row r="57" spans="1:84" hidden="1" outlineLevel="2" x14ac:dyDescent="0.2">
      <c r="A57" s="35" t="s">
        <v>184</v>
      </c>
      <c r="B57" s="36" t="s">
        <v>185</v>
      </c>
      <c r="C57" s="35" t="s">
        <v>65</v>
      </c>
      <c r="D57" s="35" t="s">
        <v>97</v>
      </c>
      <c r="E57" s="37">
        <f>Tareas!H41</f>
        <v>46286</v>
      </c>
      <c r="F57" s="37">
        <f>Tareas!I41</f>
        <v>46290</v>
      </c>
      <c r="G57" s="35">
        <f t="shared" si="4"/>
        <v>5</v>
      </c>
      <c r="H57" s="38">
        <f>Tareas!K41</f>
        <v>1</v>
      </c>
      <c r="I57" s="35" t="str">
        <f>Tareas!J41</f>
        <v>Terminado</v>
      </c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</row>
    <row r="58" spans="1:84" hidden="1" outlineLevel="2" x14ac:dyDescent="0.2">
      <c r="A58" s="35" t="s">
        <v>186</v>
      </c>
      <c r="B58" s="36" t="s">
        <v>187</v>
      </c>
      <c r="C58" s="35" t="s">
        <v>65</v>
      </c>
      <c r="D58" s="35" t="s">
        <v>97</v>
      </c>
      <c r="E58" s="37">
        <f>Tareas!H42</f>
        <v>46286</v>
      </c>
      <c r="F58" s="37">
        <f>Tareas!I42</f>
        <v>46290</v>
      </c>
      <c r="G58" s="35">
        <f t="shared" si="4"/>
        <v>5</v>
      </c>
      <c r="H58" s="38">
        <f>Tareas!K42</f>
        <v>1</v>
      </c>
      <c r="I58" s="35" t="str">
        <f>Tareas!J42</f>
        <v>Terminado</v>
      </c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</row>
    <row r="59" spans="1:84" hidden="1" outlineLevel="2" x14ac:dyDescent="0.2">
      <c r="A59" s="35" t="s">
        <v>188</v>
      </c>
      <c r="B59" s="36" t="s">
        <v>189</v>
      </c>
      <c r="C59" s="35" t="s">
        <v>65</v>
      </c>
      <c r="D59" s="35" t="s">
        <v>92</v>
      </c>
      <c r="E59" s="37">
        <f>Tareas!H43</f>
        <v>46286</v>
      </c>
      <c r="F59" s="37">
        <f>Tareas!I43</f>
        <v>46290</v>
      </c>
      <c r="G59" s="35">
        <f t="shared" si="4"/>
        <v>5</v>
      </c>
      <c r="H59" s="38">
        <f>Tareas!K43</f>
        <v>1</v>
      </c>
      <c r="I59" s="35" t="str">
        <f>Tareas!J43</f>
        <v>Terminado</v>
      </c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</row>
    <row r="60" spans="1:84" hidden="1" outlineLevel="2" x14ac:dyDescent="0.2">
      <c r="A60" s="35" t="s">
        <v>190</v>
      </c>
      <c r="B60" s="36" t="s">
        <v>191</v>
      </c>
      <c r="C60" s="35" t="s">
        <v>65</v>
      </c>
      <c r="D60" s="35" t="s">
        <v>102</v>
      </c>
      <c r="E60" s="37">
        <f>Tareas!H44</f>
        <v>46286</v>
      </c>
      <c r="F60" s="37">
        <f>Tareas!I44</f>
        <v>46290</v>
      </c>
      <c r="G60" s="35">
        <f t="shared" si="4"/>
        <v>5</v>
      </c>
      <c r="H60" s="38">
        <f>Tareas!K44</f>
        <v>1</v>
      </c>
      <c r="I60" s="35" t="str">
        <f>Tareas!J44</f>
        <v>Terminado</v>
      </c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</row>
    <row r="61" spans="1:84" hidden="1" outlineLevel="2" x14ac:dyDescent="0.2">
      <c r="A61" s="35" t="s">
        <v>192</v>
      </c>
      <c r="B61" s="36" t="s">
        <v>193</v>
      </c>
      <c r="C61" s="35" t="s">
        <v>65</v>
      </c>
      <c r="D61" s="35" t="s">
        <v>92</v>
      </c>
      <c r="E61" s="37">
        <f>Tareas!H45</f>
        <v>46286</v>
      </c>
      <c r="F61" s="37">
        <f>Tareas!I45</f>
        <v>46290</v>
      </c>
      <c r="G61" s="35">
        <f t="shared" si="4"/>
        <v>5</v>
      </c>
      <c r="H61" s="38">
        <f>Tareas!K45</f>
        <v>1</v>
      </c>
      <c r="I61" s="35" t="str">
        <f>Tareas!J45</f>
        <v>Terminado</v>
      </c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</row>
    <row r="62" spans="1:84" outlineLevel="1" x14ac:dyDescent="0.2">
      <c r="A62" s="6"/>
      <c r="B62" s="33" t="s">
        <v>137</v>
      </c>
      <c r="C62" s="6" t="s">
        <v>64</v>
      </c>
      <c r="D62" s="6" t="s">
        <v>86</v>
      </c>
      <c r="E62" s="34">
        <f>_xlfn.MINIFS(Tareas!$H:$H,Tareas!$B:$B,"Sprint 2",Tareas!$C:$C,"Transversal")</f>
        <v>46286</v>
      </c>
      <c r="F62" s="34">
        <f>_xlfn.MAXIFS(Tareas!$I:$I,Tareas!$B:$B,"Sprint 2",Tareas!$C:$C,"Transversal")</f>
        <v>46290</v>
      </c>
      <c r="G62" s="6">
        <f t="shared" si="4"/>
        <v>5</v>
      </c>
      <c r="H62" s="8">
        <f>IFERROR(SUMIFS(Tareas!$L:$L,Tareas!$B:$B,"Sprint 2",Tareas!$C:$C,"Transversal")/SUMIFS(Tareas!$F:$F,Tareas!$B:$B,"Sprint 2",Tareas!$C:$C,"Transversal"),0)</f>
        <v>1</v>
      </c>
      <c r="I62" s="6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</row>
    <row r="63" spans="1:84" hidden="1" outlineLevel="2" x14ac:dyDescent="0.2">
      <c r="A63" s="35" t="s">
        <v>194</v>
      </c>
      <c r="B63" s="36" t="s">
        <v>195</v>
      </c>
      <c r="C63" s="35" t="s">
        <v>65</v>
      </c>
      <c r="D63" s="35" t="s">
        <v>102</v>
      </c>
      <c r="E63" s="37">
        <f>Tareas!H46</f>
        <v>46286</v>
      </c>
      <c r="F63" s="37">
        <f>Tareas!I46</f>
        <v>46290</v>
      </c>
      <c r="G63" s="35">
        <f t="shared" si="4"/>
        <v>5</v>
      </c>
      <c r="H63" s="38">
        <f>Tareas!K46</f>
        <v>1</v>
      </c>
      <c r="I63" s="35" t="str">
        <f>Tareas!J46</f>
        <v>Terminado</v>
      </c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  <c r="CF63" s="27"/>
    </row>
    <row r="64" spans="1:84" hidden="1" outlineLevel="2" x14ac:dyDescent="0.2">
      <c r="A64" s="35" t="s">
        <v>196</v>
      </c>
      <c r="B64" s="36" t="s">
        <v>197</v>
      </c>
      <c r="C64" s="35" t="s">
        <v>65</v>
      </c>
      <c r="D64" s="35" t="s">
        <v>92</v>
      </c>
      <c r="E64" s="37">
        <f>Tareas!H47</f>
        <v>46286</v>
      </c>
      <c r="F64" s="37">
        <f>Tareas!I47</f>
        <v>46290</v>
      </c>
      <c r="G64" s="35">
        <f t="shared" si="4"/>
        <v>5</v>
      </c>
      <c r="H64" s="38">
        <f>Tareas!K47</f>
        <v>1</v>
      </c>
      <c r="I64" s="35" t="str">
        <f>Tareas!J47</f>
        <v>Terminado</v>
      </c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  <c r="CF64" s="27"/>
    </row>
    <row r="65" spans="1:84" hidden="1" outlineLevel="2" x14ac:dyDescent="0.2">
      <c r="A65" s="35" t="s">
        <v>198</v>
      </c>
      <c r="B65" s="36" t="s">
        <v>145</v>
      </c>
      <c r="C65" s="35" t="s">
        <v>65</v>
      </c>
      <c r="D65" s="35" t="s">
        <v>97</v>
      </c>
      <c r="E65" s="37">
        <f>Tareas!H48</f>
        <v>46286</v>
      </c>
      <c r="F65" s="37">
        <f>Tareas!I48</f>
        <v>46290</v>
      </c>
      <c r="G65" s="35">
        <f t="shared" si="4"/>
        <v>5</v>
      </c>
      <c r="H65" s="38">
        <f>Tareas!K48</f>
        <v>1</v>
      </c>
      <c r="I65" s="35" t="str">
        <f>Tareas!J48</f>
        <v>Terminado</v>
      </c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</row>
    <row r="66" spans="1:84" ht="25.5" x14ac:dyDescent="0.2">
      <c r="A66" s="4" t="s">
        <v>199</v>
      </c>
      <c r="B66" s="25" t="s">
        <v>200</v>
      </c>
      <c r="C66" s="4" t="s">
        <v>7</v>
      </c>
      <c r="D66" s="4" t="s">
        <v>201</v>
      </c>
      <c r="E66" s="26">
        <f>Resumen!C10</f>
        <v>46293</v>
      </c>
      <c r="F66" s="26">
        <f>Resumen!D10</f>
        <v>46304</v>
      </c>
      <c r="G66" s="4">
        <f t="shared" si="4"/>
        <v>10</v>
      </c>
      <c r="H66" s="11">
        <f>Resumen!L10</f>
        <v>0.63559322033898302</v>
      </c>
      <c r="I66" s="4" t="str">
        <f ca="1">Resumen!Q10</f>
        <v>En curso</v>
      </c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  <c r="CF66" s="27"/>
    </row>
    <row r="67" spans="1:84" outlineLevel="1" x14ac:dyDescent="0.2">
      <c r="A67" s="28"/>
      <c r="B67" s="29" t="s">
        <v>84</v>
      </c>
      <c r="C67" s="28" t="s">
        <v>85</v>
      </c>
      <c r="D67" s="28" t="s">
        <v>86</v>
      </c>
      <c r="E67" s="30"/>
      <c r="F67" s="30"/>
      <c r="G67" s="28"/>
      <c r="H67" s="31"/>
      <c r="I67" s="28"/>
      <c r="J67" s="32" t="str">
        <f>IF(J$6=Eventos!$C$16,"F",IF(J$6=Eventos!$C$15,"P",IF(J$6=Eventos!$C$17,"C",IF(J$6=Eventos!$C$18,"R",""))))</f>
        <v/>
      </c>
      <c r="K67" s="32" t="str">
        <f>IF(K$6=Eventos!$C$16,"F",IF(K$6=Eventos!$C$15,"P",IF(K$6=Eventos!$C$17,"C",IF(K$6=Eventos!$C$18,"R",""))))</f>
        <v/>
      </c>
      <c r="L67" s="32" t="str">
        <f>IF(L$6=Eventos!$C$16,"F",IF(L$6=Eventos!$C$15,"P",IF(L$6=Eventos!$C$17,"C",IF(L$6=Eventos!$C$18,"R",""))))</f>
        <v/>
      </c>
      <c r="M67" s="32" t="str">
        <f>IF(M$6=Eventos!$C$16,"F",IF(M$6=Eventos!$C$15,"P",IF(M$6=Eventos!$C$17,"C",IF(M$6=Eventos!$C$18,"R",""))))</f>
        <v/>
      </c>
      <c r="N67" s="32" t="str">
        <f>IF(N$6=Eventos!$C$16,"F",IF(N$6=Eventos!$C$15,"P",IF(N$6=Eventos!$C$17,"C",IF(N$6=Eventos!$C$18,"R",""))))</f>
        <v/>
      </c>
      <c r="O67" s="32" t="str">
        <f>IF(O$6=Eventos!$C$16,"F",IF(O$6=Eventos!$C$15,"P",IF(O$6=Eventos!$C$17,"C",IF(O$6=Eventos!$C$18,"R",""))))</f>
        <v/>
      </c>
      <c r="P67" s="32" t="str">
        <f>IF(P$6=Eventos!$C$16,"F",IF(P$6=Eventos!$C$15,"P",IF(P$6=Eventos!$C$17,"C",IF(P$6=Eventos!$C$18,"R",""))))</f>
        <v/>
      </c>
      <c r="Q67" s="32" t="str">
        <f>IF(Q$6=Eventos!$C$16,"F",IF(Q$6=Eventos!$C$15,"P",IF(Q$6=Eventos!$C$17,"C",IF(Q$6=Eventos!$C$18,"R",""))))</f>
        <v/>
      </c>
      <c r="R67" s="32" t="str">
        <f>IF(R$6=Eventos!$C$16,"F",IF(R$6=Eventos!$C$15,"P",IF(R$6=Eventos!$C$17,"C",IF(R$6=Eventos!$C$18,"R",""))))</f>
        <v/>
      </c>
      <c r="S67" s="32" t="str">
        <f>IF(S$6=Eventos!$C$16,"F",IF(S$6=Eventos!$C$15,"P",IF(S$6=Eventos!$C$17,"C",IF(S$6=Eventos!$C$18,"R",""))))</f>
        <v/>
      </c>
      <c r="T67" s="32" t="str">
        <f>IF(T$6=Eventos!$C$16,"F",IF(T$6=Eventos!$C$15,"P",IF(T$6=Eventos!$C$17,"C",IF(T$6=Eventos!$C$18,"R",""))))</f>
        <v/>
      </c>
      <c r="U67" s="32" t="str">
        <f>IF(U$6=Eventos!$C$16,"F",IF(U$6=Eventos!$C$15,"P",IF(U$6=Eventos!$C$17,"C",IF(U$6=Eventos!$C$18,"R",""))))</f>
        <v/>
      </c>
      <c r="V67" s="32" t="str">
        <f>IF(V$6=Eventos!$C$16,"F",IF(V$6=Eventos!$C$15,"P",IF(V$6=Eventos!$C$17,"C",IF(V$6=Eventos!$C$18,"R",""))))</f>
        <v/>
      </c>
      <c r="W67" s="32" t="str">
        <f>IF(W$6=Eventos!$C$16,"F",IF(W$6=Eventos!$C$15,"P",IF(W$6=Eventos!$C$17,"C",IF(W$6=Eventos!$C$18,"R",""))))</f>
        <v/>
      </c>
      <c r="X67" s="32" t="str">
        <f>IF(X$6=Eventos!$C$16,"F",IF(X$6=Eventos!$C$15,"P",IF(X$6=Eventos!$C$17,"C",IF(X$6=Eventos!$C$18,"R",""))))</f>
        <v/>
      </c>
      <c r="Y67" s="32" t="str">
        <f>IF(Y$6=Eventos!$C$16,"F",IF(Y$6=Eventos!$C$15,"P",IF(Y$6=Eventos!$C$17,"C",IF(Y$6=Eventos!$C$18,"R",""))))</f>
        <v/>
      </c>
      <c r="Z67" s="32" t="str">
        <f>IF(Z$6=Eventos!$C$16,"F",IF(Z$6=Eventos!$C$15,"P",IF(Z$6=Eventos!$C$17,"C",IF(Z$6=Eventos!$C$18,"R",""))))</f>
        <v/>
      </c>
      <c r="AA67" s="32" t="str">
        <f>IF(AA$6=Eventos!$C$16,"F",IF(AA$6=Eventos!$C$15,"P",IF(AA$6=Eventos!$C$17,"C",IF(AA$6=Eventos!$C$18,"R",""))))</f>
        <v/>
      </c>
      <c r="AB67" s="32" t="str">
        <f>IF(AB$6=Eventos!$C$16,"F",IF(AB$6=Eventos!$C$15,"P",IF(AB$6=Eventos!$C$17,"C",IF(AB$6=Eventos!$C$18,"R",""))))</f>
        <v/>
      </c>
      <c r="AC67" s="32" t="str">
        <f>IF(AC$6=Eventos!$C$16,"F",IF(AC$6=Eventos!$C$15,"P",IF(AC$6=Eventos!$C$17,"C",IF(AC$6=Eventos!$C$18,"R",""))))</f>
        <v/>
      </c>
      <c r="AD67" s="32" t="str">
        <f>IF(AD$6=Eventos!$C$16,"F",IF(AD$6=Eventos!$C$15,"P",IF(AD$6=Eventos!$C$17,"C",IF(AD$6=Eventos!$C$18,"R",""))))</f>
        <v>P</v>
      </c>
      <c r="AE67" s="32" t="str">
        <f>IF(AE$6=Eventos!$C$16,"F",IF(AE$6=Eventos!$C$15,"P",IF(AE$6=Eventos!$C$17,"C",IF(AE$6=Eventos!$C$18,"R",""))))</f>
        <v/>
      </c>
      <c r="AF67" s="32" t="str">
        <f>IF(AF$6=Eventos!$C$16,"F",IF(AF$6=Eventos!$C$15,"P",IF(AF$6=Eventos!$C$17,"C",IF(AF$6=Eventos!$C$18,"R",""))))</f>
        <v/>
      </c>
      <c r="AG67" s="32" t="str">
        <f>IF(AG$6=Eventos!$C$16,"F",IF(AG$6=Eventos!$C$15,"P",IF(AG$6=Eventos!$C$17,"C",IF(AG$6=Eventos!$C$18,"R",""))))</f>
        <v/>
      </c>
      <c r="AH67" s="32" t="str">
        <f>IF(AH$6=Eventos!$C$16,"F",IF(AH$6=Eventos!$C$15,"P",IF(AH$6=Eventos!$C$17,"C",IF(AH$6=Eventos!$C$18,"R",""))))</f>
        <v/>
      </c>
      <c r="AI67" s="32" t="str">
        <f>IF(AI$6=Eventos!$C$16,"F",IF(AI$6=Eventos!$C$15,"P",IF(AI$6=Eventos!$C$17,"C",IF(AI$6=Eventos!$C$18,"R",""))))</f>
        <v>F</v>
      </c>
      <c r="AJ67" s="32" t="str">
        <f>IF(AJ$6=Eventos!$C$16,"F",IF(AJ$6=Eventos!$C$15,"P",IF(AJ$6=Eventos!$C$17,"C",IF(AJ$6=Eventos!$C$18,"R",""))))</f>
        <v/>
      </c>
      <c r="AK67" s="32" t="str">
        <f>IF(AK$6=Eventos!$C$16,"F",IF(AK$6=Eventos!$C$15,"P",IF(AK$6=Eventos!$C$17,"C",IF(AK$6=Eventos!$C$18,"R",""))))</f>
        <v/>
      </c>
      <c r="AL67" s="32" t="str">
        <f>IF(AL$6=Eventos!$C$16,"F",IF(AL$6=Eventos!$C$15,"P",IF(AL$6=Eventos!$C$17,"C",IF(AL$6=Eventos!$C$18,"R",""))))</f>
        <v>C</v>
      </c>
      <c r="AM67" s="32" t="str">
        <f>IF(AM$6=Eventos!$C$16,"F",IF(AM$6=Eventos!$C$15,"P",IF(AM$6=Eventos!$C$17,"C",IF(AM$6=Eventos!$C$18,"R",""))))</f>
        <v>R</v>
      </c>
      <c r="AN67" s="32" t="str">
        <f>IF(AN$6=Eventos!$C$16,"F",IF(AN$6=Eventos!$C$15,"P",IF(AN$6=Eventos!$C$17,"C",IF(AN$6=Eventos!$C$18,"R",""))))</f>
        <v/>
      </c>
      <c r="AO67" s="32" t="str">
        <f>IF(AO$6=Eventos!$C$16,"F",IF(AO$6=Eventos!$C$15,"P",IF(AO$6=Eventos!$C$17,"C",IF(AO$6=Eventos!$C$18,"R",""))))</f>
        <v/>
      </c>
      <c r="AP67" s="32" t="str">
        <f>IF(AP$6=Eventos!$C$16,"F",IF(AP$6=Eventos!$C$15,"P",IF(AP$6=Eventos!$C$17,"C",IF(AP$6=Eventos!$C$18,"R",""))))</f>
        <v/>
      </c>
      <c r="AQ67" s="32" t="str">
        <f>IF(AQ$6=Eventos!$C$16,"F",IF(AQ$6=Eventos!$C$15,"P",IF(AQ$6=Eventos!$C$17,"C",IF(AQ$6=Eventos!$C$18,"R",""))))</f>
        <v/>
      </c>
      <c r="AR67" s="32" t="str">
        <f>IF(AR$6=Eventos!$C$16,"F",IF(AR$6=Eventos!$C$15,"P",IF(AR$6=Eventos!$C$17,"C",IF(AR$6=Eventos!$C$18,"R",""))))</f>
        <v/>
      </c>
      <c r="AS67" s="32" t="str">
        <f>IF(AS$6=Eventos!$C$16,"F",IF(AS$6=Eventos!$C$15,"P",IF(AS$6=Eventos!$C$17,"C",IF(AS$6=Eventos!$C$18,"R",""))))</f>
        <v/>
      </c>
      <c r="AT67" s="32" t="str">
        <f>IF(AT$6=Eventos!$C$16,"F",IF(AT$6=Eventos!$C$15,"P",IF(AT$6=Eventos!$C$17,"C",IF(AT$6=Eventos!$C$18,"R",""))))</f>
        <v/>
      </c>
      <c r="AU67" s="32" t="str">
        <f>IF(AU$6=Eventos!$C$16,"F",IF(AU$6=Eventos!$C$15,"P",IF(AU$6=Eventos!$C$17,"C",IF(AU$6=Eventos!$C$18,"R",""))))</f>
        <v/>
      </c>
      <c r="AV67" s="32" t="str">
        <f>IF(AV$6=Eventos!$C$16,"F",IF(AV$6=Eventos!$C$15,"P",IF(AV$6=Eventos!$C$17,"C",IF(AV$6=Eventos!$C$18,"R",""))))</f>
        <v/>
      </c>
      <c r="AW67" s="32" t="str">
        <f>IF(AW$6=Eventos!$C$16,"F",IF(AW$6=Eventos!$C$15,"P",IF(AW$6=Eventos!$C$17,"C",IF(AW$6=Eventos!$C$18,"R",""))))</f>
        <v/>
      </c>
      <c r="AX67" s="32" t="str">
        <f>IF(AX$6=Eventos!$C$16,"F",IF(AX$6=Eventos!$C$15,"P",IF(AX$6=Eventos!$C$17,"C",IF(AX$6=Eventos!$C$18,"R",""))))</f>
        <v/>
      </c>
      <c r="AY67" s="32" t="str">
        <f>IF(AY$6=Eventos!$C$16,"F",IF(AY$6=Eventos!$C$15,"P",IF(AY$6=Eventos!$C$17,"C",IF(AY$6=Eventos!$C$18,"R",""))))</f>
        <v/>
      </c>
      <c r="AZ67" s="32" t="str">
        <f>IF(AZ$6=Eventos!$C$16,"F",IF(AZ$6=Eventos!$C$15,"P",IF(AZ$6=Eventos!$C$17,"C",IF(AZ$6=Eventos!$C$18,"R",""))))</f>
        <v/>
      </c>
      <c r="BA67" s="32" t="str">
        <f>IF(BA$6=Eventos!$C$16,"F",IF(BA$6=Eventos!$C$15,"P",IF(BA$6=Eventos!$C$17,"C",IF(BA$6=Eventos!$C$18,"R",""))))</f>
        <v/>
      </c>
      <c r="BB67" s="32" t="str">
        <f>IF(BB$6=Eventos!$C$16,"F",IF(BB$6=Eventos!$C$15,"P",IF(BB$6=Eventos!$C$17,"C",IF(BB$6=Eventos!$C$18,"R",""))))</f>
        <v/>
      </c>
      <c r="BC67" s="32" t="str">
        <f>IF(BC$6=Eventos!$C$16,"F",IF(BC$6=Eventos!$C$15,"P",IF(BC$6=Eventos!$C$17,"C",IF(BC$6=Eventos!$C$18,"R",""))))</f>
        <v/>
      </c>
      <c r="BD67" s="32" t="str">
        <f>IF(BD$6=Eventos!$C$16,"F",IF(BD$6=Eventos!$C$15,"P",IF(BD$6=Eventos!$C$17,"C",IF(BD$6=Eventos!$C$18,"R",""))))</f>
        <v/>
      </c>
      <c r="BE67" s="32" t="str">
        <f>IF(BE$6=Eventos!$C$16,"F",IF(BE$6=Eventos!$C$15,"P",IF(BE$6=Eventos!$C$17,"C",IF(BE$6=Eventos!$C$18,"R",""))))</f>
        <v/>
      </c>
      <c r="BF67" s="32" t="str">
        <f>IF(BF$6=Eventos!$C$16,"F",IF(BF$6=Eventos!$C$15,"P",IF(BF$6=Eventos!$C$17,"C",IF(BF$6=Eventos!$C$18,"R",""))))</f>
        <v/>
      </c>
      <c r="BG67" s="32" t="str">
        <f>IF(BG$6=Eventos!$C$16,"F",IF(BG$6=Eventos!$C$15,"P",IF(BG$6=Eventos!$C$17,"C",IF(BG$6=Eventos!$C$18,"R",""))))</f>
        <v/>
      </c>
      <c r="BH67" s="32" t="str">
        <f>IF(BH$6=Eventos!$C$16,"F",IF(BH$6=Eventos!$C$15,"P",IF(BH$6=Eventos!$C$17,"C",IF(BH$6=Eventos!$C$18,"R",""))))</f>
        <v/>
      </c>
      <c r="BI67" s="32" t="str">
        <f>IF(BI$6=Eventos!$C$16,"F",IF(BI$6=Eventos!$C$15,"P",IF(BI$6=Eventos!$C$17,"C",IF(BI$6=Eventos!$C$18,"R",""))))</f>
        <v/>
      </c>
      <c r="BJ67" s="32" t="str">
        <f>IF(BJ$6=Eventos!$C$16,"F",IF(BJ$6=Eventos!$C$15,"P",IF(BJ$6=Eventos!$C$17,"C",IF(BJ$6=Eventos!$C$18,"R",""))))</f>
        <v/>
      </c>
      <c r="BK67" s="32" t="str">
        <f>IF(BK$6=Eventos!$C$16,"F",IF(BK$6=Eventos!$C$15,"P",IF(BK$6=Eventos!$C$17,"C",IF(BK$6=Eventos!$C$18,"R",""))))</f>
        <v/>
      </c>
      <c r="BL67" s="32" t="str">
        <f>IF(BL$6=Eventos!$C$16,"F",IF(BL$6=Eventos!$C$15,"P",IF(BL$6=Eventos!$C$17,"C",IF(BL$6=Eventos!$C$18,"R",""))))</f>
        <v/>
      </c>
      <c r="BM67" s="32" t="str">
        <f>IF(BM$6=Eventos!$C$16,"F",IF(BM$6=Eventos!$C$15,"P",IF(BM$6=Eventos!$C$17,"C",IF(BM$6=Eventos!$C$18,"R",""))))</f>
        <v/>
      </c>
      <c r="BN67" s="32" t="str">
        <f>IF(BN$6=Eventos!$C$16,"F",IF(BN$6=Eventos!$C$15,"P",IF(BN$6=Eventos!$C$17,"C",IF(BN$6=Eventos!$C$18,"R",""))))</f>
        <v/>
      </c>
      <c r="BO67" s="32" t="str">
        <f>IF(BO$6=Eventos!$C$16,"F",IF(BO$6=Eventos!$C$15,"P",IF(BO$6=Eventos!$C$17,"C",IF(BO$6=Eventos!$C$18,"R",""))))</f>
        <v/>
      </c>
      <c r="BP67" s="32" t="str">
        <f>IF(BP$6=Eventos!$C$16,"F",IF(BP$6=Eventos!$C$15,"P",IF(BP$6=Eventos!$C$17,"C",IF(BP$6=Eventos!$C$18,"R",""))))</f>
        <v/>
      </c>
      <c r="BQ67" s="32" t="str">
        <f>IF(BQ$6=Eventos!$C$16,"F",IF(BQ$6=Eventos!$C$15,"P",IF(BQ$6=Eventos!$C$17,"C",IF(BQ$6=Eventos!$C$18,"R",""))))</f>
        <v/>
      </c>
      <c r="BR67" s="32" t="str">
        <f>IF(BR$6=Eventos!$C$16,"F",IF(BR$6=Eventos!$C$15,"P",IF(BR$6=Eventos!$C$17,"C",IF(BR$6=Eventos!$C$18,"R",""))))</f>
        <v/>
      </c>
      <c r="BS67" s="32" t="str">
        <f>IF(BS$6=Eventos!$C$16,"F",IF(BS$6=Eventos!$C$15,"P",IF(BS$6=Eventos!$C$17,"C",IF(BS$6=Eventos!$C$18,"R",""))))</f>
        <v/>
      </c>
      <c r="BT67" s="32" t="str">
        <f>IF(BT$6=Eventos!$C$16,"F",IF(BT$6=Eventos!$C$15,"P",IF(BT$6=Eventos!$C$17,"C",IF(BT$6=Eventos!$C$18,"R",""))))</f>
        <v/>
      </c>
      <c r="BU67" s="32" t="str">
        <f>IF(BU$6=Eventos!$C$16,"F",IF(BU$6=Eventos!$C$15,"P",IF(BU$6=Eventos!$C$17,"C",IF(BU$6=Eventos!$C$18,"R",""))))</f>
        <v/>
      </c>
      <c r="BV67" s="32" t="str">
        <f>IF(BV$6=Eventos!$C$16,"F",IF(BV$6=Eventos!$C$15,"P",IF(BV$6=Eventos!$C$17,"C",IF(BV$6=Eventos!$C$18,"R",""))))</f>
        <v/>
      </c>
      <c r="BW67" s="32" t="str">
        <f>IF(BW$6=Eventos!$C$16,"F",IF(BW$6=Eventos!$C$15,"P",IF(BW$6=Eventos!$C$17,"C",IF(BW$6=Eventos!$C$18,"R",""))))</f>
        <v/>
      </c>
      <c r="BX67" s="32" t="str">
        <f>IF(BX$6=Eventos!$C$16,"F",IF(BX$6=Eventos!$C$15,"P",IF(BX$6=Eventos!$C$17,"C",IF(BX$6=Eventos!$C$18,"R",""))))</f>
        <v/>
      </c>
      <c r="BY67" s="32" t="str">
        <f>IF(BY$6=Eventos!$C$16,"F",IF(BY$6=Eventos!$C$15,"P",IF(BY$6=Eventos!$C$17,"C",IF(BY$6=Eventos!$C$18,"R",""))))</f>
        <v/>
      </c>
      <c r="BZ67" s="32" t="str">
        <f>IF(BZ$6=Eventos!$C$16,"F",IF(BZ$6=Eventos!$C$15,"P",IF(BZ$6=Eventos!$C$17,"C",IF(BZ$6=Eventos!$C$18,"R",""))))</f>
        <v/>
      </c>
      <c r="CA67" s="32" t="str">
        <f>IF(CA$6=Eventos!$C$16,"F",IF(CA$6=Eventos!$C$15,"P",IF(CA$6=Eventos!$C$17,"C",IF(CA$6=Eventos!$C$18,"R",""))))</f>
        <v/>
      </c>
      <c r="CB67" s="32" t="str">
        <f>IF(CB$6=Eventos!$C$16,"F",IF(CB$6=Eventos!$C$15,"P",IF(CB$6=Eventos!$C$17,"C",IF(CB$6=Eventos!$C$18,"R",""))))</f>
        <v/>
      </c>
      <c r="CC67" s="32" t="str">
        <f>IF(CC$6=Eventos!$C$16,"F",IF(CC$6=Eventos!$C$15,"P",IF(CC$6=Eventos!$C$17,"C",IF(CC$6=Eventos!$C$18,"R",""))))</f>
        <v/>
      </c>
      <c r="CD67" s="32" t="str">
        <f>IF(CD$6=Eventos!$C$16,"F",IF(CD$6=Eventos!$C$15,"P",IF(CD$6=Eventos!$C$17,"C",IF(CD$6=Eventos!$C$18,"R",""))))</f>
        <v/>
      </c>
      <c r="CE67" s="32" t="str">
        <f>IF(CE$6=Eventos!$C$16,"F",IF(CE$6=Eventos!$C$15,"P",IF(CE$6=Eventos!$C$17,"C",IF(CE$6=Eventos!$C$18,"R",""))))</f>
        <v/>
      </c>
      <c r="CF67" s="32" t="str">
        <f>IF(CF$6=Eventos!$C$16,"F",IF(CF$6=Eventos!$C$15,"P",IF(CF$6=Eventos!$C$17,"C",IF(CF$6=Eventos!$C$18,"R",""))))</f>
        <v/>
      </c>
    </row>
    <row r="68" spans="1:84" outlineLevel="1" x14ac:dyDescent="0.2">
      <c r="A68" s="6" t="s">
        <v>202</v>
      </c>
      <c r="B68" s="33" t="s">
        <v>203</v>
      </c>
      <c r="C68" s="6" t="s">
        <v>64</v>
      </c>
      <c r="D68" s="6" t="s">
        <v>204</v>
      </c>
      <c r="E68" s="34">
        <f>Historias!J13</f>
        <v>46293</v>
      </c>
      <c r="F68" s="34">
        <f>Historias!K13</f>
        <v>46297</v>
      </c>
      <c r="G68" s="6">
        <f t="shared" ref="G68:G97" si="5">NETWORKDAYS(E68,F68,Feriados)</f>
        <v>5</v>
      </c>
      <c r="H68" s="8">
        <f>Historias!N13</f>
        <v>1</v>
      </c>
      <c r="I68" s="6" t="str">
        <f>Historias!P13</f>
        <v>Por aceptar</v>
      </c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</row>
    <row r="69" spans="1:84" hidden="1" outlineLevel="2" x14ac:dyDescent="0.2">
      <c r="A69" s="35" t="s">
        <v>205</v>
      </c>
      <c r="B69" s="36" t="s">
        <v>206</v>
      </c>
      <c r="C69" s="35" t="s">
        <v>65</v>
      </c>
      <c r="D69" s="35" t="s">
        <v>97</v>
      </c>
      <c r="E69" s="37">
        <f>Tareas!H49</f>
        <v>46293</v>
      </c>
      <c r="F69" s="37">
        <f>Tareas!I49</f>
        <v>46297</v>
      </c>
      <c r="G69" s="35">
        <f t="shared" si="5"/>
        <v>5</v>
      </c>
      <c r="H69" s="38">
        <f>Tareas!K49</f>
        <v>1</v>
      </c>
      <c r="I69" s="35" t="str">
        <f>Tareas!J49</f>
        <v>Terminado</v>
      </c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  <c r="CF69" s="27"/>
    </row>
    <row r="70" spans="1:84" hidden="1" outlineLevel="2" x14ac:dyDescent="0.2">
      <c r="A70" s="35" t="s">
        <v>207</v>
      </c>
      <c r="B70" s="36" t="s">
        <v>208</v>
      </c>
      <c r="C70" s="35" t="s">
        <v>65</v>
      </c>
      <c r="D70" s="35" t="s">
        <v>97</v>
      </c>
      <c r="E70" s="37">
        <f>Tareas!H50</f>
        <v>46293</v>
      </c>
      <c r="F70" s="37">
        <f>Tareas!I50</f>
        <v>46297</v>
      </c>
      <c r="G70" s="35">
        <f t="shared" si="5"/>
        <v>5</v>
      </c>
      <c r="H70" s="38">
        <f>Tareas!K50</f>
        <v>1</v>
      </c>
      <c r="I70" s="35" t="str">
        <f>Tareas!J50</f>
        <v>Terminado</v>
      </c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  <c r="CF70" s="27"/>
    </row>
    <row r="71" spans="1:84" hidden="1" outlineLevel="2" x14ac:dyDescent="0.2">
      <c r="A71" s="35" t="s">
        <v>209</v>
      </c>
      <c r="B71" s="36" t="s">
        <v>210</v>
      </c>
      <c r="C71" s="35" t="s">
        <v>65</v>
      </c>
      <c r="D71" s="35" t="s">
        <v>92</v>
      </c>
      <c r="E71" s="37">
        <f>Tareas!H51</f>
        <v>46293</v>
      </c>
      <c r="F71" s="37">
        <f>Tareas!I51</f>
        <v>46297</v>
      </c>
      <c r="G71" s="35">
        <f t="shared" si="5"/>
        <v>5</v>
      </c>
      <c r="H71" s="38">
        <f>Tareas!K51</f>
        <v>1</v>
      </c>
      <c r="I71" s="35" t="str">
        <f>Tareas!J51</f>
        <v>Terminado</v>
      </c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  <c r="CF71" s="27"/>
    </row>
    <row r="72" spans="1:84" hidden="1" outlineLevel="2" x14ac:dyDescent="0.2">
      <c r="A72" s="35" t="s">
        <v>211</v>
      </c>
      <c r="B72" s="36" t="s">
        <v>212</v>
      </c>
      <c r="C72" s="35" t="s">
        <v>65</v>
      </c>
      <c r="D72" s="35" t="s">
        <v>92</v>
      </c>
      <c r="E72" s="37">
        <f>Tareas!H52</f>
        <v>46293</v>
      </c>
      <c r="F72" s="37">
        <f>Tareas!I52</f>
        <v>46297</v>
      </c>
      <c r="G72" s="35">
        <f t="shared" si="5"/>
        <v>5</v>
      </c>
      <c r="H72" s="38">
        <f>Tareas!K52</f>
        <v>1</v>
      </c>
      <c r="I72" s="35" t="str">
        <f>Tareas!J52</f>
        <v>Terminado</v>
      </c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</row>
    <row r="73" spans="1:84" hidden="1" outlineLevel="2" x14ac:dyDescent="0.2">
      <c r="A73" s="35" t="s">
        <v>213</v>
      </c>
      <c r="B73" s="36" t="s">
        <v>214</v>
      </c>
      <c r="C73" s="35" t="s">
        <v>65</v>
      </c>
      <c r="D73" s="35" t="s">
        <v>92</v>
      </c>
      <c r="E73" s="37">
        <f>Tareas!H53</f>
        <v>46293</v>
      </c>
      <c r="F73" s="37">
        <f>Tareas!I53</f>
        <v>46297</v>
      </c>
      <c r="G73" s="35">
        <f t="shared" si="5"/>
        <v>5</v>
      </c>
      <c r="H73" s="38">
        <f>Tareas!K53</f>
        <v>1</v>
      </c>
      <c r="I73" s="35" t="str">
        <f>Tareas!J53</f>
        <v>Terminado</v>
      </c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  <c r="CF73" s="27"/>
    </row>
    <row r="74" spans="1:84" hidden="1" outlineLevel="2" x14ac:dyDescent="0.2">
      <c r="A74" s="35" t="s">
        <v>215</v>
      </c>
      <c r="B74" s="36" t="s">
        <v>216</v>
      </c>
      <c r="C74" s="35" t="s">
        <v>65</v>
      </c>
      <c r="D74" s="35" t="s">
        <v>92</v>
      </c>
      <c r="E74" s="37">
        <f>Tareas!H54</f>
        <v>46293</v>
      </c>
      <c r="F74" s="37">
        <f>Tareas!I54</f>
        <v>46297</v>
      </c>
      <c r="G74" s="35">
        <f t="shared" si="5"/>
        <v>5</v>
      </c>
      <c r="H74" s="38">
        <f>Tareas!K54</f>
        <v>1</v>
      </c>
      <c r="I74" s="35" t="str">
        <f>Tareas!J54</f>
        <v>Terminado</v>
      </c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  <c r="CF74" s="27"/>
    </row>
    <row r="75" spans="1:84" outlineLevel="1" x14ac:dyDescent="0.2">
      <c r="A75" s="6" t="s">
        <v>217</v>
      </c>
      <c r="B75" s="33" t="s">
        <v>218</v>
      </c>
      <c r="C75" s="6" t="s">
        <v>64</v>
      </c>
      <c r="D75" s="6" t="s">
        <v>219</v>
      </c>
      <c r="E75" s="34">
        <f>Historias!J14</f>
        <v>46293</v>
      </c>
      <c r="F75" s="34">
        <f>Historias!K14</f>
        <v>46297</v>
      </c>
      <c r="G75" s="6">
        <f t="shared" si="5"/>
        <v>5</v>
      </c>
      <c r="H75" s="8">
        <f>Historias!N14</f>
        <v>1</v>
      </c>
      <c r="I75" s="6" t="str">
        <f>Historias!P14</f>
        <v>Por aceptar</v>
      </c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  <c r="CF75" s="27"/>
    </row>
    <row r="76" spans="1:84" hidden="1" outlineLevel="2" x14ac:dyDescent="0.2">
      <c r="A76" s="35" t="s">
        <v>220</v>
      </c>
      <c r="B76" s="36" t="s">
        <v>221</v>
      </c>
      <c r="C76" s="35" t="s">
        <v>65</v>
      </c>
      <c r="D76" s="35" t="s">
        <v>97</v>
      </c>
      <c r="E76" s="37">
        <f>Tareas!H55</f>
        <v>46293</v>
      </c>
      <c r="F76" s="37">
        <f>Tareas!I55</f>
        <v>46297</v>
      </c>
      <c r="G76" s="35">
        <f t="shared" si="5"/>
        <v>5</v>
      </c>
      <c r="H76" s="38">
        <f>Tareas!K55</f>
        <v>1</v>
      </c>
      <c r="I76" s="35" t="str">
        <f>Tareas!J55</f>
        <v>Terminado</v>
      </c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  <c r="CF76" s="27"/>
    </row>
    <row r="77" spans="1:84" hidden="1" outlineLevel="2" x14ac:dyDescent="0.2">
      <c r="A77" s="35" t="s">
        <v>222</v>
      </c>
      <c r="B77" s="36" t="s">
        <v>223</v>
      </c>
      <c r="C77" s="35" t="s">
        <v>65</v>
      </c>
      <c r="D77" s="35" t="s">
        <v>102</v>
      </c>
      <c r="E77" s="37">
        <f>Tareas!H56</f>
        <v>46293</v>
      </c>
      <c r="F77" s="37">
        <f>Tareas!I56</f>
        <v>46297</v>
      </c>
      <c r="G77" s="35">
        <f t="shared" si="5"/>
        <v>5</v>
      </c>
      <c r="H77" s="38">
        <f>Tareas!K56</f>
        <v>1</v>
      </c>
      <c r="I77" s="35" t="str">
        <f>Tareas!J56</f>
        <v>Terminado</v>
      </c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</row>
    <row r="78" spans="1:84" hidden="1" outlineLevel="2" x14ac:dyDescent="0.2">
      <c r="A78" s="35" t="s">
        <v>224</v>
      </c>
      <c r="B78" s="36" t="s">
        <v>225</v>
      </c>
      <c r="C78" s="35" t="s">
        <v>65</v>
      </c>
      <c r="D78" s="35" t="s">
        <v>102</v>
      </c>
      <c r="E78" s="37">
        <f>Tareas!H57</f>
        <v>46293</v>
      </c>
      <c r="F78" s="37">
        <f>Tareas!I57</f>
        <v>46297</v>
      </c>
      <c r="G78" s="35">
        <f t="shared" si="5"/>
        <v>5</v>
      </c>
      <c r="H78" s="38">
        <f>Tareas!K57</f>
        <v>1</v>
      </c>
      <c r="I78" s="35" t="str">
        <f>Tareas!J57</f>
        <v>Terminado</v>
      </c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  <c r="CF78" s="27"/>
    </row>
    <row r="79" spans="1:84" hidden="1" outlineLevel="2" x14ac:dyDescent="0.2">
      <c r="A79" s="35" t="s">
        <v>226</v>
      </c>
      <c r="B79" s="36" t="s">
        <v>227</v>
      </c>
      <c r="C79" s="35" t="s">
        <v>65</v>
      </c>
      <c r="D79" s="35" t="s">
        <v>102</v>
      </c>
      <c r="E79" s="37">
        <f>Tareas!H58</f>
        <v>46293</v>
      </c>
      <c r="F79" s="37">
        <f>Tareas!I58</f>
        <v>46297</v>
      </c>
      <c r="G79" s="35">
        <f t="shared" si="5"/>
        <v>5</v>
      </c>
      <c r="H79" s="38">
        <f>Tareas!K58</f>
        <v>1</v>
      </c>
      <c r="I79" s="35" t="str">
        <f>Tareas!J58</f>
        <v>Terminado</v>
      </c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  <c r="CF79" s="27"/>
    </row>
    <row r="80" spans="1:84" hidden="1" outlineLevel="2" x14ac:dyDescent="0.2">
      <c r="A80" s="35" t="s">
        <v>228</v>
      </c>
      <c r="B80" s="36" t="s">
        <v>229</v>
      </c>
      <c r="C80" s="35" t="s">
        <v>65</v>
      </c>
      <c r="D80" s="35" t="s">
        <v>92</v>
      </c>
      <c r="E80" s="37">
        <f>Tareas!H59</f>
        <v>46293</v>
      </c>
      <c r="F80" s="37">
        <f>Tareas!I59</f>
        <v>46297</v>
      </c>
      <c r="G80" s="35">
        <f t="shared" si="5"/>
        <v>5</v>
      </c>
      <c r="H80" s="38">
        <f>Tareas!K59</f>
        <v>1</v>
      </c>
      <c r="I80" s="35" t="str">
        <f>Tareas!J59</f>
        <v>Terminado</v>
      </c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  <c r="CF80" s="27"/>
    </row>
    <row r="81" spans="1:84" outlineLevel="1" x14ac:dyDescent="0.2">
      <c r="A81" s="6" t="s">
        <v>230</v>
      </c>
      <c r="B81" s="33" t="s">
        <v>231</v>
      </c>
      <c r="C81" s="6" t="s">
        <v>64</v>
      </c>
      <c r="D81" s="6" t="s">
        <v>232</v>
      </c>
      <c r="E81" s="34">
        <f>Historias!J15</f>
        <v>46300</v>
      </c>
      <c r="F81" s="34">
        <f>Historias!K15</f>
        <v>46304</v>
      </c>
      <c r="G81" s="6">
        <f t="shared" si="5"/>
        <v>5</v>
      </c>
      <c r="H81" s="8">
        <f>Historias!N15</f>
        <v>0.42857142857142855</v>
      </c>
      <c r="I81" s="6" t="str">
        <f>Historias!P15</f>
        <v>En curso</v>
      </c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  <c r="CF81" s="27"/>
    </row>
    <row r="82" spans="1:84" hidden="1" outlineLevel="2" x14ac:dyDescent="0.2">
      <c r="A82" s="35" t="s">
        <v>233</v>
      </c>
      <c r="B82" s="36" t="s">
        <v>234</v>
      </c>
      <c r="C82" s="35" t="s">
        <v>65</v>
      </c>
      <c r="D82" s="35" t="s">
        <v>97</v>
      </c>
      <c r="E82" s="37">
        <f>Tareas!H60</f>
        <v>46300</v>
      </c>
      <c r="F82" s="37">
        <f>Tareas!I60</f>
        <v>46304</v>
      </c>
      <c r="G82" s="35">
        <f t="shared" si="5"/>
        <v>5</v>
      </c>
      <c r="H82" s="38">
        <f>Tareas!K60</f>
        <v>0.5</v>
      </c>
      <c r="I82" s="35" t="str">
        <f>Tareas!J60</f>
        <v>En curso</v>
      </c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  <c r="CF82" s="27"/>
    </row>
    <row r="83" spans="1:84" hidden="1" outlineLevel="2" x14ac:dyDescent="0.2">
      <c r="A83" s="35" t="s">
        <v>235</v>
      </c>
      <c r="B83" s="36" t="s">
        <v>236</v>
      </c>
      <c r="C83" s="35" t="s">
        <v>65</v>
      </c>
      <c r="D83" s="35" t="s">
        <v>102</v>
      </c>
      <c r="E83" s="37">
        <f>Tareas!H61</f>
        <v>46300</v>
      </c>
      <c r="F83" s="37">
        <f>Tareas!I61</f>
        <v>46304</v>
      </c>
      <c r="G83" s="35">
        <f t="shared" si="5"/>
        <v>5</v>
      </c>
      <c r="H83" s="38">
        <f>Tareas!K61</f>
        <v>0.5</v>
      </c>
      <c r="I83" s="35" t="str">
        <f>Tareas!J61</f>
        <v>En curso</v>
      </c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  <c r="CF83" s="27"/>
    </row>
    <row r="84" spans="1:84" hidden="1" outlineLevel="2" x14ac:dyDescent="0.2">
      <c r="A84" s="35" t="s">
        <v>237</v>
      </c>
      <c r="B84" s="36" t="s">
        <v>238</v>
      </c>
      <c r="C84" s="35" t="s">
        <v>65</v>
      </c>
      <c r="D84" s="35" t="s">
        <v>97</v>
      </c>
      <c r="E84" s="37">
        <f>Tareas!H62</f>
        <v>46300</v>
      </c>
      <c r="F84" s="37">
        <f>Tareas!I62</f>
        <v>46304</v>
      </c>
      <c r="G84" s="35">
        <f t="shared" si="5"/>
        <v>5</v>
      </c>
      <c r="H84" s="38">
        <f>Tareas!K62</f>
        <v>0.5</v>
      </c>
      <c r="I84" s="35" t="str">
        <f>Tareas!J62</f>
        <v>En curso</v>
      </c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  <c r="CF84" s="27"/>
    </row>
    <row r="85" spans="1:84" hidden="1" outlineLevel="2" x14ac:dyDescent="0.2">
      <c r="A85" s="35" t="s">
        <v>239</v>
      </c>
      <c r="B85" s="36" t="s">
        <v>240</v>
      </c>
      <c r="C85" s="35" t="s">
        <v>65</v>
      </c>
      <c r="D85" s="35" t="s">
        <v>97</v>
      </c>
      <c r="E85" s="37">
        <f>Tareas!H63</f>
        <v>46300</v>
      </c>
      <c r="F85" s="37">
        <f>Tareas!I63</f>
        <v>46304</v>
      </c>
      <c r="G85" s="35">
        <f t="shared" si="5"/>
        <v>5</v>
      </c>
      <c r="H85" s="38">
        <f>Tareas!K63</f>
        <v>0.5</v>
      </c>
      <c r="I85" s="35" t="str">
        <f>Tareas!J63</f>
        <v>En curso</v>
      </c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  <c r="CF85" s="27"/>
    </row>
    <row r="86" spans="1:84" hidden="1" outlineLevel="2" x14ac:dyDescent="0.2">
      <c r="A86" s="35" t="s">
        <v>241</v>
      </c>
      <c r="B86" s="36" t="s">
        <v>242</v>
      </c>
      <c r="C86" s="35" t="s">
        <v>65</v>
      </c>
      <c r="D86" s="35" t="s">
        <v>92</v>
      </c>
      <c r="E86" s="37">
        <f>Tareas!H64</f>
        <v>46300</v>
      </c>
      <c r="F86" s="37">
        <f>Tareas!I64</f>
        <v>46304</v>
      </c>
      <c r="G86" s="35">
        <f t="shared" si="5"/>
        <v>5</v>
      </c>
      <c r="H86" s="38">
        <f>Tareas!K64</f>
        <v>0</v>
      </c>
      <c r="I86" s="35" t="str">
        <f>Tareas!J64</f>
        <v>Por hacer</v>
      </c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  <c r="CF86" s="27"/>
    </row>
    <row r="87" spans="1:84" outlineLevel="1" x14ac:dyDescent="0.2">
      <c r="A87" s="6" t="s">
        <v>243</v>
      </c>
      <c r="B87" s="33" t="s">
        <v>244</v>
      </c>
      <c r="C87" s="6" t="s">
        <v>64</v>
      </c>
      <c r="D87" s="6" t="s">
        <v>151</v>
      </c>
      <c r="E87" s="34">
        <f>Historias!J16</f>
        <v>46300</v>
      </c>
      <c r="F87" s="34">
        <f>Historias!K16</f>
        <v>46304</v>
      </c>
      <c r="G87" s="6">
        <f t="shared" si="5"/>
        <v>5</v>
      </c>
      <c r="H87" s="8">
        <f>Historias!N16</f>
        <v>0.3888888888888889</v>
      </c>
      <c r="I87" s="6" t="str">
        <f>Historias!P16</f>
        <v>En curso</v>
      </c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  <c r="CF87" s="27"/>
    </row>
    <row r="88" spans="1:84" hidden="1" outlineLevel="2" x14ac:dyDescent="0.2">
      <c r="A88" s="35" t="s">
        <v>245</v>
      </c>
      <c r="B88" s="36" t="s">
        <v>246</v>
      </c>
      <c r="C88" s="35" t="s">
        <v>65</v>
      </c>
      <c r="D88" s="35" t="s">
        <v>92</v>
      </c>
      <c r="E88" s="37">
        <f>Tareas!H65</f>
        <v>46300</v>
      </c>
      <c r="F88" s="37">
        <f>Tareas!I65</f>
        <v>46304</v>
      </c>
      <c r="G88" s="35">
        <f t="shared" si="5"/>
        <v>5</v>
      </c>
      <c r="H88" s="38">
        <f>Tareas!K65</f>
        <v>0.5</v>
      </c>
      <c r="I88" s="35" t="str">
        <f>Tareas!J65</f>
        <v>En curso</v>
      </c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  <c r="CF88" s="27"/>
    </row>
    <row r="89" spans="1:84" hidden="1" outlineLevel="2" x14ac:dyDescent="0.2">
      <c r="A89" s="35" t="s">
        <v>247</v>
      </c>
      <c r="B89" s="36" t="s">
        <v>248</v>
      </c>
      <c r="C89" s="35" t="s">
        <v>65</v>
      </c>
      <c r="D89" s="35" t="s">
        <v>102</v>
      </c>
      <c r="E89" s="37">
        <f>Tareas!H66</f>
        <v>46300</v>
      </c>
      <c r="F89" s="37">
        <f>Tareas!I66</f>
        <v>46304</v>
      </c>
      <c r="G89" s="35">
        <f t="shared" si="5"/>
        <v>5</v>
      </c>
      <c r="H89" s="38">
        <f>Tareas!K66</f>
        <v>0.5</v>
      </c>
      <c r="I89" s="35" t="str">
        <f>Tareas!J66</f>
        <v>En curso</v>
      </c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  <c r="CF89" s="27"/>
    </row>
    <row r="90" spans="1:84" hidden="1" outlineLevel="2" x14ac:dyDescent="0.2">
      <c r="A90" s="35" t="s">
        <v>249</v>
      </c>
      <c r="B90" s="36" t="s">
        <v>250</v>
      </c>
      <c r="C90" s="35" t="s">
        <v>65</v>
      </c>
      <c r="D90" s="35" t="s">
        <v>102</v>
      </c>
      <c r="E90" s="37">
        <f>Tareas!H67</f>
        <v>46300</v>
      </c>
      <c r="F90" s="37">
        <f>Tareas!I67</f>
        <v>46304</v>
      </c>
      <c r="G90" s="35">
        <f t="shared" si="5"/>
        <v>5</v>
      </c>
      <c r="H90" s="38">
        <f>Tareas!K67</f>
        <v>0.5</v>
      </c>
      <c r="I90" s="35" t="str">
        <f>Tareas!J67</f>
        <v>En curso</v>
      </c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  <c r="CF90" s="27"/>
    </row>
    <row r="91" spans="1:84" hidden="1" outlineLevel="2" x14ac:dyDescent="0.2">
      <c r="A91" s="35" t="s">
        <v>251</v>
      </c>
      <c r="B91" s="36" t="s">
        <v>252</v>
      </c>
      <c r="C91" s="35" t="s">
        <v>65</v>
      </c>
      <c r="D91" s="35" t="s">
        <v>97</v>
      </c>
      <c r="E91" s="37">
        <f>Tareas!H68</f>
        <v>46300</v>
      </c>
      <c r="F91" s="37">
        <f>Tareas!I68</f>
        <v>46304</v>
      </c>
      <c r="G91" s="35">
        <f t="shared" si="5"/>
        <v>5</v>
      </c>
      <c r="H91" s="38">
        <f>Tareas!K68</f>
        <v>0</v>
      </c>
      <c r="I91" s="35" t="str">
        <f>Tareas!J68</f>
        <v>Por hacer</v>
      </c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  <c r="CF91" s="27"/>
    </row>
    <row r="92" spans="1:84" outlineLevel="1" x14ac:dyDescent="0.2">
      <c r="A92" s="6"/>
      <c r="B92" s="33" t="s">
        <v>137</v>
      </c>
      <c r="C92" s="6" t="s">
        <v>64</v>
      </c>
      <c r="D92" s="6" t="s">
        <v>86</v>
      </c>
      <c r="E92" s="34">
        <f>_xlfn.MINIFS(Tareas!$H:$H,Tareas!$B:$B,"Sprint 3",Tareas!$C:$C,"Transversal")</f>
        <v>46300</v>
      </c>
      <c r="F92" s="34">
        <f>_xlfn.MAXIFS(Tareas!$I:$I,Tareas!$B:$B,"Sprint 3",Tareas!$C:$C,"Transversal")</f>
        <v>46304</v>
      </c>
      <c r="G92" s="6">
        <f t="shared" si="5"/>
        <v>5</v>
      </c>
      <c r="H92" s="8">
        <f>IFERROR(SUMIFS(Tareas!$L:$L,Tareas!$B:$B,"Sprint 3",Tareas!$C:$C,"Transversal")/SUMIFS(Tareas!$F:$F,Tareas!$B:$B,"Sprint 3",Tareas!$C:$C,"Transversal"),0)</f>
        <v>0</v>
      </c>
      <c r="I92" s="6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  <c r="CF92" s="27"/>
    </row>
    <row r="93" spans="1:84" hidden="1" outlineLevel="2" x14ac:dyDescent="0.2">
      <c r="A93" s="35" t="s">
        <v>253</v>
      </c>
      <c r="B93" s="36" t="s">
        <v>254</v>
      </c>
      <c r="C93" s="35" t="s">
        <v>65</v>
      </c>
      <c r="D93" s="35" t="s">
        <v>92</v>
      </c>
      <c r="E93" s="37">
        <f>Tareas!H69</f>
        <v>46300</v>
      </c>
      <c r="F93" s="37">
        <f>Tareas!I69</f>
        <v>46304</v>
      </c>
      <c r="G93" s="35">
        <f t="shared" si="5"/>
        <v>5</v>
      </c>
      <c r="H93" s="38">
        <f>Tareas!K69</f>
        <v>0</v>
      </c>
      <c r="I93" s="35" t="str">
        <f>Tareas!J69</f>
        <v>Por hacer</v>
      </c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</row>
    <row r="94" spans="1:84" hidden="1" outlineLevel="2" x14ac:dyDescent="0.2">
      <c r="A94" s="35" t="s">
        <v>255</v>
      </c>
      <c r="B94" s="36" t="s">
        <v>256</v>
      </c>
      <c r="C94" s="35" t="s">
        <v>65</v>
      </c>
      <c r="D94" s="35" t="s">
        <v>97</v>
      </c>
      <c r="E94" s="37">
        <f>Tareas!H70</f>
        <v>46300</v>
      </c>
      <c r="F94" s="37">
        <f>Tareas!I70</f>
        <v>46304</v>
      </c>
      <c r="G94" s="35">
        <f t="shared" si="5"/>
        <v>5</v>
      </c>
      <c r="H94" s="38">
        <f>Tareas!K70</f>
        <v>0</v>
      </c>
      <c r="I94" s="35" t="str">
        <f>Tareas!J70</f>
        <v>Por hacer</v>
      </c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</row>
    <row r="95" spans="1:84" hidden="1" outlineLevel="2" x14ac:dyDescent="0.2">
      <c r="A95" s="35" t="s">
        <v>257</v>
      </c>
      <c r="B95" s="36" t="s">
        <v>258</v>
      </c>
      <c r="C95" s="35" t="s">
        <v>65</v>
      </c>
      <c r="D95" s="35" t="s">
        <v>102</v>
      </c>
      <c r="E95" s="37">
        <f>Tareas!H71</f>
        <v>46300</v>
      </c>
      <c r="F95" s="37">
        <f>Tareas!I71</f>
        <v>46304</v>
      </c>
      <c r="G95" s="35">
        <f t="shared" si="5"/>
        <v>5</v>
      </c>
      <c r="H95" s="38">
        <f>Tareas!K71</f>
        <v>0</v>
      </c>
      <c r="I95" s="35" t="str">
        <f>Tareas!J71</f>
        <v>Por hacer</v>
      </c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</row>
    <row r="96" spans="1:84" hidden="1" outlineLevel="2" x14ac:dyDescent="0.2">
      <c r="A96" s="35" t="s">
        <v>259</v>
      </c>
      <c r="B96" s="36" t="s">
        <v>145</v>
      </c>
      <c r="C96" s="35" t="s">
        <v>65</v>
      </c>
      <c r="D96" s="35" t="s">
        <v>92</v>
      </c>
      <c r="E96" s="37">
        <f>Tareas!H72</f>
        <v>46300</v>
      </c>
      <c r="F96" s="37">
        <f>Tareas!I72</f>
        <v>46304</v>
      </c>
      <c r="G96" s="35">
        <f t="shared" si="5"/>
        <v>5</v>
      </c>
      <c r="H96" s="38">
        <f>Tareas!K72</f>
        <v>0</v>
      </c>
      <c r="I96" s="35" t="str">
        <f>Tareas!J72</f>
        <v>Por hacer</v>
      </c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</row>
    <row r="97" spans="1:84" x14ac:dyDescent="0.2">
      <c r="A97" s="4" t="s">
        <v>260</v>
      </c>
      <c r="B97" s="25" t="s">
        <v>261</v>
      </c>
      <c r="C97" s="4" t="s">
        <v>7</v>
      </c>
      <c r="D97" s="4" t="s">
        <v>83</v>
      </c>
      <c r="E97" s="26">
        <f>Resumen!C11</f>
        <v>46308</v>
      </c>
      <c r="F97" s="26">
        <f>Resumen!D11</f>
        <v>46318</v>
      </c>
      <c r="G97" s="4">
        <f t="shared" si="5"/>
        <v>9</v>
      </c>
      <c r="H97" s="11">
        <f>Resumen!L11</f>
        <v>0</v>
      </c>
      <c r="I97" s="4" t="str">
        <f ca="1">Resumen!Q11</f>
        <v>Planificado</v>
      </c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</row>
    <row r="98" spans="1:84" outlineLevel="1" x14ac:dyDescent="0.2">
      <c r="A98" s="28"/>
      <c r="B98" s="29" t="s">
        <v>84</v>
      </c>
      <c r="C98" s="28" t="s">
        <v>85</v>
      </c>
      <c r="D98" s="28" t="s">
        <v>86</v>
      </c>
      <c r="E98" s="30"/>
      <c r="F98" s="30"/>
      <c r="G98" s="28"/>
      <c r="H98" s="31"/>
      <c r="I98" s="28"/>
      <c r="J98" s="32" t="str">
        <f>IF(J$6=Eventos!$C$21,"F",IF(J$6=Eventos!$C$20,"P",IF(J$6=Eventos!$C$22,"C",IF(J$6=Eventos!$C$23,"R",""))))</f>
        <v/>
      </c>
      <c r="K98" s="32" t="str">
        <f>IF(K$6=Eventos!$C$21,"F",IF(K$6=Eventos!$C$20,"P",IF(K$6=Eventos!$C$22,"C",IF(K$6=Eventos!$C$23,"R",""))))</f>
        <v/>
      </c>
      <c r="L98" s="32" t="str">
        <f>IF(L$6=Eventos!$C$21,"F",IF(L$6=Eventos!$C$20,"P",IF(L$6=Eventos!$C$22,"C",IF(L$6=Eventos!$C$23,"R",""))))</f>
        <v/>
      </c>
      <c r="M98" s="32" t="str">
        <f>IF(M$6=Eventos!$C$21,"F",IF(M$6=Eventos!$C$20,"P",IF(M$6=Eventos!$C$22,"C",IF(M$6=Eventos!$C$23,"R",""))))</f>
        <v/>
      </c>
      <c r="N98" s="32" t="str">
        <f>IF(N$6=Eventos!$C$21,"F",IF(N$6=Eventos!$C$20,"P",IF(N$6=Eventos!$C$22,"C",IF(N$6=Eventos!$C$23,"R",""))))</f>
        <v/>
      </c>
      <c r="O98" s="32" t="str">
        <f>IF(O$6=Eventos!$C$21,"F",IF(O$6=Eventos!$C$20,"P",IF(O$6=Eventos!$C$22,"C",IF(O$6=Eventos!$C$23,"R",""))))</f>
        <v/>
      </c>
      <c r="P98" s="32" t="str">
        <f>IF(P$6=Eventos!$C$21,"F",IF(P$6=Eventos!$C$20,"P",IF(P$6=Eventos!$C$22,"C",IF(P$6=Eventos!$C$23,"R",""))))</f>
        <v/>
      </c>
      <c r="Q98" s="32" t="str">
        <f>IF(Q$6=Eventos!$C$21,"F",IF(Q$6=Eventos!$C$20,"P",IF(Q$6=Eventos!$C$22,"C",IF(Q$6=Eventos!$C$23,"R",""))))</f>
        <v/>
      </c>
      <c r="R98" s="32" t="str">
        <f>IF(R$6=Eventos!$C$21,"F",IF(R$6=Eventos!$C$20,"P",IF(R$6=Eventos!$C$22,"C",IF(R$6=Eventos!$C$23,"R",""))))</f>
        <v/>
      </c>
      <c r="S98" s="32" t="str">
        <f>IF(S$6=Eventos!$C$21,"F",IF(S$6=Eventos!$C$20,"P",IF(S$6=Eventos!$C$22,"C",IF(S$6=Eventos!$C$23,"R",""))))</f>
        <v/>
      </c>
      <c r="T98" s="32" t="str">
        <f>IF(T$6=Eventos!$C$21,"F",IF(T$6=Eventos!$C$20,"P",IF(T$6=Eventos!$C$22,"C",IF(T$6=Eventos!$C$23,"R",""))))</f>
        <v/>
      </c>
      <c r="U98" s="32" t="str">
        <f>IF(U$6=Eventos!$C$21,"F",IF(U$6=Eventos!$C$20,"P",IF(U$6=Eventos!$C$22,"C",IF(U$6=Eventos!$C$23,"R",""))))</f>
        <v/>
      </c>
      <c r="V98" s="32" t="str">
        <f>IF(V$6=Eventos!$C$21,"F",IF(V$6=Eventos!$C$20,"P",IF(V$6=Eventos!$C$22,"C",IF(V$6=Eventos!$C$23,"R",""))))</f>
        <v/>
      </c>
      <c r="W98" s="32" t="str">
        <f>IF(W$6=Eventos!$C$21,"F",IF(W$6=Eventos!$C$20,"P",IF(W$6=Eventos!$C$22,"C",IF(W$6=Eventos!$C$23,"R",""))))</f>
        <v/>
      </c>
      <c r="X98" s="32" t="str">
        <f>IF(X$6=Eventos!$C$21,"F",IF(X$6=Eventos!$C$20,"P",IF(X$6=Eventos!$C$22,"C",IF(X$6=Eventos!$C$23,"R",""))))</f>
        <v/>
      </c>
      <c r="Y98" s="32" t="str">
        <f>IF(Y$6=Eventos!$C$21,"F",IF(Y$6=Eventos!$C$20,"P",IF(Y$6=Eventos!$C$22,"C",IF(Y$6=Eventos!$C$23,"R",""))))</f>
        <v/>
      </c>
      <c r="Z98" s="32" t="str">
        <f>IF(Z$6=Eventos!$C$21,"F",IF(Z$6=Eventos!$C$20,"P",IF(Z$6=Eventos!$C$22,"C",IF(Z$6=Eventos!$C$23,"R",""))))</f>
        <v/>
      </c>
      <c r="AA98" s="32" t="str">
        <f>IF(AA$6=Eventos!$C$21,"F",IF(AA$6=Eventos!$C$20,"P",IF(AA$6=Eventos!$C$22,"C",IF(AA$6=Eventos!$C$23,"R",""))))</f>
        <v/>
      </c>
      <c r="AB98" s="32" t="str">
        <f>IF(AB$6=Eventos!$C$21,"F",IF(AB$6=Eventos!$C$20,"P",IF(AB$6=Eventos!$C$22,"C",IF(AB$6=Eventos!$C$23,"R",""))))</f>
        <v/>
      </c>
      <c r="AC98" s="32" t="str">
        <f>IF(AC$6=Eventos!$C$21,"F",IF(AC$6=Eventos!$C$20,"P",IF(AC$6=Eventos!$C$22,"C",IF(AC$6=Eventos!$C$23,"R",""))))</f>
        <v/>
      </c>
      <c r="AD98" s="32" t="str">
        <f>IF(AD$6=Eventos!$C$21,"F",IF(AD$6=Eventos!$C$20,"P",IF(AD$6=Eventos!$C$22,"C",IF(AD$6=Eventos!$C$23,"R",""))))</f>
        <v/>
      </c>
      <c r="AE98" s="32" t="str">
        <f>IF(AE$6=Eventos!$C$21,"F",IF(AE$6=Eventos!$C$20,"P",IF(AE$6=Eventos!$C$22,"C",IF(AE$6=Eventos!$C$23,"R",""))))</f>
        <v/>
      </c>
      <c r="AF98" s="32" t="str">
        <f>IF(AF$6=Eventos!$C$21,"F",IF(AF$6=Eventos!$C$20,"P",IF(AF$6=Eventos!$C$22,"C",IF(AF$6=Eventos!$C$23,"R",""))))</f>
        <v/>
      </c>
      <c r="AG98" s="32" t="str">
        <f>IF(AG$6=Eventos!$C$21,"F",IF(AG$6=Eventos!$C$20,"P",IF(AG$6=Eventos!$C$22,"C",IF(AG$6=Eventos!$C$23,"R",""))))</f>
        <v/>
      </c>
      <c r="AH98" s="32" t="str">
        <f>IF(AH$6=Eventos!$C$21,"F",IF(AH$6=Eventos!$C$20,"P",IF(AH$6=Eventos!$C$22,"C",IF(AH$6=Eventos!$C$23,"R",""))))</f>
        <v/>
      </c>
      <c r="AI98" s="32" t="str">
        <f>IF(AI$6=Eventos!$C$21,"F",IF(AI$6=Eventos!$C$20,"P",IF(AI$6=Eventos!$C$22,"C",IF(AI$6=Eventos!$C$23,"R",""))))</f>
        <v/>
      </c>
      <c r="AJ98" s="32" t="str">
        <f>IF(AJ$6=Eventos!$C$21,"F",IF(AJ$6=Eventos!$C$20,"P",IF(AJ$6=Eventos!$C$22,"C",IF(AJ$6=Eventos!$C$23,"R",""))))</f>
        <v/>
      </c>
      <c r="AK98" s="32" t="str">
        <f>IF(AK$6=Eventos!$C$21,"F",IF(AK$6=Eventos!$C$20,"P",IF(AK$6=Eventos!$C$22,"C",IF(AK$6=Eventos!$C$23,"R",""))))</f>
        <v/>
      </c>
      <c r="AL98" s="32" t="str">
        <f>IF(AL$6=Eventos!$C$21,"F",IF(AL$6=Eventos!$C$20,"P",IF(AL$6=Eventos!$C$22,"C",IF(AL$6=Eventos!$C$23,"R",""))))</f>
        <v/>
      </c>
      <c r="AM98" s="32" t="str">
        <f>IF(AM$6=Eventos!$C$21,"F",IF(AM$6=Eventos!$C$20,"P",IF(AM$6=Eventos!$C$22,"C",IF(AM$6=Eventos!$C$23,"R",""))))</f>
        <v/>
      </c>
      <c r="AN98" s="32" t="str">
        <f>IF(AN$6=Eventos!$C$21,"F",IF(AN$6=Eventos!$C$20,"P",IF(AN$6=Eventos!$C$22,"C",IF(AN$6=Eventos!$C$23,"R",""))))</f>
        <v/>
      </c>
      <c r="AO98" s="32" t="str">
        <f>IF(AO$6=Eventos!$C$21,"F",IF(AO$6=Eventos!$C$20,"P",IF(AO$6=Eventos!$C$22,"C",IF(AO$6=Eventos!$C$23,"R",""))))</f>
        <v>P</v>
      </c>
      <c r="AP98" s="32" t="str">
        <f>IF(AP$6=Eventos!$C$21,"F",IF(AP$6=Eventos!$C$20,"P",IF(AP$6=Eventos!$C$22,"C",IF(AP$6=Eventos!$C$23,"R",""))))</f>
        <v/>
      </c>
      <c r="AQ98" s="32" t="str">
        <f>IF(AQ$6=Eventos!$C$21,"F",IF(AQ$6=Eventos!$C$20,"P",IF(AQ$6=Eventos!$C$22,"C",IF(AQ$6=Eventos!$C$23,"R",""))))</f>
        <v/>
      </c>
      <c r="AR98" s="32" t="str">
        <f>IF(AR$6=Eventos!$C$21,"F",IF(AR$6=Eventos!$C$20,"P",IF(AR$6=Eventos!$C$22,"C",IF(AR$6=Eventos!$C$23,"R",""))))</f>
        <v/>
      </c>
      <c r="AS98" s="32" t="str">
        <f>IF(AS$6=Eventos!$C$21,"F",IF(AS$6=Eventos!$C$20,"P",IF(AS$6=Eventos!$C$22,"C",IF(AS$6=Eventos!$C$23,"R",""))))</f>
        <v>F</v>
      </c>
      <c r="AT98" s="32" t="str">
        <f>IF(AT$6=Eventos!$C$21,"F",IF(AT$6=Eventos!$C$20,"P",IF(AT$6=Eventos!$C$22,"C",IF(AT$6=Eventos!$C$23,"R",""))))</f>
        <v/>
      </c>
      <c r="AU98" s="32" t="str">
        <f>IF(AU$6=Eventos!$C$21,"F",IF(AU$6=Eventos!$C$20,"P",IF(AU$6=Eventos!$C$22,"C",IF(AU$6=Eventos!$C$23,"R",""))))</f>
        <v/>
      </c>
      <c r="AV98" s="32" t="str">
        <f>IF(AV$6=Eventos!$C$21,"F",IF(AV$6=Eventos!$C$20,"P",IF(AV$6=Eventos!$C$22,"C",IF(AV$6=Eventos!$C$23,"R",""))))</f>
        <v>C</v>
      </c>
      <c r="AW98" s="32" t="str">
        <f>IF(AW$6=Eventos!$C$21,"F",IF(AW$6=Eventos!$C$20,"P",IF(AW$6=Eventos!$C$22,"C",IF(AW$6=Eventos!$C$23,"R",""))))</f>
        <v>R</v>
      </c>
      <c r="AX98" s="32" t="str">
        <f>IF(AX$6=Eventos!$C$21,"F",IF(AX$6=Eventos!$C$20,"P",IF(AX$6=Eventos!$C$22,"C",IF(AX$6=Eventos!$C$23,"R",""))))</f>
        <v/>
      </c>
      <c r="AY98" s="32" t="str">
        <f>IF(AY$6=Eventos!$C$21,"F",IF(AY$6=Eventos!$C$20,"P",IF(AY$6=Eventos!$C$22,"C",IF(AY$6=Eventos!$C$23,"R",""))))</f>
        <v/>
      </c>
      <c r="AZ98" s="32" t="str">
        <f>IF(AZ$6=Eventos!$C$21,"F",IF(AZ$6=Eventos!$C$20,"P",IF(AZ$6=Eventos!$C$22,"C",IF(AZ$6=Eventos!$C$23,"R",""))))</f>
        <v/>
      </c>
      <c r="BA98" s="32" t="str">
        <f>IF(BA$6=Eventos!$C$21,"F",IF(BA$6=Eventos!$C$20,"P",IF(BA$6=Eventos!$C$22,"C",IF(BA$6=Eventos!$C$23,"R",""))))</f>
        <v/>
      </c>
      <c r="BB98" s="32" t="str">
        <f>IF(BB$6=Eventos!$C$21,"F",IF(BB$6=Eventos!$C$20,"P",IF(BB$6=Eventos!$C$22,"C",IF(BB$6=Eventos!$C$23,"R",""))))</f>
        <v/>
      </c>
      <c r="BC98" s="32" t="str">
        <f>IF(BC$6=Eventos!$C$21,"F",IF(BC$6=Eventos!$C$20,"P",IF(BC$6=Eventos!$C$22,"C",IF(BC$6=Eventos!$C$23,"R",""))))</f>
        <v/>
      </c>
      <c r="BD98" s="32" t="str">
        <f>IF(BD$6=Eventos!$C$21,"F",IF(BD$6=Eventos!$C$20,"P",IF(BD$6=Eventos!$C$22,"C",IF(BD$6=Eventos!$C$23,"R",""))))</f>
        <v/>
      </c>
      <c r="BE98" s="32" t="str">
        <f>IF(BE$6=Eventos!$C$21,"F",IF(BE$6=Eventos!$C$20,"P",IF(BE$6=Eventos!$C$22,"C",IF(BE$6=Eventos!$C$23,"R",""))))</f>
        <v/>
      </c>
      <c r="BF98" s="32" t="str">
        <f>IF(BF$6=Eventos!$C$21,"F",IF(BF$6=Eventos!$C$20,"P",IF(BF$6=Eventos!$C$22,"C",IF(BF$6=Eventos!$C$23,"R",""))))</f>
        <v/>
      </c>
      <c r="BG98" s="32" t="str">
        <f>IF(BG$6=Eventos!$C$21,"F",IF(BG$6=Eventos!$C$20,"P",IF(BG$6=Eventos!$C$22,"C",IF(BG$6=Eventos!$C$23,"R",""))))</f>
        <v/>
      </c>
      <c r="BH98" s="32" t="str">
        <f>IF(BH$6=Eventos!$C$21,"F",IF(BH$6=Eventos!$C$20,"P",IF(BH$6=Eventos!$C$22,"C",IF(BH$6=Eventos!$C$23,"R",""))))</f>
        <v/>
      </c>
      <c r="BI98" s="32" t="str">
        <f>IF(BI$6=Eventos!$C$21,"F",IF(BI$6=Eventos!$C$20,"P",IF(BI$6=Eventos!$C$22,"C",IF(BI$6=Eventos!$C$23,"R",""))))</f>
        <v/>
      </c>
      <c r="BJ98" s="32" t="str">
        <f>IF(BJ$6=Eventos!$C$21,"F",IF(BJ$6=Eventos!$C$20,"P",IF(BJ$6=Eventos!$C$22,"C",IF(BJ$6=Eventos!$C$23,"R",""))))</f>
        <v/>
      </c>
      <c r="BK98" s="32" t="str">
        <f>IF(BK$6=Eventos!$C$21,"F",IF(BK$6=Eventos!$C$20,"P",IF(BK$6=Eventos!$C$22,"C",IF(BK$6=Eventos!$C$23,"R",""))))</f>
        <v/>
      </c>
      <c r="BL98" s="32" t="str">
        <f>IF(BL$6=Eventos!$C$21,"F",IF(BL$6=Eventos!$C$20,"P",IF(BL$6=Eventos!$C$22,"C",IF(BL$6=Eventos!$C$23,"R",""))))</f>
        <v/>
      </c>
      <c r="BM98" s="32" t="str">
        <f>IF(BM$6=Eventos!$C$21,"F",IF(BM$6=Eventos!$C$20,"P",IF(BM$6=Eventos!$C$22,"C",IF(BM$6=Eventos!$C$23,"R",""))))</f>
        <v/>
      </c>
      <c r="BN98" s="32" t="str">
        <f>IF(BN$6=Eventos!$C$21,"F",IF(BN$6=Eventos!$C$20,"P",IF(BN$6=Eventos!$C$22,"C",IF(BN$6=Eventos!$C$23,"R",""))))</f>
        <v/>
      </c>
      <c r="BO98" s="32" t="str">
        <f>IF(BO$6=Eventos!$C$21,"F",IF(BO$6=Eventos!$C$20,"P",IF(BO$6=Eventos!$C$22,"C",IF(BO$6=Eventos!$C$23,"R",""))))</f>
        <v/>
      </c>
      <c r="BP98" s="32" t="str">
        <f>IF(BP$6=Eventos!$C$21,"F",IF(BP$6=Eventos!$C$20,"P",IF(BP$6=Eventos!$C$22,"C",IF(BP$6=Eventos!$C$23,"R",""))))</f>
        <v/>
      </c>
      <c r="BQ98" s="32" t="str">
        <f>IF(BQ$6=Eventos!$C$21,"F",IF(BQ$6=Eventos!$C$20,"P",IF(BQ$6=Eventos!$C$22,"C",IF(BQ$6=Eventos!$C$23,"R",""))))</f>
        <v/>
      </c>
      <c r="BR98" s="32" t="str">
        <f>IF(BR$6=Eventos!$C$21,"F",IF(BR$6=Eventos!$C$20,"P",IF(BR$6=Eventos!$C$22,"C",IF(BR$6=Eventos!$C$23,"R",""))))</f>
        <v/>
      </c>
      <c r="BS98" s="32" t="str">
        <f>IF(BS$6=Eventos!$C$21,"F",IF(BS$6=Eventos!$C$20,"P",IF(BS$6=Eventos!$C$22,"C",IF(BS$6=Eventos!$C$23,"R",""))))</f>
        <v/>
      </c>
      <c r="BT98" s="32" t="str">
        <f>IF(BT$6=Eventos!$C$21,"F",IF(BT$6=Eventos!$C$20,"P",IF(BT$6=Eventos!$C$22,"C",IF(BT$6=Eventos!$C$23,"R",""))))</f>
        <v/>
      </c>
      <c r="BU98" s="32" t="str">
        <f>IF(BU$6=Eventos!$C$21,"F",IF(BU$6=Eventos!$C$20,"P",IF(BU$6=Eventos!$C$22,"C",IF(BU$6=Eventos!$C$23,"R",""))))</f>
        <v/>
      </c>
      <c r="BV98" s="32" t="str">
        <f>IF(BV$6=Eventos!$C$21,"F",IF(BV$6=Eventos!$C$20,"P",IF(BV$6=Eventos!$C$22,"C",IF(BV$6=Eventos!$C$23,"R",""))))</f>
        <v/>
      </c>
      <c r="BW98" s="32" t="str">
        <f>IF(BW$6=Eventos!$C$21,"F",IF(BW$6=Eventos!$C$20,"P",IF(BW$6=Eventos!$C$22,"C",IF(BW$6=Eventos!$C$23,"R",""))))</f>
        <v/>
      </c>
      <c r="BX98" s="32" t="str">
        <f>IF(BX$6=Eventos!$C$21,"F",IF(BX$6=Eventos!$C$20,"P",IF(BX$6=Eventos!$C$22,"C",IF(BX$6=Eventos!$C$23,"R",""))))</f>
        <v/>
      </c>
      <c r="BY98" s="32" t="str">
        <f>IF(BY$6=Eventos!$C$21,"F",IF(BY$6=Eventos!$C$20,"P",IF(BY$6=Eventos!$C$22,"C",IF(BY$6=Eventos!$C$23,"R",""))))</f>
        <v/>
      </c>
      <c r="BZ98" s="32" t="str">
        <f>IF(BZ$6=Eventos!$C$21,"F",IF(BZ$6=Eventos!$C$20,"P",IF(BZ$6=Eventos!$C$22,"C",IF(BZ$6=Eventos!$C$23,"R",""))))</f>
        <v/>
      </c>
      <c r="CA98" s="32" t="str">
        <f>IF(CA$6=Eventos!$C$21,"F",IF(CA$6=Eventos!$C$20,"P",IF(CA$6=Eventos!$C$22,"C",IF(CA$6=Eventos!$C$23,"R",""))))</f>
        <v/>
      </c>
      <c r="CB98" s="32" t="str">
        <f>IF(CB$6=Eventos!$C$21,"F",IF(CB$6=Eventos!$C$20,"P",IF(CB$6=Eventos!$C$22,"C",IF(CB$6=Eventos!$C$23,"R",""))))</f>
        <v/>
      </c>
      <c r="CC98" s="32" t="str">
        <f>IF(CC$6=Eventos!$C$21,"F",IF(CC$6=Eventos!$C$20,"P",IF(CC$6=Eventos!$C$22,"C",IF(CC$6=Eventos!$C$23,"R",""))))</f>
        <v/>
      </c>
      <c r="CD98" s="32" t="str">
        <f>IF(CD$6=Eventos!$C$21,"F",IF(CD$6=Eventos!$C$20,"P",IF(CD$6=Eventos!$C$22,"C",IF(CD$6=Eventos!$C$23,"R",""))))</f>
        <v/>
      </c>
      <c r="CE98" s="32" t="str">
        <f>IF(CE$6=Eventos!$C$21,"F",IF(CE$6=Eventos!$C$20,"P",IF(CE$6=Eventos!$C$22,"C",IF(CE$6=Eventos!$C$23,"R",""))))</f>
        <v/>
      </c>
      <c r="CF98" s="32" t="str">
        <f>IF(CF$6=Eventos!$C$21,"F",IF(CF$6=Eventos!$C$20,"P",IF(CF$6=Eventos!$C$22,"C",IF(CF$6=Eventos!$C$23,"R",""))))</f>
        <v/>
      </c>
    </row>
    <row r="99" spans="1:84" outlineLevel="1" x14ac:dyDescent="0.2">
      <c r="A99" s="6" t="s">
        <v>262</v>
      </c>
      <c r="B99" s="33" t="s">
        <v>263</v>
      </c>
      <c r="C99" s="6" t="s">
        <v>64</v>
      </c>
      <c r="D99" s="6" t="s">
        <v>232</v>
      </c>
      <c r="E99" s="34">
        <f>Historias!J17</f>
        <v>46308</v>
      </c>
      <c r="F99" s="34">
        <f>Historias!K17</f>
        <v>46311</v>
      </c>
      <c r="G99" s="6">
        <f t="shared" ref="G99:G126" si="6">NETWORKDAYS(E99,F99,Feriados)</f>
        <v>4</v>
      </c>
      <c r="H99" s="8">
        <f>Historias!N17</f>
        <v>0</v>
      </c>
      <c r="I99" s="6" t="str">
        <f>Historias!P17</f>
        <v>Por hacer</v>
      </c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  <c r="CF99" s="27"/>
    </row>
    <row r="100" spans="1:84" hidden="1" outlineLevel="2" x14ac:dyDescent="0.2">
      <c r="A100" s="35" t="s">
        <v>264</v>
      </c>
      <c r="B100" s="36" t="s">
        <v>265</v>
      </c>
      <c r="C100" s="35" t="s">
        <v>65</v>
      </c>
      <c r="D100" s="35" t="s">
        <v>102</v>
      </c>
      <c r="E100" s="37">
        <f>Tareas!H73</f>
        <v>46308</v>
      </c>
      <c r="F100" s="37">
        <f>Tareas!I73</f>
        <v>46311</v>
      </c>
      <c r="G100" s="35">
        <f t="shared" si="6"/>
        <v>4</v>
      </c>
      <c r="H100" s="38">
        <f>Tareas!K73</f>
        <v>0</v>
      </c>
      <c r="I100" s="35" t="str">
        <f>Tareas!J73</f>
        <v>Por hacer</v>
      </c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  <c r="CF100" s="27"/>
    </row>
    <row r="101" spans="1:84" hidden="1" outlineLevel="2" x14ac:dyDescent="0.2">
      <c r="A101" s="35" t="s">
        <v>266</v>
      </c>
      <c r="B101" s="36" t="s">
        <v>267</v>
      </c>
      <c r="C101" s="35" t="s">
        <v>65</v>
      </c>
      <c r="D101" s="35" t="s">
        <v>97</v>
      </c>
      <c r="E101" s="37">
        <f>Tareas!H74</f>
        <v>46308</v>
      </c>
      <c r="F101" s="37">
        <f>Tareas!I74</f>
        <v>46311</v>
      </c>
      <c r="G101" s="35">
        <f t="shared" si="6"/>
        <v>4</v>
      </c>
      <c r="H101" s="38">
        <f>Tareas!K74</f>
        <v>0</v>
      </c>
      <c r="I101" s="35" t="str">
        <f>Tareas!J74</f>
        <v>Por hacer</v>
      </c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  <c r="CF101" s="27"/>
    </row>
    <row r="102" spans="1:84" hidden="1" outlineLevel="2" x14ac:dyDescent="0.2">
      <c r="A102" s="35" t="s">
        <v>268</v>
      </c>
      <c r="B102" s="36" t="s">
        <v>269</v>
      </c>
      <c r="C102" s="35" t="s">
        <v>65</v>
      </c>
      <c r="D102" s="35" t="s">
        <v>97</v>
      </c>
      <c r="E102" s="37">
        <f>Tareas!H75</f>
        <v>46308</v>
      </c>
      <c r="F102" s="37">
        <f>Tareas!I75</f>
        <v>46311</v>
      </c>
      <c r="G102" s="35">
        <f t="shared" si="6"/>
        <v>4</v>
      </c>
      <c r="H102" s="38">
        <f>Tareas!K75</f>
        <v>0</v>
      </c>
      <c r="I102" s="35" t="str">
        <f>Tareas!J75</f>
        <v>Por hacer</v>
      </c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  <c r="CF102" s="27"/>
    </row>
    <row r="103" spans="1:84" hidden="1" outlineLevel="2" x14ac:dyDescent="0.2">
      <c r="A103" s="35" t="s">
        <v>270</v>
      </c>
      <c r="B103" s="36" t="s">
        <v>271</v>
      </c>
      <c r="C103" s="35" t="s">
        <v>65</v>
      </c>
      <c r="D103" s="35" t="s">
        <v>92</v>
      </c>
      <c r="E103" s="37">
        <f>Tareas!H76</f>
        <v>46308</v>
      </c>
      <c r="F103" s="37">
        <f>Tareas!I76</f>
        <v>46311</v>
      </c>
      <c r="G103" s="35">
        <f t="shared" si="6"/>
        <v>4</v>
      </c>
      <c r="H103" s="38">
        <f>Tareas!K76</f>
        <v>0</v>
      </c>
      <c r="I103" s="35" t="str">
        <f>Tareas!J76</f>
        <v>Por hacer</v>
      </c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  <c r="CF103" s="27"/>
    </row>
    <row r="104" spans="1:84" outlineLevel="1" x14ac:dyDescent="0.2">
      <c r="A104" s="6" t="s">
        <v>272</v>
      </c>
      <c r="B104" s="33" t="s">
        <v>273</v>
      </c>
      <c r="C104" s="6" t="s">
        <v>64</v>
      </c>
      <c r="D104" s="6" t="s">
        <v>204</v>
      </c>
      <c r="E104" s="34">
        <f>Historias!J18</f>
        <v>46308</v>
      </c>
      <c r="F104" s="34">
        <f>Historias!K18</f>
        <v>46311</v>
      </c>
      <c r="G104" s="6">
        <f t="shared" si="6"/>
        <v>4</v>
      </c>
      <c r="H104" s="8">
        <f>Historias!N18</f>
        <v>0</v>
      </c>
      <c r="I104" s="6" t="str">
        <f>Historias!P18</f>
        <v>Por hacer</v>
      </c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  <c r="CF104" s="27"/>
    </row>
    <row r="105" spans="1:84" hidden="1" outlineLevel="2" x14ac:dyDescent="0.2">
      <c r="A105" s="35" t="s">
        <v>274</v>
      </c>
      <c r="B105" s="36" t="s">
        <v>275</v>
      </c>
      <c r="C105" s="35" t="s">
        <v>65</v>
      </c>
      <c r="D105" s="35" t="s">
        <v>97</v>
      </c>
      <c r="E105" s="37">
        <f>Tareas!H77</f>
        <v>46308</v>
      </c>
      <c r="F105" s="37">
        <f>Tareas!I77</f>
        <v>46311</v>
      </c>
      <c r="G105" s="35">
        <f t="shared" si="6"/>
        <v>4</v>
      </c>
      <c r="H105" s="38">
        <f>Tareas!K77</f>
        <v>0</v>
      </c>
      <c r="I105" s="35" t="str">
        <f>Tareas!J77</f>
        <v>Por hacer</v>
      </c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  <c r="CF105" s="27"/>
    </row>
    <row r="106" spans="1:84" hidden="1" outlineLevel="2" x14ac:dyDescent="0.2">
      <c r="A106" s="35" t="s">
        <v>276</v>
      </c>
      <c r="B106" s="36" t="s">
        <v>277</v>
      </c>
      <c r="C106" s="35" t="s">
        <v>65</v>
      </c>
      <c r="D106" s="35" t="s">
        <v>92</v>
      </c>
      <c r="E106" s="37">
        <f>Tareas!H78</f>
        <v>46308</v>
      </c>
      <c r="F106" s="37">
        <f>Tareas!I78</f>
        <v>46311</v>
      </c>
      <c r="G106" s="35">
        <f t="shared" si="6"/>
        <v>4</v>
      </c>
      <c r="H106" s="38">
        <f>Tareas!K78</f>
        <v>0</v>
      </c>
      <c r="I106" s="35" t="str">
        <f>Tareas!J78</f>
        <v>Por hacer</v>
      </c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  <c r="CF106" s="27"/>
    </row>
    <row r="107" spans="1:84" hidden="1" outlineLevel="2" x14ac:dyDescent="0.2">
      <c r="A107" s="35" t="s">
        <v>278</v>
      </c>
      <c r="B107" s="36" t="s">
        <v>279</v>
      </c>
      <c r="C107" s="35" t="s">
        <v>65</v>
      </c>
      <c r="D107" s="35" t="s">
        <v>92</v>
      </c>
      <c r="E107" s="37">
        <f>Tareas!H79</f>
        <v>46308</v>
      </c>
      <c r="F107" s="37">
        <f>Tareas!I79</f>
        <v>46311</v>
      </c>
      <c r="G107" s="35">
        <f t="shared" si="6"/>
        <v>4</v>
      </c>
      <c r="H107" s="38">
        <f>Tareas!K79</f>
        <v>0</v>
      </c>
      <c r="I107" s="35" t="str">
        <f>Tareas!J79</f>
        <v>Por hacer</v>
      </c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  <c r="CF107" s="27"/>
    </row>
    <row r="108" spans="1:84" hidden="1" outlineLevel="2" x14ac:dyDescent="0.2">
      <c r="A108" s="35" t="s">
        <v>280</v>
      </c>
      <c r="B108" s="36" t="s">
        <v>281</v>
      </c>
      <c r="C108" s="35" t="s">
        <v>65</v>
      </c>
      <c r="D108" s="35" t="s">
        <v>97</v>
      </c>
      <c r="E108" s="37">
        <f>Tareas!H80</f>
        <v>46308</v>
      </c>
      <c r="F108" s="37">
        <f>Tareas!I80</f>
        <v>46311</v>
      </c>
      <c r="G108" s="35">
        <f t="shared" si="6"/>
        <v>4</v>
      </c>
      <c r="H108" s="38">
        <f>Tareas!K80</f>
        <v>0</v>
      </c>
      <c r="I108" s="35" t="str">
        <f>Tareas!J80</f>
        <v>Por hacer</v>
      </c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  <c r="CF108" s="27"/>
    </row>
    <row r="109" spans="1:84" hidden="1" outlineLevel="2" x14ac:dyDescent="0.2">
      <c r="A109" s="35" t="s">
        <v>282</v>
      </c>
      <c r="B109" s="36" t="s">
        <v>283</v>
      </c>
      <c r="C109" s="35" t="s">
        <v>65</v>
      </c>
      <c r="D109" s="35" t="s">
        <v>102</v>
      </c>
      <c r="E109" s="37">
        <f>Tareas!H81</f>
        <v>46308</v>
      </c>
      <c r="F109" s="37">
        <f>Tareas!I81</f>
        <v>46311</v>
      </c>
      <c r="G109" s="35">
        <f t="shared" si="6"/>
        <v>4</v>
      </c>
      <c r="H109" s="38">
        <f>Tareas!K81</f>
        <v>0</v>
      </c>
      <c r="I109" s="35" t="str">
        <f>Tareas!J81</f>
        <v>Por hacer</v>
      </c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  <c r="CF109" s="27"/>
    </row>
    <row r="110" spans="1:84" outlineLevel="1" x14ac:dyDescent="0.2">
      <c r="A110" s="6" t="s">
        <v>284</v>
      </c>
      <c r="B110" s="33" t="s">
        <v>285</v>
      </c>
      <c r="C110" s="6" t="s">
        <v>64</v>
      </c>
      <c r="D110" s="6" t="s">
        <v>204</v>
      </c>
      <c r="E110" s="34">
        <f>Historias!J19</f>
        <v>46314</v>
      </c>
      <c r="F110" s="34">
        <f>Historias!K19</f>
        <v>46318</v>
      </c>
      <c r="G110" s="6">
        <f t="shared" si="6"/>
        <v>5</v>
      </c>
      <c r="H110" s="8">
        <f>Historias!N19</f>
        <v>0</v>
      </c>
      <c r="I110" s="6" t="str">
        <f>Historias!P19</f>
        <v>Por hacer</v>
      </c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  <c r="CF110" s="27"/>
    </row>
    <row r="111" spans="1:84" hidden="1" outlineLevel="2" x14ac:dyDescent="0.2">
      <c r="A111" s="35" t="s">
        <v>286</v>
      </c>
      <c r="B111" s="36" t="s">
        <v>287</v>
      </c>
      <c r="C111" s="35" t="s">
        <v>65</v>
      </c>
      <c r="D111" s="35" t="s">
        <v>92</v>
      </c>
      <c r="E111" s="37">
        <f>Tareas!H82</f>
        <v>46314</v>
      </c>
      <c r="F111" s="37">
        <f>Tareas!I82</f>
        <v>46318</v>
      </c>
      <c r="G111" s="35">
        <f t="shared" si="6"/>
        <v>5</v>
      </c>
      <c r="H111" s="38">
        <f>Tareas!K82</f>
        <v>0</v>
      </c>
      <c r="I111" s="35" t="str">
        <f>Tareas!J82</f>
        <v>Por hacer</v>
      </c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  <c r="CF111" s="27"/>
    </row>
    <row r="112" spans="1:84" hidden="1" outlineLevel="2" x14ac:dyDescent="0.2">
      <c r="A112" s="35" t="s">
        <v>288</v>
      </c>
      <c r="B112" s="36" t="s">
        <v>289</v>
      </c>
      <c r="C112" s="35" t="s">
        <v>65</v>
      </c>
      <c r="D112" s="35" t="s">
        <v>102</v>
      </c>
      <c r="E112" s="37">
        <f>Tareas!H83</f>
        <v>46314</v>
      </c>
      <c r="F112" s="37">
        <f>Tareas!I83</f>
        <v>46318</v>
      </c>
      <c r="G112" s="35">
        <f t="shared" si="6"/>
        <v>5</v>
      </c>
      <c r="H112" s="38">
        <f>Tareas!K83</f>
        <v>0</v>
      </c>
      <c r="I112" s="35" t="str">
        <f>Tareas!J83</f>
        <v>Por hacer</v>
      </c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  <c r="CF112" s="27"/>
    </row>
    <row r="113" spans="1:84" hidden="1" outlineLevel="2" x14ac:dyDescent="0.2">
      <c r="A113" s="35" t="s">
        <v>290</v>
      </c>
      <c r="B113" s="36" t="s">
        <v>291</v>
      </c>
      <c r="C113" s="35" t="s">
        <v>65</v>
      </c>
      <c r="D113" s="35" t="s">
        <v>97</v>
      </c>
      <c r="E113" s="37">
        <f>Tareas!H84</f>
        <v>46314</v>
      </c>
      <c r="F113" s="37">
        <f>Tareas!I84</f>
        <v>46318</v>
      </c>
      <c r="G113" s="35">
        <f t="shared" si="6"/>
        <v>5</v>
      </c>
      <c r="H113" s="38">
        <f>Tareas!K84</f>
        <v>0</v>
      </c>
      <c r="I113" s="35" t="str">
        <f>Tareas!J84</f>
        <v>Por hacer</v>
      </c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  <c r="CF113" s="27"/>
    </row>
    <row r="114" spans="1:84" hidden="1" outlineLevel="2" x14ac:dyDescent="0.2">
      <c r="A114" s="35" t="s">
        <v>292</v>
      </c>
      <c r="B114" s="36" t="s">
        <v>293</v>
      </c>
      <c r="C114" s="35" t="s">
        <v>65</v>
      </c>
      <c r="D114" s="35" t="s">
        <v>92</v>
      </c>
      <c r="E114" s="37">
        <f>Tareas!H85</f>
        <v>46314</v>
      </c>
      <c r="F114" s="37">
        <f>Tareas!I85</f>
        <v>46318</v>
      </c>
      <c r="G114" s="35">
        <f t="shared" si="6"/>
        <v>5</v>
      </c>
      <c r="H114" s="38">
        <f>Tareas!K85</f>
        <v>0</v>
      </c>
      <c r="I114" s="35" t="str">
        <f>Tareas!J85</f>
        <v>Por hacer</v>
      </c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  <c r="CF114" s="27"/>
    </row>
    <row r="115" spans="1:84" hidden="1" outlineLevel="2" x14ac:dyDescent="0.2">
      <c r="A115" s="35" t="s">
        <v>294</v>
      </c>
      <c r="B115" s="36" t="s">
        <v>295</v>
      </c>
      <c r="C115" s="35" t="s">
        <v>65</v>
      </c>
      <c r="D115" s="35" t="s">
        <v>102</v>
      </c>
      <c r="E115" s="37">
        <f>Tareas!H86</f>
        <v>46314</v>
      </c>
      <c r="F115" s="37">
        <f>Tareas!I86</f>
        <v>46318</v>
      </c>
      <c r="G115" s="35">
        <f t="shared" si="6"/>
        <v>5</v>
      </c>
      <c r="H115" s="38">
        <f>Tareas!K86</f>
        <v>0</v>
      </c>
      <c r="I115" s="35" t="str">
        <f>Tareas!J86</f>
        <v>Por hacer</v>
      </c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  <c r="CF115" s="27"/>
    </row>
    <row r="116" spans="1:84" outlineLevel="1" x14ac:dyDescent="0.2">
      <c r="A116" s="6" t="s">
        <v>296</v>
      </c>
      <c r="B116" s="33" t="s">
        <v>297</v>
      </c>
      <c r="C116" s="6" t="s">
        <v>64</v>
      </c>
      <c r="D116" s="6" t="s">
        <v>204</v>
      </c>
      <c r="E116" s="34">
        <f>Historias!J20</f>
        <v>46314</v>
      </c>
      <c r="F116" s="34">
        <f>Historias!K20</f>
        <v>46318</v>
      </c>
      <c r="G116" s="6">
        <f t="shared" si="6"/>
        <v>5</v>
      </c>
      <c r="H116" s="8">
        <f>Historias!N20</f>
        <v>0</v>
      </c>
      <c r="I116" s="6" t="str">
        <f>Historias!P20</f>
        <v>Por hacer</v>
      </c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  <c r="CF116" s="27"/>
    </row>
    <row r="117" spans="1:84" hidden="1" outlineLevel="2" x14ac:dyDescent="0.2">
      <c r="A117" s="35" t="s">
        <v>298</v>
      </c>
      <c r="B117" s="36" t="s">
        <v>299</v>
      </c>
      <c r="C117" s="35" t="s">
        <v>65</v>
      </c>
      <c r="D117" s="35" t="s">
        <v>92</v>
      </c>
      <c r="E117" s="37">
        <f>Tareas!H87</f>
        <v>46314</v>
      </c>
      <c r="F117" s="37">
        <f>Tareas!I87</f>
        <v>46318</v>
      </c>
      <c r="G117" s="35">
        <f t="shared" si="6"/>
        <v>5</v>
      </c>
      <c r="H117" s="38">
        <f>Tareas!K87</f>
        <v>0</v>
      </c>
      <c r="I117" s="35" t="str">
        <f>Tareas!J87</f>
        <v>Por hacer</v>
      </c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  <c r="CF117" s="27"/>
    </row>
    <row r="118" spans="1:84" hidden="1" outlineLevel="2" x14ac:dyDescent="0.2">
      <c r="A118" s="35" t="s">
        <v>300</v>
      </c>
      <c r="B118" s="36" t="s">
        <v>301</v>
      </c>
      <c r="C118" s="35" t="s">
        <v>65</v>
      </c>
      <c r="D118" s="35" t="s">
        <v>102</v>
      </c>
      <c r="E118" s="37">
        <f>Tareas!H88</f>
        <v>46314</v>
      </c>
      <c r="F118" s="37">
        <f>Tareas!I88</f>
        <v>46318</v>
      </c>
      <c r="G118" s="35">
        <f t="shared" si="6"/>
        <v>5</v>
      </c>
      <c r="H118" s="38">
        <f>Tareas!K88</f>
        <v>0</v>
      </c>
      <c r="I118" s="35" t="str">
        <f>Tareas!J88</f>
        <v>Por hacer</v>
      </c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  <c r="CF118" s="27"/>
    </row>
    <row r="119" spans="1:84" hidden="1" outlineLevel="2" x14ac:dyDescent="0.2">
      <c r="A119" s="35" t="s">
        <v>302</v>
      </c>
      <c r="B119" s="36" t="s">
        <v>303</v>
      </c>
      <c r="C119" s="35" t="s">
        <v>65</v>
      </c>
      <c r="D119" s="35" t="s">
        <v>97</v>
      </c>
      <c r="E119" s="37">
        <f>Tareas!H89</f>
        <v>46314</v>
      </c>
      <c r="F119" s="37">
        <f>Tareas!I89</f>
        <v>46318</v>
      </c>
      <c r="G119" s="35">
        <f t="shared" si="6"/>
        <v>5</v>
      </c>
      <c r="H119" s="38">
        <f>Tareas!K89</f>
        <v>0</v>
      </c>
      <c r="I119" s="35" t="str">
        <f>Tareas!J89</f>
        <v>Por hacer</v>
      </c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  <c r="CF119" s="27"/>
    </row>
    <row r="120" spans="1:84" hidden="1" outlineLevel="2" x14ac:dyDescent="0.2">
      <c r="A120" s="35" t="s">
        <v>304</v>
      </c>
      <c r="B120" s="36" t="s">
        <v>305</v>
      </c>
      <c r="C120" s="35" t="s">
        <v>65</v>
      </c>
      <c r="D120" s="35" t="s">
        <v>102</v>
      </c>
      <c r="E120" s="37">
        <f>Tareas!H90</f>
        <v>46314</v>
      </c>
      <c r="F120" s="37">
        <f>Tareas!I90</f>
        <v>46318</v>
      </c>
      <c r="G120" s="35">
        <f t="shared" si="6"/>
        <v>5</v>
      </c>
      <c r="H120" s="38">
        <f>Tareas!K90</f>
        <v>0</v>
      </c>
      <c r="I120" s="35" t="str">
        <f>Tareas!J90</f>
        <v>Por hacer</v>
      </c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  <c r="CF120" s="27"/>
    </row>
    <row r="121" spans="1:84" hidden="1" outlineLevel="2" x14ac:dyDescent="0.2">
      <c r="A121" s="35" t="s">
        <v>306</v>
      </c>
      <c r="B121" s="36" t="s">
        <v>307</v>
      </c>
      <c r="C121" s="35" t="s">
        <v>65</v>
      </c>
      <c r="D121" s="35" t="s">
        <v>92</v>
      </c>
      <c r="E121" s="37">
        <f>Tareas!H91</f>
        <v>46314</v>
      </c>
      <c r="F121" s="37">
        <f>Tareas!I91</f>
        <v>46318</v>
      </c>
      <c r="G121" s="35">
        <f t="shared" si="6"/>
        <v>5</v>
      </c>
      <c r="H121" s="38">
        <f>Tareas!K91</f>
        <v>0</v>
      </c>
      <c r="I121" s="35" t="str">
        <f>Tareas!J91</f>
        <v>Por hacer</v>
      </c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  <c r="CF121" s="27"/>
    </row>
    <row r="122" spans="1:84" outlineLevel="1" x14ac:dyDescent="0.2">
      <c r="A122" s="6"/>
      <c r="B122" s="33" t="s">
        <v>137</v>
      </c>
      <c r="C122" s="6" t="s">
        <v>64</v>
      </c>
      <c r="D122" s="6" t="s">
        <v>86</v>
      </c>
      <c r="E122" s="34">
        <f>_xlfn.MINIFS(Tareas!$H:$H,Tareas!$B:$B,"Sprint 4",Tareas!$C:$C,"Transversal")</f>
        <v>46314</v>
      </c>
      <c r="F122" s="34">
        <f>_xlfn.MAXIFS(Tareas!$I:$I,Tareas!$B:$B,"Sprint 4",Tareas!$C:$C,"Transversal")</f>
        <v>46318</v>
      </c>
      <c r="G122" s="6">
        <f t="shared" si="6"/>
        <v>5</v>
      </c>
      <c r="H122" s="8">
        <f>IFERROR(SUMIFS(Tareas!$L:$L,Tareas!$B:$B,"Sprint 4",Tareas!$C:$C,"Transversal")/SUMIFS(Tareas!$F:$F,Tareas!$B:$B,"Sprint 4",Tareas!$C:$C,"Transversal"),0)</f>
        <v>0</v>
      </c>
      <c r="I122" s="6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  <c r="CF122" s="27"/>
    </row>
    <row r="123" spans="1:84" hidden="1" outlineLevel="2" x14ac:dyDescent="0.2">
      <c r="A123" s="35" t="s">
        <v>308</v>
      </c>
      <c r="B123" s="36" t="s">
        <v>309</v>
      </c>
      <c r="C123" s="35" t="s">
        <v>65</v>
      </c>
      <c r="D123" s="35" t="s">
        <v>92</v>
      </c>
      <c r="E123" s="37">
        <f>Tareas!H92</f>
        <v>46314</v>
      </c>
      <c r="F123" s="37">
        <f>Tareas!I92</f>
        <v>46318</v>
      </c>
      <c r="G123" s="35">
        <f t="shared" si="6"/>
        <v>5</v>
      </c>
      <c r="H123" s="38">
        <f>Tareas!K92</f>
        <v>0</v>
      </c>
      <c r="I123" s="35" t="str">
        <f>Tareas!J92</f>
        <v>Por hacer</v>
      </c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  <c r="CF123" s="27"/>
    </row>
    <row r="124" spans="1:84" hidden="1" outlineLevel="2" x14ac:dyDescent="0.2">
      <c r="A124" s="35" t="s">
        <v>310</v>
      </c>
      <c r="B124" s="36" t="s">
        <v>311</v>
      </c>
      <c r="C124" s="35" t="s">
        <v>65</v>
      </c>
      <c r="D124" s="35" t="s">
        <v>97</v>
      </c>
      <c r="E124" s="37">
        <f>Tareas!H93</f>
        <v>46314</v>
      </c>
      <c r="F124" s="37">
        <f>Tareas!I93</f>
        <v>46318</v>
      </c>
      <c r="G124" s="35">
        <f t="shared" si="6"/>
        <v>5</v>
      </c>
      <c r="H124" s="38">
        <f>Tareas!K93</f>
        <v>0</v>
      </c>
      <c r="I124" s="35" t="str">
        <f>Tareas!J93</f>
        <v>Por hacer</v>
      </c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  <c r="CF124" s="27"/>
    </row>
    <row r="125" spans="1:84" hidden="1" outlineLevel="2" x14ac:dyDescent="0.2">
      <c r="A125" s="35" t="s">
        <v>312</v>
      </c>
      <c r="B125" s="36" t="s">
        <v>145</v>
      </c>
      <c r="C125" s="35" t="s">
        <v>65</v>
      </c>
      <c r="D125" s="35" t="s">
        <v>102</v>
      </c>
      <c r="E125" s="37">
        <f>Tareas!H94</f>
        <v>46314</v>
      </c>
      <c r="F125" s="37">
        <f>Tareas!I94</f>
        <v>46318</v>
      </c>
      <c r="G125" s="35">
        <f t="shared" si="6"/>
        <v>5</v>
      </c>
      <c r="H125" s="38">
        <f>Tareas!K94</f>
        <v>0</v>
      </c>
      <c r="I125" s="35" t="str">
        <f>Tareas!J94</f>
        <v>Por hacer</v>
      </c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  <c r="CF125" s="27"/>
    </row>
    <row r="126" spans="1:84" ht="25.5" x14ac:dyDescent="0.2">
      <c r="A126" s="4" t="s">
        <v>313</v>
      </c>
      <c r="B126" s="25" t="s">
        <v>314</v>
      </c>
      <c r="C126" s="4" t="s">
        <v>7</v>
      </c>
      <c r="D126" s="4" t="s">
        <v>148</v>
      </c>
      <c r="E126" s="26">
        <f>Resumen!C12</f>
        <v>46321</v>
      </c>
      <c r="F126" s="26">
        <f>Resumen!D12</f>
        <v>46332</v>
      </c>
      <c r="G126" s="4">
        <f t="shared" si="6"/>
        <v>10</v>
      </c>
      <c r="H126" s="11">
        <f>Resumen!L12</f>
        <v>0</v>
      </c>
      <c r="I126" s="4" t="str">
        <f ca="1">Resumen!Q12</f>
        <v>Planificado</v>
      </c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  <c r="CF126" s="27"/>
    </row>
    <row r="127" spans="1:84" outlineLevel="1" x14ac:dyDescent="0.2">
      <c r="A127" s="28"/>
      <c r="B127" s="29" t="s">
        <v>84</v>
      </c>
      <c r="C127" s="28" t="s">
        <v>85</v>
      </c>
      <c r="D127" s="28" t="s">
        <v>86</v>
      </c>
      <c r="E127" s="30"/>
      <c r="F127" s="30"/>
      <c r="G127" s="28"/>
      <c r="H127" s="31"/>
      <c r="I127" s="28"/>
      <c r="J127" s="32" t="str">
        <f>IF(J$6=Eventos!$C$26,"F",IF(J$6=Eventos!$C$25,"P",IF(J$6=Eventos!$C$27,"C",IF(J$6=Eventos!$C$28,"R",""))))</f>
        <v/>
      </c>
      <c r="K127" s="32" t="str">
        <f>IF(K$6=Eventos!$C$26,"F",IF(K$6=Eventos!$C$25,"P",IF(K$6=Eventos!$C$27,"C",IF(K$6=Eventos!$C$28,"R",""))))</f>
        <v/>
      </c>
      <c r="L127" s="32" t="str">
        <f>IF(L$6=Eventos!$C$26,"F",IF(L$6=Eventos!$C$25,"P",IF(L$6=Eventos!$C$27,"C",IF(L$6=Eventos!$C$28,"R",""))))</f>
        <v/>
      </c>
      <c r="M127" s="32" t="str">
        <f>IF(M$6=Eventos!$C$26,"F",IF(M$6=Eventos!$C$25,"P",IF(M$6=Eventos!$C$27,"C",IF(M$6=Eventos!$C$28,"R",""))))</f>
        <v/>
      </c>
      <c r="N127" s="32" t="str">
        <f>IF(N$6=Eventos!$C$26,"F",IF(N$6=Eventos!$C$25,"P",IF(N$6=Eventos!$C$27,"C",IF(N$6=Eventos!$C$28,"R",""))))</f>
        <v/>
      </c>
      <c r="O127" s="32" t="str">
        <f>IF(O$6=Eventos!$C$26,"F",IF(O$6=Eventos!$C$25,"P",IF(O$6=Eventos!$C$27,"C",IF(O$6=Eventos!$C$28,"R",""))))</f>
        <v/>
      </c>
      <c r="P127" s="32" t="str">
        <f>IF(P$6=Eventos!$C$26,"F",IF(P$6=Eventos!$C$25,"P",IF(P$6=Eventos!$C$27,"C",IF(P$6=Eventos!$C$28,"R",""))))</f>
        <v/>
      </c>
      <c r="Q127" s="32" t="str">
        <f>IF(Q$6=Eventos!$C$26,"F",IF(Q$6=Eventos!$C$25,"P",IF(Q$6=Eventos!$C$27,"C",IF(Q$6=Eventos!$C$28,"R",""))))</f>
        <v/>
      </c>
      <c r="R127" s="32" t="str">
        <f>IF(R$6=Eventos!$C$26,"F",IF(R$6=Eventos!$C$25,"P",IF(R$6=Eventos!$C$27,"C",IF(R$6=Eventos!$C$28,"R",""))))</f>
        <v/>
      </c>
      <c r="S127" s="32" t="str">
        <f>IF(S$6=Eventos!$C$26,"F",IF(S$6=Eventos!$C$25,"P",IF(S$6=Eventos!$C$27,"C",IF(S$6=Eventos!$C$28,"R",""))))</f>
        <v/>
      </c>
      <c r="T127" s="32" t="str">
        <f>IF(T$6=Eventos!$C$26,"F",IF(T$6=Eventos!$C$25,"P",IF(T$6=Eventos!$C$27,"C",IF(T$6=Eventos!$C$28,"R",""))))</f>
        <v/>
      </c>
      <c r="U127" s="32" t="str">
        <f>IF(U$6=Eventos!$C$26,"F",IF(U$6=Eventos!$C$25,"P",IF(U$6=Eventos!$C$27,"C",IF(U$6=Eventos!$C$28,"R",""))))</f>
        <v/>
      </c>
      <c r="V127" s="32" t="str">
        <f>IF(V$6=Eventos!$C$26,"F",IF(V$6=Eventos!$C$25,"P",IF(V$6=Eventos!$C$27,"C",IF(V$6=Eventos!$C$28,"R",""))))</f>
        <v/>
      </c>
      <c r="W127" s="32" t="str">
        <f>IF(W$6=Eventos!$C$26,"F",IF(W$6=Eventos!$C$25,"P",IF(W$6=Eventos!$C$27,"C",IF(W$6=Eventos!$C$28,"R",""))))</f>
        <v/>
      </c>
      <c r="X127" s="32" t="str">
        <f>IF(X$6=Eventos!$C$26,"F",IF(X$6=Eventos!$C$25,"P",IF(X$6=Eventos!$C$27,"C",IF(X$6=Eventos!$C$28,"R",""))))</f>
        <v/>
      </c>
      <c r="Y127" s="32" t="str">
        <f>IF(Y$6=Eventos!$C$26,"F",IF(Y$6=Eventos!$C$25,"P",IF(Y$6=Eventos!$C$27,"C",IF(Y$6=Eventos!$C$28,"R",""))))</f>
        <v/>
      </c>
      <c r="Z127" s="32" t="str">
        <f>IF(Z$6=Eventos!$C$26,"F",IF(Z$6=Eventos!$C$25,"P",IF(Z$6=Eventos!$C$27,"C",IF(Z$6=Eventos!$C$28,"R",""))))</f>
        <v/>
      </c>
      <c r="AA127" s="32" t="str">
        <f>IF(AA$6=Eventos!$C$26,"F",IF(AA$6=Eventos!$C$25,"P",IF(AA$6=Eventos!$C$27,"C",IF(AA$6=Eventos!$C$28,"R",""))))</f>
        <v/>
      </c>
      <c r="AB127" s="32" t="str">
        <f>IF(AB$6=Eventos!$C$26,"F",IF(AB$6=Eventos!$C$25,"P",IF(AB$6=Eventos!$C$27,"C",IF(AB$6=Eventos!$C$28,"R",""))))</f>
        <v/>
      </c>
      <c r="AC127" s="32" t="str">
        <f>IF(AC$6=Eventos!$C$26,"F",IF(AC$6=Eventos!$C$25,"P",IF(AC$6=Eventos!$C$27,"C",IF(AC$6=Eventos!$C$28,"R",""))))</f>
        <v/>
      </c>
      <c r="AD127" s="32" t="str">
        <f>IF(AD$6=Eventos!$C$26,"F",IF(AD$6=Eventos!$C$25,"P",IF(AD$6=Eventos!$C$27,"C",IF(AD$6=Eventos!$C$28,"R",""))))</f>
        <v/>
      </c>
      <c r="AE127" s="32" t="str">
        <f>IF(AE$6=Eventos!$C$26,"F",IF(AE$6=Eventos!$C$25,"P",IF(AE$6=Eventos!$C$27,"C",IF(AE$6=Eventos!$C$28,"R",""))))</f>
        <v/>
      </c>
      <c r="AF127" s="32" t="str">
        <f>IF(AF$6=Eventos!$C$26,"F",IF(AF$6=Eventos!$C$25,"P",IF(AF$6=Eventos!$C$27,"C",IF(AF$6=Eventos!$C$28,"R",""))))</f>
        <v/>
      </c>
      <c r="AG127" s="32" t="str">
        <f>IF(AG$6=Eventos!$C$26,"F",IF(AG$6=Eventos!$C$25,"P",IF(AG$6=Eventos!$C$27,"C",IF(AG$6=Eventos!$C$28,"R",""))))</f>
        <v/>
      </c>
      <c r="AH127" s="32" t="str">
        <f>IF(AH$6=Eventos!$C$26,"F",IF(AH$6=Eventos!$C$25,"P",IF(AH$6=Eventos!$C$27,"C",IF(AH$6=Eventos!$C$28,"R",""))))</f>
        <v/>
      </c>
      <c r="AI127" s="32" t="str">
        <f>IF(AI$6=Eventos!$C$26,"F",IF(AI$6=Eventos!$C$25,"P",IF(AI$6=Eventos!$C$27,"C",IF(AI$6=Eventos!$C$28,"R",""))))</f>
        <v/>
      </c>
      <c r="AJ127" s="32" t="str">
        <f>IF(AJ$6=Eventos!$C$26,"F",IF(AJ$6=Eventos!$C$25,"P",IF(AJ$6=Eventos!$C$27,"C",IF(AJ$6=Eventos!$C$28,"R",""))))</f>
        <v/>
      </c>
      <c r="AK127" s="32" t="str">
        <f>IF(AK$6=Eventos!$C$26,"F",IF(AK$6=Eventos!$C$25,"P",IF(AK$6=Eventos!$C$27,"C",IF(AK$6=Eventos!$C$28,"R",""))))</f>
        <v/>
      </c>
      <c r="AL127" s="32" t="str">
        <f>IF(AL$6=Eventos!$C$26,"F",IF(AL$6=Eventos!$C$25,"P",IF(AL$6=Eventos!$C$27,"C",IF(AL$6=Eventos!$C$28,"R",""))))</f>
        <v/>
      </c>
      <c r="AM127" s="32" t="str">
        <f>IF(AM$6=Eventos!$C$26,"F",IF(AM$6=Eventos!$C$25,"P",IF(AM$6=Eventos!$C$27,"C",IF(AM$6=Eventos!$C$28,"R",""))))</f>
        <v/>
      </c>
      <c r="AN127" s="32" t="str">
        <f>IF(AN$6=Eventos!$C$26,"F",IF(AN$6=Eventos!$C$25,"P",IF(AN$6=Eventos!$C$27,"C",IF(AN$6=Eventos!$C$28,"R",""))))</f>
        <v/>
      </c>
      <c r="AO127" s="32" t="str">
        <f>IF(AO$6=Eventos!$C$26,"F",IF(AO$6=Eventos!$C$25,"P",IF(AO$6=Eventos!$C$27,"C",IF(AO$6=Eventos!$C$28,"R",""))))</f>
        <v/>
      </c>
      <c r="AP127" s="32" t="str">
        <f>IF(AP$6=Eventos!$C$26,"F",IF(AP$6=Eventos!$C$25,"P",IF(AP$6=Eventos!$C$27,"C",IF(AP$6=Eventos!$C$28,"R",""))))</f>
        <v/>
      </c>
      <c r="AQ127" s="32" t="str">
        <f>IF(AQ$6=Eventos!$C$26,"F",IF(AQ$6=Eventos!$C$25,"P",IF(AQ$6=Eventos!$C$27,"C",IF(AQ$6=Eventos!$C$28,"R",""))))</f>
        <v/>
      </c>
      <c r="AR127" s="32" t="str">
        <f>IF(AR$6=Eventos!$C$26,"F",IF(AR$6=Eventos!$C$25,"P",IF(AR$6=Eventos!$C$27,"C",IF(AR$6=Eventos!$C$28,"R",""))))</f>
        <v/>
      </c>
      <c r="AS127" s="32" t="str">
        <f>IF(AS$6=Eventos!$C$26,"F",IF(AS$6=Eventos!$C$25,"P",IF(AS$6=Eventos!$C$27,"C",IF(AS$6=Eventos!$C$28,"R",""))))</f>
        <v/>
      </c>
      <c r="AT127" s="32" t="str">
        <f>IF(AT$6=Eventos!$C$26,"F",IF(AT$6=Eventos!$C$25,"P",IF(AT$6=Eventos!$C$27,"C",IF(AT$6=Eventos!$C$28,"R",""))))</f>
        <v/>
      </c>
      <c r="AU127" s="32" t="str">
        <f>IF(AU$6=Eventos!$C$26,"F",IF(AU$6=Eventos!$C$25,"P",IF(AU$6=Eventos!$C$27,"C",IF(AU$6=Eventos!$C$28,"R",""))))</f>
        <v/>
      </c>
      <c r="AV127" s="32" t="str">
        <f>IF(AV$6=Eventos!$C$26,"F",IF(AV$6=Eventos!$C$25,"P",IF(AV$6=Eventos!$C$27,"C",IF(AV$6=Eventos!$C$28,"R",""))))</f>
        <v/>
      </c>
      <c r="AW127" s="32" t="str">
        <f>IF(AW$6=Eventos!$C$26,"F",IF(AW$6=Eventos!$C$25,"P",IF(AW$6=Eventos!$C$27,"C",IF(AW$6=Eventos!$C$28,"R",""))))</f>
        <v/>
      </c>
      <c r="AX127" s="32" t="str">
        <f>IF(AX$6=Eventos!$C$26,"F",IF(AX$6=Eventos!$C$25,"P",IF(AX$6=Eventos!$C$27,"C",IF(AX$6=Eventos!$C$28,"R",""))))</f>
        <v>P</v>
      </c>
      <c r="AY127" s="32" t="str">
        <f>IF(AY$6=Eventos!$C$26,"F",IF(AY$6=Eventos!$C$25,"P",IF(AY$6=Eventos!$C$27,"C",IF(AY$6=Eventos!$C$28,"R",""))))</f>
        <v/>
      </c>
      <c r="AZ127" s="32" t="str">
        <f>IF(AZ$6=Eventos!$C$26,"F",IF(AZ$6=Eventos!$C$25,"P",IF(AZ$6=Eventos!$C$27,"C",IF(AZ$6=Eventos!$C$28,"R",""))))</f>
        <v/>
      </c>
      <c r="BA127" s="32" t="str">
        <f>IF(BA$6=Eventos!$C$26,"F",IF(BA$6=Eventos!$C$25,"P",IF(BA$6=Eventos!$C$27,"C",IF(BA$6=Eventos!$C$28,"R",""))))</f>
        <v/>
      </c>
      <c r="BB127" s="32" t="str">
        <f>IF(BB$6=Eventos!$C$26,"F",IF(BB$6=Eventos!$C$25,"P",IF(BB$6=Eventos!$C$27,"C",IF(BB$6=Eventos!$C$28,"R",""))))</f>
        <v/>
      </c>
      <c r="BC127" s="32" t="str">
        <f>IF(BC$6=Eventos!$C$26,"F",IF(BC$6=Eventos!$C$25,"P",IF(BC$6=Eventos!$C$27,"C",IF(BC$6=Eventos!$C$28,"R",""))))</f>
        <v>F</v>
      </c>
      <c r="BD127" s="32" t="str">
        <f>IF(BD$6=Eventos!$C$26,"F",IF(BD$6=Eventos!$C$25,"P",IF(BD$6=Eventos!$C$27,"C",IF(BD$6=Eventos!$C$28,"R",""))))</f>
        <v/>
      </c>
      <c r="BE127" s="32" t="str">
        <f>IF(BE$6=Eventos!$C$26,"F",IF(BE$6=Eventos!$C$25,"P",IF(BE$6=Eventos!$C$27,"C",IF(BE$6=Eventos!$C$28,"R",""))))</f>
        <v/>
      </c>
      <c r="BF127" s="32" t="str">
        <f>IF(BF$6=Eventos!$C$26,"F",IF(BF$6=Eventos!$C$25,"P",IF(BF$6=Eventos!$C$27,"C",IF(BF$6=Eventos!$C$28,"R",""))))</f>
        <v>C</v>
      </c>
      <c r="BG127" s="32" t="str">
        <f>IF(BG$6=Eventos!$C$26,"F",IF(BG$6=Eventos!$C$25,"P",IF(BG$6=Eventos!$C$27,"C",IF(BG$6=Eventos!$C$28,"R",""))))</f>
        <v>R</v>
      </c>
      <c r="BH127" s="32" t="str">
        <f>IF(BH$6=Eventos!$C$26,"F",IF(BH$6=Eventos!$C$25,"P",IF(BH$6=Eventos!$C$27,"C",IF(BH$6=Eventos!$C$28,"R",""))))</f>
        <v/>
      </c>
      <c r="BI127" s="32" t="str">
        <f>IF(BI$6=Eventos!$C$26,"F",IF(BI$6=Eventos!$C$25,"P",IF(BI$6=Eventos!$C$27,"C",IF(BI$6=Eventos!$C$28,"R",""))))</f>
        <v/>
      </c>
      <c r="BJ127" s="32" t="str">
        <f>IF(BJ$6=Eventos!$C$26,"F",IF(BJ$6=Eventos!$C$25,"P",IF(BJ$6=Eventos!$C$27,"C",IF(BJ$6=Eventos!$C$28,"R",""))))</f>
        <v/>
      </c>
      <c r="BK127" s="32" t="str">
        <f>IF(BK$6=Eventos!$C$26,"F",IF(BK$6=Eventos!$C$25,"P",IF(BK$6=Eventos!$C$27,"C",IF(BK$6=Eventos!$C$28,"R",""))))</f>
        <v/>
      </c>
      <c r="BL127" s="32" t="str">
        <f>IF(BL$6=Eventos!$C$26,"F",IF(BL$6=Eventos!$C$25,"P",IF(BL$6=Eventos!$C$27,"C",IF(BL$6=Eventos!$C$28,"R",""))))</f>
        <v/>
      </c>
      <c r="BM127" s="32" t="str">
        <f>IF(BM$6=Eventos!$C$26,"F",IF(BM$6=Eventos!$C$25,"P",IF(BM$6=Eventos!$C$27,"C",IF(BM$6=Eventos!$C$28,"R",""))))</f>
        <v/>
      </c>
      <c r="BN127" s="32" t="str">
        <f>IF(BN$6=Eventos!$C$26,"F",IF(BN$6=Eventos!$C$25,"P",IF(BN$6=Eventos!$C$27,"C",IF(BN$6=Eventos!$C$28,"R",""))))</f>
        <v/>
      </c>
      <c r="BO127" s="32" t="str">
        <f>IF(BO$6=Eventos!$C$26,"F",IF(BO$6=Eventos!$C$25,"P",IF(BO$6=Eventos!$C$27,"C",IF(BO$6=Eventos!$C$28,"R",""))))</f>
        <v/>
      </c>
      <c r="BP127" s="32" t="str">
        <f>IF(BP$6=Eventos!$C$26,"F",IF(BP$6=Eventos!$C$25,"P",IF(BP$6=Eventos!$C$27,"C",IF(BP$6=Eventos!$C$28,"R",""))))</f>
        <v/>
      </c>
      <c r="BQ127" s="32" t="str">
        <f>IF(BQ$6=Eventos!$C$26,"F",IF(BQ$6=Eventos!$C$25,"P",IF(BQ$6=Eventos!$C$27,"C",IF(BQ$6=Eventos!$C$28,"R",""))))</f>
        <v/>
      </c>
      <c r="BR127" s="32" t="str">
        <f>IF(BR$6=Eventos!$C$26,"F",IF(BR$6=Eventos!$C$25,"P",IF(BR$6=Eventos!$C$27,"C",IF(BR$6=Eventos!$C$28,"R",""))))</f>
        <v/>
      </c>
      <c r="BS127" s="32" t="str">
        <f>IF(BS$6=Eventos!$C$26,"F",IF(BS$6=Eventos!$C$25,"P",IF(BS$6=Eventos!$C$27,"C",IF(BS$6=Eventos!$C$28,"R",""))))</f>
        <v/>
      </c>
      <c r="BT127" s="32" t="str">
        <f>IF(BT$6=Eventos!$C$26,"F",IF(BT$6=Eventos!$C$25,"P",IF(BT$6=Eventos!$C$27,"C",IF(BT$6=Eventos!$C$28,"R",""))))</f>
        <v/>
      </c>
      <c r="BU127" s="32" t="str">
        <f>IF(BU$6=Eventos!$C$26,"F",IF(BU$6=Eventos!$C$25,"P",IF(BU$6=Eventos!$C$27,"C",IF(BU$6=Eventos!$C$28,"R",""))))</f>
        <v/>
      </c>
      <c r="BV127" s="32" t="str">
        <f>IF(BV$6=Eventos!$C$26,"F",IF(BV$6=Eventos!$C$25,"P",IF(BV$6=Eventos!$C$27,"C",IF(BV$6=Eventos!$C$28,"R",""))))</f>
        <v/>
      </c>
      <c r="BW127" s="32" t="str">
        <f>IF(BW$6=Eventos!$C$26,"F",IF(BW$6=Eventos!$C$25,"P",IF(BW$6=Eventos!$C$27,"C",IF(BW$6=Eventos!$C$28,"R",""))))</f>
        <v/>
      </c>
      <c r="BX127" s="32" t="str">
        <f>IF(BX$6=Eventos!$C$26,"F",IF(BX$6=Eventos!$C$25,"P",IF(BX$6=Eventos!$C$27,"C",IF(BX$6=Eventos!$C$28,"R",""))))</f>
        <v/>
      </c>
      <c r="BY127" s="32" t="str">
        <f>IF(BY$6=Eventos!$C$26,"F",IF(BY$6=Eventos!$C$25,"P",IF(BY$6=Eventos!$C$27,"C",IF(BY$6=Eventos!$C$28,"R",""))))</f>
        <v/>
      </c>
      <c r="BZ127" s="32" t="str">
        <f>IF(BZ$6=Eventos!$C$26,"F",IF(BZ$6=Eventos!$C$25,"P",IF(BZ$6=Eventos!$C$27,"C",IF(BZ$6=Eventos!$C$28,"R",""))))</f>
        <v/>
      </c>
      <c r="CA127" s="32" t="str">
        <f>IF(CA$6=Eventos!$C$26,"F",IF(CA$6=Eventos!$C$25,"P",IF(CA$6=Eventos!$C$27,"C",IF(CA$6=Eventos!$C$28,"R",""))))</f>
        <v/>
      </c>
      <c r="CB127" s="32" t="str">
        <f>IF(CB$6=Eventos!$C$26,"F",IF(CB$6=Eventos!$C$25,"P",IF(CB$6=Eventos!$C$27,"C",IF(CB$6=Eventos!$C$28,"R",""))))</f>
        <v/>
      </c>
      <c r="CC127" s="32" t="str">
        <f>IF(CC$6=Eventos!$C$26,"F",IF(CC$6=Eventos!$C$25,"P",IF(CC$6=Eventos!$C$27,"C",IF(CC$6=Eventos!$C$28,"R",""))))</f>
        <v/>
      </c>
      <c r="CD127" s="32" t="str">
        <f>IF(CD$6=Eventos!$C$26,"F",IF(CD$6=Eventos!$C$25,"P",IF(CD$6=Eventos!$C$27,"C",IF(CD$6=Eventos!$C$28,"R",""))))</f>
        <v/>
      </c>
      <c r="CE127" s="32" t="str">
        <f>IF(CE$6=Eventos!$C$26,"F",IF(CE$6=Eventos!$C$25,"P",IF(CE$6=Eventos!$C$27,"C",IF(CE$6=Eventos!$C$28,"R",""))))</f>
        <v/>
      </c>
      <c r="CF127" s="32" t="str">
        <f>IF(CF$6=Eventos!$C$26,"F",IF(CF$6=Eventos!$C$25,"P",IF(CF$6=Eventos!$C$27,"C",IF(CF$6=Eventos!$C$28,"R",""))))</f>
        <v/>
      </c>
    </row>
    <row r="128" spans="1:84" outlineLevel="1" x14ac:dyDescent="0.2">
      <c r="A128" s="6" t="s">
        <v>315</v>
      </c>
      <c r="B128" s="33" t="s">
        <v>316</v>
      </c>
      <c r="C128" s="6" t="s">
        <v>64</v>
      </c>
      <c r="D128" s="6" t="s">
        <v>232</v>
      </c>
      <c r="E128" s="34">
        <f>Historias!J21</f>
        <v>46321</v>
      </c>
      <c r="F128" s="34">
        <f>Historias!K21</f>
        <v>46325</v>
      </c>
      <c r="G128" s="6">
        <f t="shared" ref="G128:G152" si="7">NETWORKDAYS(E128,F128,Feriados)</f>
        <v>5</v>
      </c>
      <c r="H128" s="8">
        <f>Historias!N21</f>
        <v>0</v>
      </c>
      <c r="I128" s="6" t="str">
        <f>Historias!P21</f>
        <v>Por hacer</v>
      </c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27"/>
    </row>
    <row r="129" spans="1:84" hidden="1" outlineLevel="2" x14ac:dyDescent="0.2">
      <c r="A129" s="35" t="s">
        <v>317</v>
      </c>
      <c r="B129" s="36" t="s">
        <v>318</v>
      </c>
      <c r="C129" s="35" t="s">
        <v>65</v>
      </c>
      <c r="D129" s="35" t="s">
        <v>97</v>
      </c>
      <c r="E129" s="37">
        <f>Tareas!H95</f>
        <v>46321</v>
      </c>
      <c r="F129" s="37">
        <f>Tareas!I95</f>
        <v>46325</v>
      </c>
      <c r="G129" s="35">
        <f t="shared" si="7"/>
        <v>5</v>
      </c>
      <c r="H129" s="38">
        <f>Tareas!K95</f>
        <v>0</v>
      </c>
      <c r="I129" s="35" t="str">
        <f>Tareas!J95</f>
        <v>Por hacer</v>
      </c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  <c r="CF129" s="27"/>
    </row>
    <row r="130" spans="1:84" hidden="1" outlineLevel="2" x14ac:dyDescent="0.2">
      <c r="A130" s="35" t="s">
        <v>319</v>
      </c>
      <c r="B130" s="36" t="s">
        <v>320</v>
      </c>
      <c r="C130" s="35" t="s">
        <v>65</v>
      </c>
      <c r="D130" s="35" t="s">
        <v>102</v>
      </c>
      <c r="E130" s="37">
        <f>Tareas!H96</f>
        <v>46321</v>
      </c>
      <c r="F130" s="37">
        <f>Tareas!I96</f>
        <v>46325</v>
      </c>
      <c r="G130" s="35">
        <f t="shared" si="7"/>
        <v>5</v>
      </c>
      <c r="H130" s="38">
        <f>Tareas!K96</f>
        <v>0</v>
      </c>
      <c r="I130" s="35" t="str">
        <f>Tareas!J96</f>
        <v>Por hacer</v>
      </c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  <c r="CF130" s="27"/>
    </row>
    <row r="131" spans="1:84" hidden="1" outlineLevel="2" x14ac:dyDescent="0.2">
      <c r="A131" s="35" t="s">
        <v>321</v>
      </c>
      <c r="B131" s="36" t="s">
        <v>322</v>
      </c>
      <c r="C131" s="35" t="s">
        <v>65</v>
      </c>
      <c r="D131" s="35" t="s">
        <v>97</v>
      </c>
      <c r="E131" s="37">
        <f>Tareas!H97</f>
        <v>46321</v>
      </c>
      <c r="F131" s="37">
        <f>Tareas!I97</f>
        <v>46325</v>
      </c>
      <c r="G131" s="35">
        <f t="shared" si="7"/>
        <v>5</v>
      </c>
      <c r="H131" s="38">
        <f>Tareas!K97</f>
        <v>0</v>
      </c>
      <c r="I131" s="35" t="str">
        <f>Tareas!J97</f>
        <v>Por hacer</v>
      </c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  <c r="CF131" s="27"/>
    </row>
    <row r="132" spans="1:84" hidden="1" outlineLevel="2" x14ac:dyDescent="0.2">
      <c r="A132" s="35" t="s">
        <v>323</v>
      </c>
      <c r="B132" s="36" t="s">
        <v>324</v>
      </c>
      <c r="C132" s="35" t="s">
        <v>65</v>
      </c>
      <c r="D132" s="35" t="s">
        <v>97</v>
      </c>
      <c r="E132" s="37">
        <f>Tareas!H98</f>
        <v>46321</v>
      </c>
      <c r="F132" s="37">
        <f>Tareas!I98</f>
        <v>46325</v>
      </c>
      <c r="G132" s="35">
        <f t="shared" si="7"/>
        <v>5</v>
      </c>
      <c r="H132" s="38">
        <f>Tareas!K98</f>
        <v>0</v>
      </c>
      <c r="I132" s="35" t="str">
        <f>Tareas!J98</f>
        <v>Por hacer</v>
      </c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  <c r="CF132" s="27"/>
    </row>
    <row r="133" spans="1:84" hidden="1" outlineLevel="2" x14ac:dyDescent="0.2">
      <c r="A133" s="35" t="s">
        <v>325</v>
      </c>
      <c r="B133" s="36" t="s">
        <v>326</v>
      </c>
      <c r="C133" s="35" t="s">
        <v>65</v>
      </c>
      <c r="D133" s="35" t="s">
        <v>92</v>
      </c>
      <c r="E133" s="37">
        <f>Tareas!H99</f>
        <v>46321</v>
      </c>
      <c r="F133" s="37">
        <f>Tareas!I99</f>
        <v>46325</v>
      </c>
      <c r="G133" s="35">
        <f t="shared" si="7"/>
        <v>5</v>
      </c>
      <c r="H133" s="38">
        <f>Tareas!K99</f>
        <v>0</v>
      </c>
      <c r="I133" s="35" t="str">
        <f>Tareas!J99</f>
        <v>Por hacer</v>
      </c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  <c r="CF133" s="27"/>
    </row>
    <row r="134" spans="1:84" outlineLevel="1" x14ac:dyDescent="0.2">
      <c r="A134" s="6" t="s">
        <v>327</v>
      </c>
      <c r="B134" s="33" t="s">
        <v>328</v>
      </c>
      <c r="C134" s="6" t="s">
        <v>64</v>
      </c>
      <c r="D134" s="6" t="s">
        <v>151</v>
      </c>
      <c r="E134" s="34">
        <f>Historias!J22</f>
        <v>46321</v>
      </c>
      <c r="F134" s="34">
        <f>Historias!K22</f>
        <v>46332</v>
      </c>
      <c r="G134" s="6">
        <f t="shared" si="7"/>
        <v>10</v>
      </c>
      <c r="H134" s="8">
        <f>Historias!N22</f>
        <v>0</v>
      </c>
      <c r="I134" s="6" t="str">
        <f>Historias!P22</f>
        <v>Por hacer</v>
      </c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  <c r="CF134" s="27"/>
    </row>
    <row r="135" spans="1:84" hidden="1" outlineLevel="2" x14ac:dyDescent="0.2">
      <c r="A135" s="35" t="s">
        <v>329</v>
      </c>
      <c r="B135" s="36" t="s">
        <v>330</v>
      </c>
      <c r="C135" s="35" t="s">
        <v>65</v>
      </c>
      <c r="D135" s="35" t="s">
        <v>102</v>
      </c>
      <c r="E135" s="37">
        <f>Tareas!H100</f>
        <v>46321</v>
      </c>
      <c r="F135" s="37">
        <f>Tareas!I100</f>
        <v>46325</v>
      </c>
      <c r="G135" s="35">
        <f t="shared" si="7"/>
        <v>5</v>
      </c>
      <c r="H135" s="38">
        <f>Tareas!K100</f>
        <v>0</v>
      </c>
      <c r="I135" s="35" t="str">
        <f>Tareas!J100</f>
        <v>Por hacer</v>
      </c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  <c r="CF135" s="27"/>
    </row>
    <row r="136" spans="1:84" hidden="1" outlineLevel="2" x14ac:dyDescent="0.2">
      <c r="A136" s="35" t="s">
        <v>331</v>
      </c>
      <c r="B136" s="36" t="s">
        <v>332</v>
      </c>
      <c r="C136" s="35" t="s">
        <v>65</v>
      </c>
      <c r="D136" s="35" t="s">
        <v>92</v>
      </c>
      <c r="E136" s="37">
        <f>Tareas!H101</f>
        <v>46321</v>
      </c>
      <c r="F136" s="37">
        <f>Tareas!I101</f>
        <v>46325</v>
      </c>
      <c r="G136" s="35">
        <f t="shared" si="7"/>
        <v>5</v>
      </c>
      <c r="H136" s="38">
        <f>Tareas!K101</f>
        <v>0</v>
      </c>
      <c r="I136" s="35" t="str">
        <f>Tareas!J101</f>
        <v>Por hacer</v>
      </c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  <c r="CF136" s="27"/>
    </row>
    <row r="137" spans="1:84" hidden="1" outlineLevel="2" x14ac:dyDescent="0.2">
      <c r="A137" s="35" t="s">
        <v>333</v>
      </c>
      <c r="B137" s="36" t="s">
        <v>334</v>
      </c>
      <c r="C137" s="35" t="s">
        <v>65</v>
      </c>
      <c r="D137" s="35" t="s">
        <v>92</v>
      </c>
      <c r="E137" s="37">
        <f>Tareas!H102</f>
        <v>46328</v>
      </c>
      <c r="F137" s="37">
        <f>Tareas!I102</f>
        <v>46332</v>
      </c>
      <c r="G137" s="35">
        <f t="shared" si="7"/>
        <v>5</v>
      </c>
      <c r="H137" s="38">
        <f>Tareas!K102</f>
        <v>0</v>
      </c>
      <c r="I137" s="35" t="str">
        <f>Tareas!J102</f>
        <v>Por hacer</v>
      </c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  <c r="CF137" s="27"/>
    </row>
    <row r="138" spans="1:84" hidden="1" outlineLevel="2" x14ac:dyDescent="0.2">
      <c r="A138" s="35" t="s">
        <v>335</v>
      </c>
      <c r="B138" s="36" t="s">
        <v>336</v>
      </c>
      <c r="C138" s="35" t="s">
        <v>65</v>
      </c>
      <c r="D138" s="35" t="s">
        <v>102</v>
      </c>
      <c r="E138" s="37">
        <f>Tareas!H103</f>
        <v>46328</v>
      </c>
      <c r="F138" s="37">
        <f>Tareas!I103</f>
        <v>46332</v>
      </c>
      <c r="G138" s="35">
        <f t="shared" si="7"/>
        <v>5</v>
      </c>
      <c r="H138" s="38">
        <f>Tareas!K103</f>
        <v>0</v>
      </c>
      <c r="I138" s="35" t="str">
        <f>Tareas!J103</f>
        <v>Por hacer</v>
      </c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  <c r="CF138" s="27"/>
    </row>
    <row r="139" spans="1:84" hidden="1" outlineLevel="2" x14ac:dyDescent="0.2">
      <c r="A139" s="35" t="s">
        <v>337</v>
      </c>
      <c r="B139" s="36" t="s">
        <v>338</v>
      </c>
      <c r="C139" s="35" t="s">
        <v>65</v>
      </c>
      <c r="D139" s="35" t="s">
        <v>97</v>
      </c>
      <c r="E139" s="37">
        <f>Tareas!H104</f>
        <v>46328</v>
      </c>
      <c r="F139" s="37">
        <f>Tareas!I104</f>
        <v>46332</v>
      </c>
      <c r="G139" s="35">
        <f t="shared" si="7"/>
        <v>5</v>
      </c>
      <c r="H139" s="38">
        <f>Tareas!K104</f>
        <v>0</v>
      </c>
      <c r="I139" s="35" t="str">
        <f>Tareas!J104</f>
        <v>Por hacer</v>
      </c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  <c r="CF139" s="27"/>
    </row>
    <row r="140" spans="1:84" outlineLevel="1" x14ac:dyDescent="0.2">
      <c r="A140" s="6" t="s">
        <v>339</v>
      </c>
      <c r="B140" s="33" t="s">
        <v>340</v>
      </c>
      <c r="C140" s="6" t="s">
        <v>64</v>
      </c>
      <c r="D140" s="6" t="s">
        <v>151</v>
      </c>
      <c r="E140" s="34">
        <f>Historias!J23</f>
        <v>46328</v>
      </c>
      <c r="F140" s="34">
        <f>Historias!K23</f>
        <v>46332</v>
      </c>
      <c r="G140" s="6">
        <f t="shared" si="7"/>
        <v>5</v>
      </c>
      <c r="H140" s="8">
        <f>Historias!N23</f>
        <v>0</v>
      </c>
      <c r="I140" s="6" t="str">
        <f>Historias!P23</f>
        <v>Por hacer</v>
      </c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  <c r="CF140" s="27"/>
    </row>
    <row r="141" spans="1:84" hidden="1" outlineLevel="2" x14ac:dyDescent="0.2">
      <c r="A141" s="35" t="s">
        <v>341</v>
      </c>
      <c r="B141" s="36" t="s">
        <v>342</v>
      </c>
      <c r="C141" s="35" t="s">
        <v>65</v>
      </c>
      <c r="D141" s="35" t="s">
        <v>92</v>
      </c>
      <c r="E141" s="37">
        <f>Tareas!H105</f>
        <v>46328</v>
      </c>
      <c r="F141" s="37">
        <f>Tareas!I105</f>
        <v>46332</v>
      </c>
      <c r="G141" s="35">
        <f t="shared" si="7"/>
        <v>5</v>
      </c>
      <c r="H141" s="38">
        <f>Tareas!K105</f>
        <v>0</v>
      </c>
      <c r="I141" s="35" t="str">
        <f>Tareas!J105</f>
        <v>Por hacer</v>
      </c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  <c r="CF141" s="27"/>
    </row>
    <row r="142" spans="1:84" hidden="1" outlineLevel="2" x14ac:dyDescent="0.2">
      <c r="A142" s="35" t="s">
        <v>343</v>
      </c>
      <c r="B142" s="36" t="s">
        <v>344</v>
      </c>
      <c r="C142" s="35" t="s">
        <v>65</v>
      </c>
      <c r="D142" s="35" t="s">
        <v>102</v>
      </c>
      <c r="E142" s="37">
        <f>Tareas!H106</f>
        <v>46328</v>
      </c>
      <c r="F142" s="37">
        <f>Tareas!I106</f>
        <v>46332</v>
      </c>
      <c r="G142" s="35">
        <f t="shared" si="7"/>
        <v>5</v>
      </c>
      <c r="H142" s="38">
        <f>Tareas!K106</f>
        <v>0</v>
      </c>
      <c r="I142" s="35" t="str">
        <f>Tareas!J106</f>
        <v>Por hacer</v>
      </c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  <c r="CF142" s="27"/>
    </row>
    <row r="143" spans="1:84" hidden="1" outlineLevel="2" x14ac:dyDescent="0.2">
      <c r="A143" s="35" t="s">
        <v>345</v>
      </c>
      <c r="B143" s="36" t="s">
        <v>346</v>
      </c>
      <c r="C143" s="35" t="s">
        <v>65</v>
      </c>
      <c r="D143" s="35" t="s">
        <v>92</v>
      </c>
      <c r="E143" s="37">
        <f>Tareas!H107</f>
        <v>46328</v>
      </c>
      <c r="F143" s="37">
        <f>Tareas!I107</f>
        <v>46332</v>
      </c>
      <c r="G143" s="35">
        <f t="shared" si="7"/>
        <v>5</v>
      </c>
      <c r="H143" s="38">
        <f>Tareas!K107</f>
        <v>0</v>
      </c>
      <c r="I143" s="35" t="str">
        <f>Tareas!J107</f>
        <v>Por hacer</v>
      </c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  <c r="CF143" s="27"/>
    </row>
    <row r="144" spans="1:84" hidden="1" outlineLevel="2" x14ac:dyDescent="0.2">
      <c r="A144" s="35" t="s">
        <v>347</v>
      </c>
      <c r="B144" s="36" t="s">
        <v>348</v>
      </c>
      <c r="C144" s="35" t="s">
        <v>65</v>
      </c>
      <c r="D144" s="35" t="s">
        <v>92</v>
      </c>
      <c r="E144" s="37">
        <f>Tareas!H108</f>
        <v>46328</v>
      </c>
      <c r="F144" s="37">
        <f>Tareas!I108</f>
        <v>46332</v>
      </c>
      <c r="G144" s="35">
        <f t="shared" si="7"/>
        <v>5</v>
      </c>
      <c r="H144" s="38">
        <f>Tareas!K108</f>
        <v>0</v>
      </c>
      <c r="I144" s="35" t="str">
        <f>Tareas!J108</f>
        <v>Por hacer</v>
      </c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  <c r="CF144" s="27"/>
    </row>
    <row r="145" spans="1:84" hidden="1" outlineLevel="2" x14ac:dyDescent="0.2">
      <c r="A145" s="35" t="s">
        <v>349</v>
      </c>
      <c r="B145" s="36" t="s">
        <v>350</v>
      </c>
      <c r="C145" s="35" t="s">
        <v>65</v>
      </c>
      <c r="D145" s="35" t="s">
        <v>97</v>
      </c>
      <c r="E145" s="37">
        <f>Tareas!H109</f>
        <v>46328</v>
      </c>
      <c r="F145" s="37">
        <f>Tareas!I109</f>
        <v>46332</v>
      </c>
      <c r="G145" s="35">
        <f t="shared" si="7"/>
        <v>5</v>
      </c>
      <c r="H145" s="38">
        <f>Tareas!K109</f>
        <v>0</v>
      </c>
      <c r="I145" s="35" t="str">
        <f>Tareas!J109</f>
        <v>Por hacer</v>
      </c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  <c r="CF145" s="27"/>
    </row>
    <row r="146" spans="1:84" outlineLevel="1" x14ac:dyDescent="0.2">
      <c r="A146" s="6"/>
      <c r="B146" s="33" t="s">
        <v>137</v>
      </c>
      <c r="C146" s="6" t="s">
        <v>64</v>
      </c>
      <c r="D146" s="6" t="s">
        <v>86</v>
      </c>
      <c r="E146" s="34">
        <f>_xlfn.MINIFS(Tareas!$H:$H,Tareas!$B:$B,"Sprint 5",Tareas!$C:$C,"Transversal")</f>
        <v>46328</v>
      </c>
      <c r="F146" s="34">
        <f>_xlfn.MAXIFS(Tareas!$I:$I,Tareas!$B:$B,"Sprint 5",Tareas!$C:$C,"Transversal")</f>
        <v>46332</v>
      </c>
      <c r="G146" s="6">
        <f t="shared" si="7"/>
        <v>5</v>
      </c>
      <c r="H146" s="8">
        <f>IFERROR(SUMIFS(Tareas!$L:$L,Tareas!$B:$B,"Sprint 5",Tareas!$C:$C,"Transversal")/SUMIFS(Tareas!$F:$F,Tareas!$B:$B,"Sprint 5",Tareas!$C:$C,"Transversal"),0)</f>
        <v>0</v>
      </c>
      <c r="I146" s="6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  <c r="CF146" s="27"/>
    </row>
    <row r="147" spans="1:84" hidden="1" outlineLevel="2" x14ac:dyDescent="0.2">
      <c r="A147" s="35" t="s">
        <v>351</v>
      </c>
      <c r="B147" s="36" t="s">
        <v>352</v>
      </c>
      <c r="C147" s="35" t="s">
        <v>65</v>
      </c>
      <c r="D147" s="35" t="s">
        <v>97</v>
      </c>
      <c r="E147" s="37">
        <f>Tareas!H110</f>
        <v>46328</v>
      </c>
      <c r="F147" s="37">
        <f>Tareas!I110</f>
        <v>46332</v>
      </c>
      <c r="G147" s="35">
        <f t="shared" si="7"/>
        <v>5</v>
      </c>
      <c r="H147" s="38">
        <f>Tareas!K110</f>
        <v>0</v>
      </c>
      <c r="I147" s="35" t="str">
        <f>Tareas!J110</f>
        <v>Por hacer</v>
      </c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  <c r="CF147" s="27"/>
    </row>
    <row r="148" spans="1:84" hidden="1" outlineLevel="2" x14ac:dyDescent="0.2">
      <c r="A148" s="35" t="s">
        <v>353</v>
      </c>
      <c r="B148" s="36" t="s">
        <v>354</v>
      </c>
      <c r="C148" s="35" t="s">
        <v>65</v>
      </c>
      <c r="D148" s="35" t="s">
        <v>102</v>
      </c>
      <c r="E148" s="37">
        <f>Tareas!H111</f>
        <v>46328</v>
      </c>
      <c r="F148" s="37">
        <f>Tareas!I111</f>
        <v>46332</v>
      </c>
      <c r="G148" s="35">
        <f t="shared" si="7"/>
        <v>5</v>
      </c>
      <c r="H148" s="38">
        <f>Tareas!K111</f>
        <v>0</v>
      </c>
      <c r="I148" s="35" t="str">
        <f>Tareas!J111</f>
        <v>Por hacer</v>
      </c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  <c r="CF148" s="27"/>
    </row>
    <row r="149" spans="1:84" hidden="1" outlineLevel="2" x14ac:dyDescent="0.2">
      <c r="A149" s="35" t="s">
        <v>355</v>
      </c>
      <c r="B149" s="36" t="s">
        <v>356</v>
      </c>
      <c r="C149" s="35" t="s">
        <v>65</v>
      </c>
      <c r="D149" s="35" t="s">
        <v>102</v>
      </c>
      <c r="E149" s="37">
        <f>Tareas!H112</f>
        <v>46328</v>
      </c>
      <c r="F149" s="37">
        <f>Tareas!I112</f>
        <v>46332</v>
      </c>
      <c r="G149" s="35">
        <f t="shared" si="7"/>
        <v>5</v>
      </c>
      <c r="H149" s="38">
        <f>Tareas!K112</f>
        <v>0</v>
      </c>
      <c r="I149" s="35" t="str">
        <f>Tareas!J112</f>
        <v>Por hacer</v>
      </c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  <c r="CF149" s="27"/>
    </row>
    <row r="150" spans="1:84" hidden="1" outlineLevel="2" x14ac:dyDescent="0.2">
      <c r="A150" s="35" t="s">
        <v>357</v>
      </c>
      <c r="B150" s="36" t="s">
        <v>358</v>
      </c>
      <c r="C150" s="35" t="s">
        <v>65</v>
      </c>
      <c r="D150" s="35" t="s">
        <v>92</v>
      </c>
      <c r="E150" s="37">
        <f>Tareas!H113</f>
        <v>46328</v>
      </c>
      <c r="F150" s="37">
        <f>Tareas!I113</f>
        <v>46332</v>
      </c>
      <c r="G150" s="35">
        <f t="shared" si="7"/>
        <v>5</v>
      </c>
      <c r="H150" s="38">
        <f>Tareas!K113</f>
        <v>0</v>
      </c>
      <c r="I150" s="35" t="str">
        <f>Tareas!J113</f>
        <v>Por hacer</v>
      </c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  <c r="CF150" s="27"/>
    </row>
    <row r="151" spans="1:84" hidden="1" outlineLevel="2" x14ac:dyDescent="0.2">
      <c r="A151" s="35" t="s">
        <v>359</v>
      </c>
      <c r="B151" s="36" t="s">
        <v>145</v>
      </c>
      <c r="C151" s="35" t="s">
        <v>65</v>
      </c>
      <c r="D151" s="35" t="s">
        <v>97</v>
      </c>
      <c r="E151" s="37">
        <f>Tareas!H114</f>
        <v>46328</v>
      </c>
      <c r="F151" s="37">
        <f>Tareas!I114</f>
        <v>46332</v>
      </c>
      <c r="G151" s="35">
        <f t="shared" si="7"/>
        <v>5</v>
      </c>
      <c r="H151" s="38">
        <f>Tareas!K114</f>
        <v>0</v>
      </c>
      <c r="I151" s="35" t="str">
        <f>Tareas!J114</f>
        <v>Por hacer</v>
      </c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  <c r="CF151" s="27"/>
    </row>
    <row r="152" spans="1:84" ht="25.5" x14ac:dyDescent="0.2">
      <c r="A152" s="4" t="s">
        <v>360</v>
      </c>
      <c r="B152" s="25" t="s">
        <v>361</v>
      </c>
      <c r="C152" s="4" t="s">
        <v>7</v>
      </c>
      <c r="D152" s="4" t="s">
        <v>201</v>
      </c>
      <c r="E152" s="26">
        <f>Resumen!C13</f>
        <v>46335</v>
      </c>
      <c r="F152" s="26">
        <f>Resumen!D13</f>
        <v>46339</v>
      </c>
      <c r="G152" s="4">
        <f t="shared" si="7"/>
        <v>5</v>
      </c>
      <c r="H152" s="11">
        <f>Resumen!L13</f>
        <v>0</v>
      </c>
      <c r="I152" s="4" t="str">
        <f ca="1">Resumen!Q13</f>
        <v>Planificado</v>
      </c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  <c r="CF152" s="27"/>
    </row>
    <row r="153" spans="1:84" outlineLevel="1" x14ac:dyDescent="0.2">
      <c r="A153" s="28"/>
      <c r="B153" s="29" t="s">
        <v>84</v>
      </c>
      <c r="C153" s="28" t="s">
        <v>85</v>
      </c>
      <c r="D153" s="28" t="s">
        <v>86</v>
      </c>
      <c r="E153" s="30"/>
      <c r="F153" s="30"/>
      <c r="G153" s="28"/>
      <c r="H153" s="31"/>
      <c r="I153" s="28"/>
      <c r="J153" s="32" t="str">
        <f>IF(J$6=Eventos!$C$30,"P",IF(J$6=Eventos!$C$31,"C",IF(J$6=Eventos!$C$32,"R","")))</f>
        <v/>
      </c>
      <c r="K153" s="32" t="str">
        <f>IF(K$6=Eventos!$C$30,"P",IF(K$6=Eventos!$C$31,"C",IF(K$6=Eventos!$C$32,"R","")))</f>
        <v/>
      </c>
      <c r="L153" s="32" t="str">
        <f>IF(L$6=Eventos!$C$30,"P",IF(L$6=Eventos!$C$31,"C",IF(L$6=Eventos!$C$32,"R","")))</f>
        <v/>
      </c>
      <c r="M153" s="32" t="str">
        <f>IF(M$6=Eventos!$C$30,"P",IF(M$6=Eventos!$C$31,"C",IF(M$6=Eventos!$C$32,"R","")))</f>
        <v/>
      </c>
      <c r="N153" s="32" t="str">
        <f>IF(N$6=Eventos!$C$30,"P",IF(N$6=Eventos!$C$31,"C",IF(N$6=Eventos!$C$32,"R","")))</f>
        <v/>
      </c>
      <c r="O153" s="32" t="str">
        <f>IF(O$6=Eventos!$C$30,"P",IF(O$6=Eventos!$C$31,"C",IF(O$6=Eventos!$C$32,"R","")))</f>
        <v/>
      </c>
      <c r="P153" s="32" t="str">
        <f>IF(P$6=Eventos!$C$30,"P",IF(P$6=Eventos!$C$31,"C",IF(P$6=Eventos!$C$32,"R","")))</f>
        <v/>
      </c>
      <c r="Q153" s="32" t="str">
        <f>IF(Q$6=Eventos!$C$30,"P",IF(Q$6=Eventos!$C$31,"C",IF(Q$6=Eventos!$C$32,"R","")))</f>
        <v/>
      </c>
      <c r="R153" s="32" t="str">
        <f>IF(R$6=Eventos!$C$30,"P",IF(R$6=Eventos!$C$31,"C",IF(R$6=Eventos!$C$32,"R","")))</f>
        <v/>
      </c>
      <c r="S153" s="32" t="str">
        <f>IF(S$6=Eventos!$C$30,"P",IF(S$6=Eventos!$C$31,"C",IF(S$6=Eventos!$C$32,"R","")))</f>
        <v/>
      </c>
      <c r="T153" s="32" t="str">
        <f>IF(T$6=Eventos!$C$30,"P",IF(T$6=Eventos!$C$31,"C",IF(T$6=Eventos!$C$32,"R","")))</f>
        <v/>
      </c>
      <c r="U153" s="32" t="str">
        <f>IF(U$6=Eventos!$C$30,"P",IF(U$6=Eventos!$C$31,"C",IF(U$6=Eventos!$C$32,"R","")))</f>
        <v/>
      </c>
      <c r="V153" s="32" t="str">
        <f>IF(V$6=Eventos!$C$30,"P",IF(V$6=Eventos!$C$31,"C",IF(V$6=Eventos!$C$32,"R","")))</f>
        <v/>
      </c>
      <c r="W153" s="32" t="str">
        <f>IF(W$6=Eventos!$C$30,"P",IF(W$6=Eventos!$C$31,"C",IF(W$6=Eventos!$C$32,"R","")))</f>
        <v/>
      </c>
      <c r="X153" s="32" t="str">
        <f>IF(X$6=Eventos!$C$30,"P",IF(X$6=Eventos!$C$31,"C",IF(X$6=Eventos!$C$32,"R","")))</f>
        <v/>
      </c>
      <c r="Y153" s="32" t="str">
        <f>IF(Y$6=Eventos!$C$30,"P",IF(Y$6=Eventos!$C$31,"C",IF(Y$6=Eventos!$C$32,"R","")))</f>
        <v/>
      </c>
      <c r="Z153" s="32" t="str">
        <f>IF(Z$6=Eventos!$C$30,"P",IF(Z$6=Eventos!$C$31,"C",IF(Z$6=Eventos!$C$32,"R","")))</f>
        <v/>
      </c>
      <c r="AA153" s="32" t="str">
        <f>IF(AA$6=Eventos!$C$30,"P",IF(AA$6=Eventos!$C$31,"C",IF(AA$6=Eventos!$C$32,"R","")))</f>
        <v/>
      </c>
      <c r="AB153" s="32" t="str">
        <f>IF(AB$6=Eventos!$C$30,"P",IF(AB$6=Eventos!$C$31,"C",IF(AB$6=Eventos!$C$32,"R","")))</f>
        <v/>
      </c>
      <c r="AC153" s="32" t="str">
        <f>IF(AC$6=Eventos!$C$30,"P",IF(AC$6=Eventos!$C$31,"C",IF(AC$6=Eventos!$C$32,"R","")))</f>
        <v/>
      </c>
      <c r="AD153" s="32" t="str">
        <f>IF(AD$6=Eventos!$C$30,"P",IF(AD$6=Eventos!$C$31,"C",IF(AD$6=Eventos!$C$32,"R","")))</f>
        <v/>
      </c>
      <c r="AE153" s="32" t="str">
        <f>IF(AE$6=Eventos!$C$30,"P",IF(AE$6=Eventos!$C$31,"C",IF(AE$6=Eventos!$C$32,"R","")))</f>
        <v/>
      </c>
      <c r="AF153" s="32" t="str">
        <f>IF(AF$6=Eventos!$C$30,"P",IF(AF$6=Eventos!$C$31,"C",IF(AF$6=Eventos!$C$32,"R","")))</f>
        <v/>
      </c>
      <c r="AG153" s="32" t="str">
        <f>IF(AG$6=Eventos!$C$30,"P",IF(AG$6=Eventos!$C$31,"C",IF(AG$6=Eventos!$C$32,"R","")))</f>
        <v/>
      </c>
      <c r="AH153" s="32" t="str">
        <f>IF(AH$6=Eventos!$C$30,"P",IF(AH$6=Eventos!$C$31,"C",IF(AH$6=Eventos!$C$32,"R","")))</f>
        <v/>
      </c>
      <c r="AI153" s="32" t="str">
        <f>IF(AI$6=Eventos!$C$30,"P",IF(AI$6=Eventos!$C$31,"C",IF(AI$6=Eventos!$C$32,"R","")))</f>
        <v/>
      </c>
      <c r="AJ153" s="32" t="str">
        <f>IF(AJ$6=Eventos!$C$30,"P",IF(AJ$6=Eventos!$C$31,"C",IF(AJ$6=Eventos!$C$32,"R","")))</f>
        <v/>
      </c>
      <c r="AK153" s="32" t="str">
        <f>IF(AK$6=Eventos!$C$30,"P",IF(AK$6=Eventos!$C$31,"C",IF(AK$6=Eventos!$C$32,"R","")))</f>
        <v/>
      </c>
      <c r="AL153" s="32" t="str">
        <f>IF(AL$6=Eventos!$C$30,"P",IF(AL$6=Eventos!$C$31,"C",IF(AL$6=Eventos!$C$32,"R","")))</f>
        <v/>
      </c>
      <c r="AM153" s="32" t="str">
        <f>IF(AM$6=Eventos!$C$30,"P",IF(AM$6=Eventos!$C$31,"C",IF(AM$6=Eventos!$C$32,"R","")))</f>
        <v/>
      </c>
      <c r="AN153" s="32" t="str">
        <f>IF(AN$6=Eventos!$C$30,"P",IF(AN$6=Eventos!$C$31,"C",IF(AN$6=Eventos!$C$32,"R","")))</f>
        <v/>
      </c>
      <c r="AO153" s="32" t="str">
        <f>IF(AO$6=Eventos!$C$30,"P",IF(AO$6=Eventos!$C$31,"C",IF(AO$6=Eventos!$C$32,"R","")))</f>
        <v/>
      </c>
      <c r="AP153" s="32" t="str">
        <f>IF(AP$6=Eventos!$C$30,"P",IF(AP$6=Eventos!$C$31,"C",IF(AP$6=Eventos!$C$32,"R","")))</f>
        <v/>
      </c>
      <c r="AQ153" s="32" t="str">
        <f>IF(AQ$6=Eventos!$C$30,"P",IF(AQ$6=Eventos!$C$31,"C",IF(AQ$6=Eventos!$C$32,"R","")))</f>
        <v/>
      </c>
      <c r="AR153" s="32" t="str">
        <f>IF(AR$6=Eventos!$C$30,"P",IF(AR$6=Eventos!$C$31,"C",IF(AR$6=Eventos!$C$32,"R","")))</f>
        <v/>
      </c>
      <c r="AS153" s="32" t="str">
        <f>IF(AS$6=Eventos!$C$30,"P",IF(AS$6=Eventos!$C$31,"C",IF(AS$6=Eventos!$C$32,"R","")))</f>
        <v/>
      </c>
      <c r="AT153" s="32" t="str">
        <f>IF(AT$6=Eventos!$C$30,"P",IF(AT$6=Eventos!$C$31,"C",IF(AT$6=Eventos!$C$32,"R","")))</f>
        <v/>
      </c>
      <c r="AU153" s="32" t="str">
        <f>IF(AU$6=Eventos!$C$30,"P",IF(AU$6=Eventos!$C$31,"C",IF(AU$6=Eventos!$C$32,"R","")))</f>
        <v/>
      </c>
      <c r="AV153" s="32" t="str">
        <f>IF(AV$6=Eventos!$C$30,"P",IF(AV$6=Eventos!$C$31,"C",IF(AV$6=Eventos!$C$32,"R","")))</f>
        <v/>
      </c>
      <c r="AW153" s="32" t="str">
        <f>IF(AW$6=Eventos!$C$30,"P",IF(AW$6=Eventos!$C$31,"C",IF(AW$6=Eventos!$C$32,"R","")))</f>
        <v/>
      </c>
      <c r="AX153" s="32" t="str">
        <f>IF(AX$6=Eventos!$C$30,"P",IF(AX$6=Eventos!$C$31,"C",IF(AX$6=Eventos!$C$32,"R","")))</f>
        <v/>
      </c>
      <c r="AY153" s="32" t="str">
        <f>IF(AY$6=Eventos!$C$30,"P",IF(AY$6=Eventos!$C$31,"C",IF(AY$6=Eventos!$C$32,"R","")))</f>
        <v/>
      </c>
      <c r="AZ153" s="32" t="str">
        <f>IF(AZ$6=Eventos!$C$30,"P",IF(AZ$6=Eventos!$C$31,"C",IF(AZ$6=Eventos!$C$32,"R","")))</f>
        <v/>
      </c>
      <c r="BA153" s="32" t="str">
        <f>IF(BA$6=Eventos!$C$30,"P",IF(BA$6=Eventos!$C$31,"C",IF(BA$6=Eventos!$C$32,"R","")))</f>
        <v/>
      </c>
      <c r="BB153" s="32" t="str">
        <f>IF(BB$6=Eventos!$C$30,"P",IF(BB$6=Eventos!$C$31,"C",IF(BB$6=Eventos!$C$32,"R","")))</f>
        <v/>
      </c>
      <c r="BC153" s="32" t="str">
        <f>IF(BC$6=Eventos!$C$30,"P",IF(BC$6=Eventos!$C$31,"C",IF(BC$6=Eventos!$C$32,"R","")))</f>
        <v/>
      </c>
      <c r="BD153" s="32" t="str">
        <f>IF(BD$6=Eventos!$C$30,"P",IF(BD$6=Eventos!$C$31,"C",IF(BD$6=Eventos!$C$32,"R","")))</f>
        <v/>
      </c>
      <c r="BE153" s="32" t="str">
        <f>IF(BE$6=Eventos!$C$30,"P",IF(BE$6=Eventos!$C$31,"C",IF(BE$6=Eventos!$C$32,"R","")))</f>
        <v/>
      </c>
      <c r="BF153" s="32" t="str">
        <f>IF(BF$6=Eventos!$C$30,"P",IF(BF$6=Eventos!$C$31,"C",IF(BF$6=Eventos!$C$32,"R","")))</f>
        <v/>
      </c>
      <c r="BG153" s="32" t="str">
        <f>IF(BG$6=Eventos!$C$30,"P",IF(BG$6=Eventos!$C$31,"C",IF(BG$6=Eventos!$C$32,"R","")))</f>
        <v/>
      </c>
      <c r="BH153" s="32" t="str">
        <f>IF(BH$6=Eventos!$C$30,"P",IF(BH$6=Eventos!$C$31,"C",IF(BH$6=Eventos!$C$32,"R","")))</f>
        <v>P</v>
      </c>
      <c r="BI153" s="32" t="str">
        <f>IF(BI$6=Eventos!$C$30,"P",IF(BI$6=Eventos!$C$31,"C",IF(BI$6=Eventos!$C$32,"R","")))</f>
        <v/>
      </c>
      <c r="BJ153" s="32" t="str">
        <f>IF(BJ$6=Eventos!$C$30,"P",IF(BJ$6=Eventos!$C$31,"C",IF(BJ$6=Eventos!$C$32,"R","")))</f>
        <v/>
      </c>
      <c r="BK153" s="32" t="str">
        <f>IF(BK$6=Eventos!$C$30,"P",IF(BK$6=Eventos!$C$31,"C",IF(BK$6=Eventos!$C$32,"R","")))</f>
        <v>C</v>
      </c>
      <c r="BL153" s="32" t="str">
        <f>IF(BL$6=Eventos!$C$30,"P",IF(BL$6=Eventos!$C$31,"C",IF(BL$6=Eventos!$C$32,"R","")))</f>
        <v>R</v>
      </c>
      <c r="BM153" s="32" t="str">
        <f>IF(BM$6=Eventos!$C$30,"P",IF(BM$6=Eventos!$C$31,"C",IF(BM$6=Eventos!$C$32,"R","")))</f>
        <v/>
      </c>
      <c r="BN153" s="32" t="str">
        <f>IF(BN$6=Eventos!$C$30,"P",IF(BN$6=Eventos!$C$31,"C",IF(BN$6=Eventos!$C$32,"R","")))</f>
        <v/>
      </c>
      <c r="BO153" s="32" t="str">
        <f>IF(BO$6=Eventos!$C$30,"P",IF(BO$6=Eventos!$C$31,"C",IF(BO$6=Eventos!$C$32,"R","")))</f>
        <v/>
      </c>
      <c r="BP153" s="32" t="str">
        <f>IF(BP$6=Eventos!$C$30,"P",IF(BP$6=Eventos!$C$31,"C",IF(BP$6=Eventos!$C$32,"R","")))</f>
        <v/>
      </c>
      <c r="BQ153" s="32" t="str">
        <f>IF(BQ$6=Eventos!$C$30,"P",IF(BQ$6=Eventos!$C$31,"C",IF(BQ$6=Eventos!$C$32,"R","")))</f>
        <v/>
      </c>
      <c r="BR153" s="32" t="str">
        <f>IF(BR$6=Eventos!$C$30,"P",IF(BR$6=Eventos!$C$31,"C",IF(BR$6=Eventos!$C$32,"R","")))</f>
        <v/>
      </c>
      <c r="BS153" s="32" t="str">
        <f>IF(BS$6=Eventos!$C$30,"P",IF(BS$6=Eventos!$C$31,"C",IF(BS$6=Eventos!$C$32,"R","")))</f>
        <v/>
      </c>
      <c r="BT153" s="32" t="str">
        <f>IF(BT$6=Eventos!$C$30,"P",IF(BT$6=Eventos!$C$31,"C",IF(BT$6=Eventos!$C$32,"R","")))</f>
        <v/>
      </c>
      <c r="BU153" s="32" t="str">
        <f>IF(BU$6=Eventos!$C$30,"P",IF(BU$6=Eventos!$C$31,"C",IF(BU$6=Eventos!$C$32,"R","")))</f>
        <v/>
      </c>
      <c r="BV153" s="32" t="str">
        <f>IF(BV$6=Eventos!$C$30,"P",IF(BV$6=Eventos!$C$31,"C",IF(BV$6=Eventos!$C$32,"R","")))</f>
        <v/>
      </c>
      <c r="BW153" s="32" t="str">
        <f>IF(BW$6=Eventos!$C$30,"P",IF(BW$6=Eventos!$C$31,"C",IF(BW$6=Eventos!$C$32,"R","")))</f>
        <v/>
      </c>
      <c r="BX153" s="32" t="str">
        <f>IF(BX$6=Eventos!$C$30,"P",IF(BX$6=Eventos!$C$31,"C",IF(BX$6=Eventos!$C$32,"R","")))</f>
        <v/>
      </c>
      <c r="BY153" s="32" t="str">
        <f>IF(BY$6=Eventos!$C$30,"P",IF(BY$6=Eventos!$C$31,"C",IF(BY$6=Eventos!$C$32,"R","")))</f>
        <v/>
      </c>
      <c r="BZ153" s="32" t="str">
        <f>IF(BZ$6=Eventos!$C$30,"P",IF(BZ$6=Eventos!$C$31,"C",IF(BZ$6=Eventos!$C$32,"R","")))</f>
        <v/>
      </c>
      <c r="CA153" s="32" t="str">
        <f>IF(CA$6=Eventos!$C$30,"P",IF(CA$6=Eventos!$C$31,"C",IF(CA$6=Eventos!$C$32,"R","")))</f>
        <v/>
      </c>
      <c r="CB153" s="32" t="str">
        <f>IF(CB$6=Eventos!$C$30,"P",IF(CB$6=Eventos!$C$31,"C",IF(CB$6=Eventos!$C$32,"R","")))</f>
        <v/>
      </c>
      <c r="CC153" s="32" t="str">
        <f>IF(CC$6=Eventos!$C$30,"P",IF(CC$6=Eventos!$C$31,"C",IF(CC$6=Eventos!$C$32,"R","")))</f>
        <v/>
      </c>
      <c r="CD153" s="32" t="str">
        <f>IF(CD$6=Eventos!$C$30,"P",IF(CD$6=Eventos!$C$31,"C",IF(CD$6=Eventos!$C$32,"R","")))</f>
        <v/>
      </c>
      <c r="CE153" s="32" t="str">
        <f>IF(CE$6=Eventos!$C$30,"P",IF(CE$6=Eventos!$C$31,"C",IF(CE$6=Eventos!$C$32,"R","")))</f>
        <v/>
      </c>
      <c r="CF153" s="32" t="str">
        <f>IF(CF$6=Eventos!$C$30,"P",IF(CF$6=Eventos!$C$31,"C",IF(CF$6=Eventos!$C$32,"R","")))</f>
        <v/>
      </c>
    </row>
    <row r="154" spans="1:84" outlineLevel="1" x14ac:dyDescent="0.2">
      <c r="A154" s="6" t="s">
        <v>54</v>
      </c>
      <c r="B154" s="33" t="s">
        <v>362</v>
      </c>
      <c r="C154" s="6" t="s">
        <v>64</v>
      </c>
      <c r="D154" s="6" t="s">
        <v>232</v>
      </c>
      <c r="E154" s="34">
        <f>Historias!J24</f>
        <v>46335</v>
      </c>
      <c r="F154" s="34">
        <f>Historias!K24</f>
        <v>46339</v>
      </c>
      <c r="G154" s="6">
        <f t="shared" ref="G154:G169" si="8">NETWORKDAYS(E154,F154,Feriados)</f>
        <v>5</v>
      </c>
      <c r="H154" s="8">
        <f>Historias!N24</f>
        <v>0</v>
      </c>
      <c r="I154" s="6" t="str">
        <f>Historias!P24</f>
        <v>Por hacer</v>
      </c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  <c r="CF154" s="27"/>
    </row>
    <row r="155" spans="1:84" hidden="1" outlineLevel="2" x14ac:dyDescent="0.2">
      <c r="A155" s="35" t="s">
        <v>363</v>
      </c>
      <c r="B155" s="36" t="s">
        <v>364</v>
      </c>
      <c r="C155" s="35" t="s">
        <v>65</v>
      </c>
      <c r="D155" s="35" t="s">
        <v>97</v>
      </c>
      <c r="E155" s="37">
        <f>Tareas!H115</f>
        <v>46335</v>
      </c>
      <c r="F155" s="37">
        <f>Tareas!I115</f>
        <v>46339</v>
      </c>
      <c r="G155" s="35">
        <f t="shared" si="8"/>
        <v>5</v>
      </c>
      <c r="H155" s="38">
        <f>Tareas!K115</f>
        <v>0</v>
      </c>
      <c r="I155" s="35" t="str">
        <f>Tareas!J115</f>
        <v>Por hacer</v>
      </c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  <c r="CF155" s="27"/>
    </row>
    <row r="156" spans="1:84" hidden="1" outlineLevel="2" x14ac:dyDescent="0.2">
      <c r="A156" s="35" t="s">
        <v>365</v>
      </c>
      <c r="B156" s="36" t="s">
        <v>366</v>
      </c>
      <c r="C156" s="35" t="s">
        <v>65</v>
      </c>
      <c r="D156" s="35" t="s">
        <v>97</v>
      </c>
      <c r="E156" s="37">
        <f>Tareas!H116</f>
        <v>46335</v>
      </c>
      <c r="F156" s="37">
        <f>Tareas!I116</f>
        <v>46339</v>
      </c>
      <c r="G156" s="35">
        <f t="shared" si="8"/>
        <v>5</v>
      </c>
      <c r="H156" s="38">
        <f>Tareas!K116</f>
        <v>0</v>
      </c>
      <c r="I156" s="35" t="str">
        <f>Tareas!J116</f>
        <v>Por hacer</v>
      </c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  <c r="CF156" s="27"/>
    </row>
    <row r="157" spans="1:84" hidden="1" outlineLevel="2" x14ac:dyDescent="0.2">
      <c r="A157" s="35" t="s">
        <v>367</v>
      </c>
      <c r="B157" s="36" t="s">
        <v>368</v>
      </c>
      <c r="C157" s="35" t="s">
        <v>65</v>
      </c>
      <c r="D157" s="35" t="s">
        <v>102</v>
      </c>
      <c r="E157" s="37">
        <f>Tareas!H117</f>
        <v>46335</v>
      </c>
      <c r="F157" s="37">
        <f>Tareas!I117</f>
        <v>46339</v>
      </c>
      <c r="G157" s="35">
        <f t="shared" si="8"/>
        <v>5</v>
      </c>
      <c r="H157" s="38">
        <f>Tareas!K117</f>
        <v>0</v>
      </c>
      <c r="I157" s="35" t="str">
        <f>Tareas!J117</f>
        <v>Por hacer</v>
      </c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  <c r="CF157" s="27"/>
    </row>
    <row r="158" spans="1:84" hidden="1" outlineLevel="2" x14ac:dyDescent="0.2">
      <c r="A158" s="35" t="s">
        <v>369</v>
      </c>
      <c r="B158" s="36" t="s">
        <v>370</v>
      </c>
      <c r="C158" s="35" t="s">
        <v>65</v>
      </c>
      <c r="D158" s="35" t="s">
        <v>102</v>
      </c>
      <c r="E158" s="37">
        <f>Tareas!H118</f>
        <v>46335</v>
      </c>
      <c r="F158" s="37">
        <f>Tareas!I118</f>
        <v>46339</v>
      </c>
      <c r="G158" s="35">
        <f t="shared" si="8"/>
        <v>5</v>
      </c>
      <c r="H158" s="38">
        <f>Tareas!K118</f>
        <v>0</v>
      </c>
      <c r="I158" s="35" t="str">
        <f>Tareas!J118</f>
        <v>Por hacer</v>
      </c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  <c r="CF158" s="27"/>
    </row>
    <row r="159" spans="1:84" hidden="1" outlineLevel="2" x14ac:dyDescent="0.2">
      <c r="A159" s="35" t="s">
        <v>371</v>
      </c>
      <c r="B159" s="36" t="s">
        <v>372</v>
      </c>
      <c r="C159" s="35" t="s">
        <v>65</v>
      </c>
      <c r="D159" s="35" t="s">
        <v>92</v>
      </c>
      <c r="E159" s="37">
        <f>Tareas!H119</f>
        <v>46335</v>
      </c>
      <c r="F159" s="37">
        <f>Tareas!I119</f>
        <v>46339</v>
      </c>
      <c r="G159" s="35">
        <f t="shared" si="8"/>
        <v>5</v>
      </c>
      <c r="H159" s="38">
        <f>Tareas!K119</f>
        <v>0</v>
      </c>
      <c r="I159" s="35" t="str">
        <f>Tareas!J119</f>
        <v>Por hacer</v>
      </c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  <c r="CF159" s="27"/>
    </row>
    <row r="160" spans="1:84" outlineLevel="1" x14ac:dyDescent="0.2">
      <c r="A160" s="6"/>
      <c r="B160" s="33" t="s">
        <v>137</v>
      </c>
      <c r="C160" s="6" t="s">
        <v>64</v>
      </c>
      <c r="D160" s="6" t="s">
        <v>86</v>
      </c>
      <c r="E160" s="34">
        <f>_xlfn.MINIFS(Tareas!$H:$H,Tareas!$B:$B,"Sprint 6",Tareas!$C:$C,"Transversal")</f>
        <v>46335</v>
      </c>
      <c r="F160" s="34">
        <f>_xlfn.MAXIFS(Tareas!$I:$I,Tareas!$B:$B,"Sprint 6",Tareas!$C:$C,"Transversal")</f>
        <v>46339</v>
      </c>
      <c r="G160" s="6">
        <f t="shared" si="8"/>
        <v>5</v>
      </c>
      <c r="H160" s="8">
        <f>IFERROR(SUMIFS(Tareas!$L:$L,Tareas!$B:$B,"Sprint 6",Tareas!$C:$C,"Transversal")/SUMIFS(Tareas!$F:$F,Tareas!$B:$B,"Sprint 6",Tareas!$C:$C,"Transversal"),0)</f>
        <v>0</v>
      </c>
      <c r="I160" s="6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  <c r="CF160" s="27"/>
    </row>
    <row r="161" spans="1:84" hidden="1" outlineLevel="2" x14ac:dyDescent="0.2">
      <c r="A161" s="35" t="s">
        <v>373</v>
      </c>
      <c r="B161" s="36" t="s">
        <v>374</v>
      </c>
      <c r="C161" s="35" t="s">
        <v>65</v>
      </c>
      <c r="D161" s="35" t="s">
        <v>92</v>
      </c>
      <c r="E161" s="37">
        <f>Tareas!H120</f>
        <v>46335</v>
      </c>
      <c r="F161" s="37">
        <f>Tareas!I120</f>
        <v>46339</v>
      </c>
      <c r="G161" s="35">
        <f t="shared" si="8"/>
        <v>5</v>
      </c>
      <c r="H161" s="38">
        <f>Tareas!K120</f>
        <v>0</v>
      </c>
      <c r="I161" s="35" t="str">
        <f>Tareas!J120</f>
        <v>Por hacer</v>
      </c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idden="1" outlineLevel="2" x14ac:dyDescent="0.2">
      <c r="A162" s="35" t="s">
        <v>375</v>
      </c>
      <c r="B162" s="36" t="s">
        <v>376</v>
      </c>
      <c r="C162" s="35" t="s">
        <v>65</v>
      </c>
      <c r="D162" s="35" t="s">
        <v>92</v>
      </c>
      <c r="E162" s="37">
        <f>Tareas!H121</f>
        <v>46335</v>
      </c>
      <c r="F162" s="37">
        <f>Tareas!I121</f>
        <v>46339</v>
      </c>
      <c r="G162" s="35">
        <f t="shared" si="8"/>
        <v>5</v>
      </c>
      <c r="H162" s="38">
        <f>Tareas!K121</f>
        <v>0</v>
      </c>
      <c r="I162" s="35" t="str">
        <f>Tareas!J121</f>
        <v>Por hacer</v>
      </c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  <c r="CF162" s="27"/>
    </row>
    <row r="163" spans="1:84" hidden="1" outlineLevel="2" x14ac:dyDescent="0.2">
      <c r="A163" s="35" t="s">
        <v>377</v>
      </c>
      <c r="B163" s="36" t="s">
        <v>378</v>
      </c>
      <c r="C163" s="35" t="s">
        <v>65</v>
      </c>
      <c r="D163" s="35" t="s">
        <v>97</v>
      </c>
      <c r="E163" s="37">
        <f>Tareas!H122</f>
        <v>46335</v>
      </c>
      <c r="F163" s="37">
        <f>Tareas!I122</f>
        <v>46339</v>
      </c>
      <c r="G163" s="35">
        <f t="shared" si="8"/>
        <v>5</v>
      </c>
      <c r="H163" s="38">
        <f>Tareas!K122</f>
        <v>0</v>
      </c>
      <c r="I163" s="35" t="str">
        <f>Tareas!J122</f>
        <v>Por hacer</v>
      </c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  <c r="CF163" s="27"/>
    </row>
    <row r="164" spans="1:84" hidden="1" outlineLevel="2" x14ac:dyDescent="0.2">
      <c r="A164" s="35" t="s">
        <v>379</v>
      </c>
      <c r="B164" s="36" t="s">
        <v>380</v>
      </c>
      <c r="C164" s="35" t="s">
        <v>65</v>
      </c>
      <c r="D164" s="35" t="s">
        <v>102</v>
      </c>
      <c r="E164" s="37">
        <f>Tareas!H123</f>
        <v>46335</v>
      </c>
      <c r="F164" s="37">
        <f>Tareas!I123</f>
        <v>46339</v>
      </c>
      <c r="G164" s="35">
        <f t="shared" si="8"/>
        <v>5</v>
      </c>
      <c r="H164" s="38">
        <f>Tareas!K123</f>
        <v>0</v>
      </c>
      <c r="I164" s="35" t="str">
        <f>Tareas!J123</f>
        <v>Por hacer</v>
      </c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  <c r="CF164" s="27"/>
    </row>
    <row r="165" spans="1:84" hidden="1" outlineLevel="2" x14ac:dyDescent="0.2">
      <c r="A165" s="35" t="s">
        <v>381</v>
      </c>
      <c r="B165" s="36" t="s">
        <v>145</v>
      </c>
      <c r="C165" s="35" t="s">
        <v>65</v>
      </c>
      <c r="D165" s="35" t="s">
        <v>92</v>
      </c>
      <c r="E165" s="37">
        <f>Tareas!H124</f>
        <v>46335</v>
      </c>
      <c r="F165" s="37">
        <f>Tareas!I124</f>
        <v>46339</v>
      </c>
      <c r="G165" s="35">
        <f t="shared" si="8"/>
        <v>5</v>
      </c>
      <c r="H165" s="38">
        <f>Tareas!K124</f>
        <v>0</v>
      </c>
      <c r="I165" s="35" t="str">
        <f>Tareas!J124</f>
        <v>Por hacer</v>
      </c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  <c r="CF165" s="27"/>
    </row>
    <row r="166" spans="1:84" x14ac:dyDescent="0.2">
      <c r="A166" s="4" t="s">
        <v>382</v>
      </c>
      <c r="B166" s="25" t="s">
        <v>74</v>
      </c>
      <c r="C166" s="4" t="s">
        <v>383</v>
      </c>
      <c r="D166" s="4" t="s">
        <v>86</v>
      </c>
      <c r="E166" s="26">
        <v>46342</v>
      </c>
      <c r="F166" s="26">
        <v>46363</v>
      </c>
      <c r="G166" s="4">
        <f t="shared" si="8"/>
        <v>16</v>
      </c>
      <c r="H166" s="11"/>
      <c r="I166" s="4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  <c r="CF166" s="27"/>
    </row>
    <row r="167" spans="1:84" outlineLevel="1" x14ac:dyDescent="0.2">
      <c r="A167" s="6"/>
      <c r="B167" s="33" t="s">
        <v>384</v>
      </c>
      <c r="C167" s="6" t="s">
        <v>76</v>
      </c>
      <c r="D167" s="6" t="s">
        <v>86</v>
      </c>
      <c r="E167" s="34">
        <v>46342</v>
      </c>
      <c r="F167" s="34">
        <v>46346</v>
      </c>
      <c r="G167" s="6">
        <f t="shared" si="8"/>
        <v>5</v>
      </c>
      <c r="H167" s="8"/>
      <c r="I167" s="6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  <c r="CF167" s="27"/>
    </row>
    <row r="168" spans="1:84" outlineLevel="1" x14ac:dyDescent="0.2">
      <c r="A168" s="6"/>
      <c r="B168" s="33" t="s">
        <v>385</v>
      </c>
      <c r="C168" s="6" t="s">
        <v>76</v>
      </c>
      <c r="D168" s="6" t="s">
        <v>86</v>
      </c>
      <c r="E168" s="34">
        <v>46342</v>
      </c>
      <c r="F168" s="34">
        <v>46360</v>
      </c>
      <c r="G168" s="6">
        <f t="shared" si="8"/>
        <v>15</v>
      </c>
      <c r="H168" s="8"/>
      <c r="I168" s="6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  <c r="CF168" s="27"/>
    </row>
    <row r="169" spans="1:84" outlineLevel="1" x14ac:dyDescent="0.2">
      <c r="A169" s="6"/>
      <c r="B169" s="33" t="s">
        <v>386</v>
      </c>
      <c r="C169" s="6" t="s">
        <v>68</v>
      </c>
      <c r="D169" s="6" t="s">
        <v>86</v>
      </c>
      <c r="E169" s="34">
        <v>46363</v>
      </c>
      <c r="F169" s="34">
        <v>46363</v>
      </c>
      <c r="G169" s="6">
        <f t="shared" si="8"/>
        <v>1</v>
      </c>
      <c r="H169" s="8"/>
      <c r="I169" s="6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  <c r="CF169" s="27"/>
    </row>
  </sheetData>
  <mergeCells count="12">
    <mergeCell ref="J4"/>
    <mergeCell ref="AO5:AW5"/>
    <mergeCell ref="BM5:CF5"/>
    <mergeCell ref="K4:AF4"/>
    <mergeCell ref="J5:S5"/>
    <mergeCell ref="AG4:BB4"/>
    <mergeCell ref="BH5:BL5"/>
    <mergeCell ref="T5:AC5"/>
    <mergeCell ref="BX4:CF4"/>
    <mergeCell ref="AD5:AM5"/>
    <mergeCell ref="AX5:BG5"/>
    <mergeCell ref="BC4:BW4"/>
  </mergeCells>
  <conditionalFormatting sqref="J6:CF169">
    <cfRule type="expression" dxfId="14" priority="10">
      <formula>J$6=TODAY()</formula>
    </cfRule>
  </conditionalFormatting>
  <conditionalFormatting sqref="J8:CF169">
    <cfRule type="expression" dxfId="13" priority="1">
      <formula>COUNTIF(Feriados,J$6)&gt;0</formula>
    </cfRule>
    <cfRule type="expression" dxfId="12" priority="2">
      <formula>AND(OR($C8="Sprint",$C8="Historia",$C8="Tarea"),$H8&gt;0,J$6&gt;=$E8,J$6&lt;$E8+($F8-$E8+1)*$H8)</formula>
    </cfRule>
    <cfRule type="expression" dxfId="11" priority="3">
      <formula>AND($C8="Sprint",J$6&gt;=$E8,J$6&lt;=$F8)</formula>
    </cfRule>
    <cfRule type="expression" dxfId="10" priority="4">
      <formula>AND($C8="Historia",J$6&gt;=$E8,J$6&lt;=$F8)</formula>
    </cfRule>
    <cfRule type="expression" dxfId="9" priority="5">
      <formula>AND($C8="Tarea",J$6&gt;=$E8,J$6&lt;=$F8)</formula>
    </cfRule>
    <cfRule type="expression" dxfId="8" priority="6">
      <formula>AND($C8="Cierre",J$6&gt;=$E8,J$6&lt;=$F8)</formula>
    </cfRule>
    <cfRule type="expression" dxfId="7" priority="7">
      <formula>AND($C8="Actividad",J$6&gt;=$E8,J$6&lt;=$F8)</formula>
    </cfRule>
    <cfRule type="expression" dxfId="6" priority="8">
      <formula>AND($C8="Hito",J$6&gt;=$E8,J$6&lt;=$F8)</formula>
    </cfRule>
    <cfRule type="expression" dxfId="5" priority="9">
      <formula>AND($C8="Eventos",J8&lt;&gt;"")</formula>
    </cfRule>
  </conditionalFormatting>
  <pageMargins left="0.75" right="0.75" top="1" bottom="1" header="0.5" footer="0.5"/>
  <pageSetup fitToHeight="0" orientation="landscape"/>
  <headerFooter>
    <oddHeader>&amp;L&amp;"Arial,Negrita"&amp;9DUOC UC · Escuela de Informática y Telecomunicaciones&amp;R&amp;"Arial"&amp;9Carta Gantt de sprints</oddHeader>
    <oddFooter>&amp;R&amp;"Arial"&amp;9Página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showGridLines="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9" defaultRowHeight="14.25" x14ac:dyDescent="0.2"/>
  <cols>
    <col min="1" max="1" width="9" customWidth="1"/>
    <col min="2" max="2" width="10" customWidth="1"/>
    <col min="3" max="3" width="12" customWidth="1"/>
    <col min="4" max="4" width="58" customWidth="1"/>
    <col min="5" max="5" width="19" customWidth="1"/>
    <col min="6" max="6" width="8" customWidth="1"/>
    <col min="7" max="7" width="9" customWidth="1"/>
    <col min="8" max="9" width="12" customWidth="1"/>
    <col min="10" max="10" width="13" customWidth="1"/>
    <col min="11" max="12" width="10" customWidth="1"/>
    <col min="13" max="13" width="30" customWidth="1"/>
  </cols>
  <sheetData>
    <row r="1" spans="1:13" ht="20.25" x14ac:dyDescent="0.3">
      <c r="A1" s="1" t="s">
        <v>387</v>
      </c>
    </row>
    <row r="2" spans="1:13" x14ac:dyDescent="0.2">
      <c r="A2" s="2" t="s">
        <v>388</v>
      </c>
    </row>
    <row r="4" spans="1:13" ht="25.5" x14ac:dyDescent="0.2">
      <c r="A4" s="3" t="s">
        <v>75</v>
      </c>
      <c r="B4" s="3" t="s">
        <v>7</v>
      </c>
      <c r="C4" s="3" t="s">
        <v>64</v>
      </c>
      <c r="D4" s="3" t="s">
        <v>65</v>
      </c>
      <c r="E4" s="3" t="s">
        <v>78</v>
      </c>
      <c r="F4" s="3" t="s">
        <v>389</v>
      </c>
      <c r="G4" s="3" t="s">
        <v>390</v>
      </c>
      <c r="H4" s="3" t="s">
        <v>8</v>
      </c>
      <c r="I4" s="3" t="s">
        <v>9</v>
      </c>
      <c r="J4" s="3" t="s">
        <v>22</v>
      </c>
      <c r="K4" s="3" t="s">
        <v>17</v>
      </c>
      <c r="L4" s="3" t="s">
        <v>391</v>
      </c>
      <c r="M4" s="3" t="s">
        <v>392</v>
      </c>
    </row>
    <row r="5" spans="1:13" ht="25.5" x14ac:dyDescent="0.2">
      <c r="A5" s="6" t="s">
        <v>90</v>
      </c>
      <c r="B5" s="6" t="s">
        <v>23</v>
      </c>
      <c r="C5" s="6" t="s">
        <v>87</v>
      </c>
      <c r="D5" s="7" t="s">
        <v>91</v>
      </c>
      <c r="E5" s="6" t="s">
        <v>27</v>
      </c>
      <c r="F5" s="6">
        <v>3</v>
      </c>
      <c r="G5" s="6">
        <v>1</v>
      </c>
      <c r="H5" s="39">
        <f t="shared" ref="H5:H36" si="0">IF($G5=1,INDEX(SprintInicio,MATCH($B5,SprintNombres,0)),INDEX(SprintInicio,MATCH($B5,SprintNombres,0))+8-WEEKDAY(INDEX(SprintInicio,MATCH($B5,SprintNombres,0)),2))</f>
        <v>46265</v>
      </c>
      <c r="I5" s="39">
        <f t="shared" ref="I5:I36" si="1">IF($G5=1,MIN(INDEX(SprintInicio,MATCH($B5,SprintNombres,0))+5-WEEKDAY(INDEX(SprintInicio,MATCH($B5,SprintNombres,0)),2),INDEX(SprintFin,MATCH($B5,SprintNombres,0))),INDEX(SprintFin,MATCH($B5,SprintNombres,0)))</f>
        <v>46269</v>
      </c>
      <c r="J5" s="40" t="s">
        <v>393</v>
      </c>
      <c r="K5" s="8">
        <f t="shared" ref="K5:K36" si="2">IFERROR(VLOOKUP($J5,EstadosAvance,2,FALSE),0)</f>
        <v>1</v>
      </c>
      <c r="L5" s="41">
        <f t="shared" ref="L5:L36" si="3">F5*K5</f>
        <v>3</v>
      </c>
      <c r="M5" s="7"/>
    </row>
    <row r="6" spans="1:13" ht="25.5" x14ac:dyDescent="0.2">
      <c r="A6" s="6" t="s">
        <v>93</v>
      </c>
      <c r="B6" s="6" t="s">
        <v>23</v>
      </c>
      <c r="C6" s="6" t="s">
        <v>87</v>
      </c>
      <c r="D6" s="7" t="s">
        <v>94</v>
      </c>
      <c r="E6" s="6" t="s">
        <v>27</v>
      </c>
      <c r="F6" s="6">
        <v>2</v>
      </c>
      <c r="G6" s="6">
        <v>1</v>
      </c>
      <c r="H6" s="39">
        <f t="shared" si="0"/>
        <v>46265</v>
      </c>
      <c r="I6" s="39">
        <f t="shared" si="1"/>
        <v>46269</v>
      </c>
      <c r="J6" s="40" t="s">
        <v>393</v>
      </c>
      <c r="K6" s="8">
        <f t="shared" si="2"/>
        <v>1</v>
      </c>
      <c r="L6" s="41">
        <f t="shared" si="3"/>
        <v>2</v>
      </c>
      <c r="M6" s="7"/>
    </row>
    <row r="7" spans="1:13" x14ac:dyDescent="0.2">
      <c r="A7" s="6" t="s">
        <v>95</v>
      </c>
      <c r="B7" s="6" t="s">
        <v>23</v>
      </c>
      <c r="C7" s="6" t="s">
        <v>87</v>
      </c>
      <c r="D7" s="7" t="s">
        <v>96</v>
      </c>
      <c r="E7" s="6" t="s">
        <v>29</v>
      </c>
      <c r="F7" s="6">
        <v>2</v>
      </c>
      <c r="G7" s="6">
        <v>1</v>
      </c>
      <c r="H7" s="39">
        <f t="shared" si="0"/>
        <v>46265</v>
      </c>
      <c r="I7" s="39">
        <f t="shared" si="1"/>
        <v>46269</v>
      </c>
      <c r="J7" s="40" t="s">
        <v>393</v>
      </c>
      <c r="K7" s="8">
        <f t="shared" si="2"/>
        <v>1</v>
      </c>
      <c r="L7" s="41">
        <f t="shared" si="3"/>
        <v>2</v>
      </c>
      <c r="M7" s="7"/>
    </row>
    <row r="8" spans="1:13" x14ac:dyDescent="0.2">
      <c r="A8" s="6" t="s">
        <v>98</v>
      </c>
      <c r="B8" s="6" t="s">
        <v>23</v>
      </c>
      <c r="C8" s="6" t="s">
        <v>87</v>
      </c>
      <c r="D8" s="7" t="s">
        <v>99</v>
      </c>
      <c r="E8" s="6" t="s">
        <v>29</v>
      </c>
      <c r="F8" s="6">
        <v>3</v>
      </c>
      <c r="G8" s="6">
        <v>1</v>
      </c>
      <c r="H8" s="39">
        <f t="shared" si="0"/>
        <v>46265</v>
      </c>
      <c r="I8" s="39">
        <f t="shared" si="1"/>
        <v>46269</v>
      </c>
      <c r="J8" s="40" t="s">
        <v>393</v>
      </c>
      <c r="K8" s="8">
        <f t="shared" si="2"/>
        <v>1</v>
      </c>
      <c r="L8" s="41">
        <f t="shared" si="3"/>
        <v>3</v>
      </c>
      <c r="M8" s="7"/>
    </row>
    <row r="9" spans="1:13" x14ac:dyDescent="0.2">
      <c r="A9" s="6" t="s">
        <v>100</v>
      </c>
      <c r="B9" s="6" t="s">
        <v>23</v>
      </c>
      <c r="C9" s="6" t="s">
        <v>87</v>
      </c>
      <c r="D9" s="7" t="s">
        <v>101</v>
      </c>
      <c r="E9" s="6" t="s">
        <v>28</v>
      </c>
      <c r="F9" s="6">
        <v>2</v>
      </c>
      <c r="G9" s="6">
        <v>1</v>
      </c>
      <c r="H9" s="39">
        <f t="shared" si="0"/>
        <v>46265</v>
      </c>
      <c r="I9" s="39">
        <f t="shared" si="1"/>
        <v>46269</v>
      </c>
      <c r="J9" s="40" t="s">
        <v>393</v>
      </c>
      <c r="K9" s="8">
        <f t="shared" si="2"/>
        <v>1</v>
      </c>
      <c r="L9" s="41">
        <f t="shared" si="3"/>
        <v>2</v>
      </c>
      <c r="M9" s="7"/>
    </row>
    <row r="10" spans="1:13" x14ac:dyDescent="0.2">
      <c r="A10" s="6" t="s">
        <v>105</v>
      </c>
      <c r="B10" s="6" t="s">
        <v>23</v>
      </c>
      <c r="C10" s="6" t="s">
        <v>103</v>
      </c>
      <c r="D10" s="7" t="s">
        <v>106</v>
      </c>
      <c r="E10" s="6" t="s">
        <v>29</v>
      </c>
      <c r="F10" s="6">
        <v>4</v>
      </c>
      <c r="G10" s="6">
        <v>1</v>
      </c>
      <c r="H10" s="39">
        <f t="shared" si="0"/>
        <v>46265</v>
      </c>
      <c r="I10" s="39">
        <f t="shared" si="1"/>
        <v>46269</v>
      </c>
      <c r="J10" s="40" t="s">
        <v>393</v>
      </c>
      <c r="K10" s="8">
        <f t="shared" si="2"/>
        <v>1</v>
      </c>
      <c r="L10" s="41">
        <f t="shared" si="3"/>
        <v>4</v>
      </c>
      <c r="M10" s="7"/>
    </row>
    <row r="11" spans="1:13" x14ac:dyDescent="0.2">
      <c r="A11" s="6" t="s">
        <v>107</v>
      </c>
      <c r="B11" s="6" t="s">
        <v>23</v>
      </c>
      <c r="C11" s="6" t="s">
        <v>103</v>
      </c>
      <c r="D11" s="7" t="s">
        <v>108</v>
      </c>
      <c r="E11" s="6" t="s">
        <v>27</v>
      </c>
      <c r="F11" s="6">
        <v>5</v>
      </c>
      <c r="G11" s="6">
        <v>1</v>
      </c>
      <c r="H11" s="39">
        <f t="shared" si="0"/>
        <v>46265</v>
      </c>
      <c r="I11" s="39">
        <f t="shared" si="1"/>
        <v>46269</v>
      </c>
      <c r="J11" s="40" t="s">
        <v>393</v>
      </c>
      <c r="K11" s="8">
        <f t="shared" si="2"/>
        <v>1</v>
      </c>
      <c r="L11" s="41">
        <f t="shared" si="3"/>
        <v>5</v>
      </c>
      <c r="M11" s="7"/>
    </row>
    <row r="12" spans="1:13" x14ac:dyDescent="0.2">
      <c r="A12" s="6" t="s">
        <v>109</v>
      </c>
      <c r="B12" s="6" t="s">
        <v>23</v>
      </c>
      <c r="C12" s="6" t="s">
        <v>103</v>
      </c>
      <c r="D12" s="7" t="s">
        <v>110</v>
      </c>
      <c r="E12" s="6" t="s">
        <v>27</v>
      </c>
      <c r="F12" s="6">
        <v>2</v>
      </c>
      <c r="G12" s="6">
        <v>1</v>
      </c>
      <c r="H12" s="39">
        <f t="shared" si="0"/>
        <v>46265</v>
      </c>
      <c r="I12" s="39">
        <f t="shared" si="1"/>
        <v>46269</v>
      </c>
      <c r="J12" s="40" t="s">
        <v>393</v>
      </c>
      <c r="K12" s="8">
        <f t="shared" si="2"/>
        <v>1</v>
      </c>
      <c r="L12" s="41">
        <f t="shared" si="3"/>
        <v>2</v>
      </c>
      <c r="M12" s="7"/>
    </row>
    <row r="13" spans="1:13" ht="25.5" x14ac:dyDescent="0.2">
      <c r="A13" s="6" t="s">
        <v>111</v>
      </c>
      <c r="B13" s="6" t="s">
        <v>23</v>
      </c>
      <c r="C13" s="6" t="s">
        <v>103</v>
      </c>
      <c r="D13" s="7" t="s">
        <v>112</v>
      </c>
      <c r="E13" s="6" t="s">
        <v>29</v>
      </c>
      <c r="F13" s="6">
        <v>2</v>
      </c>
      <c r="G13" s="6">
        <v>1</v>
      </c>
      <c r="H13" s="39">
        <f t="shared" si="0"/>
        <v>46265</v>
      </c>
      <c r="I13" s="39">
        <f t="shared" si="1"/>
        <v>46269</v>
      </c>
      <c r="J13" s="40" t="s">
        <v>393</v>
      </c>
      <c r="K13" s="8">
        <f t="shared" si="2"/>
        <v>1</v>
      </c>
      <c r="L13" s="41">
        <f t="shared" si="3"/>
        <v>2</v>
      </c>
      <c r="M13" s="7"/>
    </row>
    <row r="14" spans="1:13" x14ac:dyDescent="0.2">
      <c r="A14" s="6" t="s">
        <v>113</v>
      </c>
      <c r="B14" s="6" t="s">
        <v>23</v>
      </c>
      <c r="C14" s="6" t="s">
        <v>103</v>
      </c>
      <c r="D14" s="7" t="s">
        <v>114</v>
      </c>
      <c r="E14" s="6" t="s">
        <v>28</v>
      </c>
      <c r="F14" s="6">
        <v>3</v>
      </c>
      <c r="G14" s="6">
        <v>1</v>
      </c>
      <c r="H14" s="39">
        <f t="shared" si="0"/>
        <v>46265</v>
      </c>
      <c r="I14" s="39">
        <f t="shared" si="1"/>
        <v>46269</v>
      </c>
      <c r="J14" s="40" t="s">
        <v>393</v>
      </c>
      <c r="K14" s="8">
        <f t="shared" si="2"/>
        <v>1</v>
      </c>
      <c r="L14" s="41">
        <f t="shared" si="3"/>
        <v>3</v>
      </c>
      <c r="M14" s="7"/>
    </row>
    <row r="15" spans="1:13" ht="25.5" x14ac:dyDescent="0.2">
      <c r="A15" s="6" t="s">
        <v>117</v>
      </c>
      <c r="B15" s="6" t="s">
        <v>23</v>
      </c>
      <c r="C15" s="6" t="s">
        <v>115</v>
      </c>
      <c r="D15" s="7" t="s">
        <v>118</v>
      </c>
      <c r="E15" s="6" t="s">
        <v>29</v>
      </c>
      <c r="F15" s="6">
        <v>5</v>
      </c>
      <c r="G15" s="6">
        <v>2</v>
      </c>
      <c r="H15" s="39">
        <f t="shared" si="0"/>
        <v>46272</v>
      </c>
      <c r="I15" s="39">
        <f t="shared" si="1"/>
        <v>46276</v>
      </c>
      <c r="J15" s="40" t="s">
        <v>393</v>
      </c>
      <c r="K15" s="8">
        <f t="shared" si="2"/>
        <v>1</v>
      </c>
      <c r="L15" s="41">
        <f t="shared" si="3"/>
        <v>5</v>
      </c>
      <c r="M15" s="7"/>
    </row>
    <row r="16" spans="1:13" x14ac:dyDescent="0.2">
      <c r="A16" s="6" t="s">
        <v>119</v>
      </c>
      <c r="B16" s="6" t="s">
        <v>23</v>
      </c>
      <c r="C16" s="6" t="s">
        <v>115</v>
      </c>
      <c r="D16" s="7" t="s">
        <v>120</v>
      </c>
      <c r="E16" s="6" t="s">
        <v>27</v>
      </c>
      <c r="F16" s="6">
        <v>3</v>
      </c>
      <c r="G16" s="6">
        <v>2</v>
      </c>
      <c r="H16" s="39">
        <f t="shared" si="0"/>
        <v>46272</v>
      </c>
      <c r="I16" s="39">
        <f t="shared" si="1"/>
        <v>46276</v>
      </c>
      <c r="J16" s="40" t="s">
        <v>393</v>
      </c>
      <c r="K16" s="8">
        <f t="shared" si="2"/>
        <v>1</v>
      </c>
      <c r="L16" s="41">
        <f t="shared" si="3"/>
        <v>3</v>
      </c>
      <c r="M16" s="7"/>
    </row>
    <row r="17" spans="1:13" x14ac:dyDescent="0.2">
      <c r="A17" s="6" t="s">
        <v>121</v>
      </c>
      <c r="B17" s="6" t="s">
        <v>23</v>
      </c>
      <c r="C17" s="6" t="s">
        <v>115</v>
      </c>
      <c r="D17" s="7" t="s">
        <v>122</v>
      </c>
      <c r="E17" s="6" t="s">
        <v>27</v>
      </c>
      <c r="F17" s="6">
        <v>3</v>
      </c>
      <c r="G17" s="6">
        <v>2</v>
      </c>
      <c r="H17" s="39">
        <f t="shared" si="0"/>
        <v>46272</v>
      </c>
      <c r="I17" s="39">
        <f t="shared" si="1"/>
        <v>46276</v>
      </c>
      <c r="J17" s="40" t="s">
        <v>393</v>
      </c>
      <c r="K17" s="8">
        <f t="shared" si="2"/>
        <v>1</v>
      </c>
      <c r="L17" s="41">
        <f t="shared" si="3"/>
        <v>3</v>
      </c>
      <c r="M17" s="7"/>
    </row>
    <row r="18" spans="1:13" x14ac:dyDescent="0.2">
      <c r="A18" s="6" t="s">
        <v>123</v>
      </c>
      <c r="B18" s="6" t="s">
        <v>23</v>
      </c>
      <c r="C18" s="6" t="s">
        <v>115</v>
      </c>
      <c r="D18" s="7" t="s">
        <v>124</v>
      </c>
      <c r="E18" s="6" t="s">
        <v>28</v>
      </c>
      <c r="F18" s="6">
        <v>4</v>
      </c>
      <c r="G18" s="6">
        <v>2</v>
      </c>
      <c r="H18" s="39">
        <f t="shared" si="0"/>
        <v>46272</v>
      </c>
      <c r="I18" s="39">
        <f t="shared" si="1"/>
        <v>46276</v>
      </c>
      <c r="J18" s="40" t="s">
        <v>393</v>
      </c>
      <c r="K18" s="8">
        <f t="shared" si="2"/>
        <v>1</v>
      </c>
      <c r="L18" s="41">
        <f t="shared" si="3"/>
        <v>4</v>
      </c>
      <c r="M18" s="7"/>
    </row>
    <row r="19" spans="1:13" x14ac:dyDescent="0.2">
      <c r="A19" s="6" t="s">
        <v>125</v>
      </c>
      <c r="B19" s="6" t="s">
        <v>23</v>
      </c>
      <c r="C19" s="6" t="s">
        <v>115</v>
      </c>
      <c r="D19" s="7" t="s">
        <v>126</v>
      </c>
      <c r="E19" s="6" t="s">
        <v>28</v>
      </c>
      <c r="F19" s="6">
        <v>3</v>
      </c>
      <c r="G19" s="6">
        <v>2</v>
      </c>
      <c r="H19" s="39">
        <f t="shared" si="0"/>
        <v>46272</v>
      </c>
      <c r="I19" s="39">
        <f t="shared" si="1"/>
        <v>46276</v>
      </c>
      <c r="J19" s="40" t="s">
        <v>393</v>
      </c>
      <c r="K19" s="8">
        <f t="shared" si="2"/>
        <v>1</v>
      </c>
      <c r="L19" s="41">
        <f t="shared" si="3"/>
        <v>3</v>
      </c>
      <c r="M19" s="7"/>
    </row>
    <row r="20" spans="1:13" ht="25.5" x14ac:dyDescent="0.2">
      <c r="A20" s="6" t="s">
        <v>129</v>
      </c>
      <c r="B20" s="6" t="s">
        <v>23</v>
      </c>
      <c r="C20" s="6" t="s">
        <v>127</v>
      </c>
      <c r="D20" s="7" t="s">
        <v>130</v>
      </c>
      <c r="E20" s="6" t="s">
        <v>29</v>
      </c>
      <c r="F20" s="6">
        <v>3</v>
      </c>
      <c r="G20" s="6">
        <v>2</v>
      </c>
      <c r="H20" s="39">
        <f t="shared" si="0"/>
        <v>46272</v>
      </c>
      <c r="I20" s="39">
        <f t="shared" si="1"/>
        <v>46276</v>
      </c>
      <c r="J20" s="40" t="s">
        <v>393</v>
      </c>
      <c r="K20" s="8">
        <f t="shared" si="2"/>
        <v>1</v>
      </c>
      <c r="L20" s="41">
        <f t="shared" si="3"/>
        <v>3</v>
      </c>
      <c r="M20" s="7"/>
    </row>
    <row r="21" spans="1:13" x14ac:dyDescent="0.2">
      <c r="A21" s="6" t="s">
        <v>131</v>
      </c>
      <c r="B21" s="6" t="s">
        <v>23</v>
      </c>
      <c r="C21" s="6" t="s">
        <v>127</v>
      </c>
      <c r="D21" s="7" t="s">
        <v>132</v>
      </c>
      <c r="E21" s="6" t="s">
        <v>27</v>
      </c>
      <c r="F21" s="6">
        <v>3</v>
      </c>
      <c r="G21" s="6">
        <v>2</v>
      </c>
      <c r="H21" s="39">
        <f t="shared" si="0"/>
        <v>46272</v>
      </c>
      <c r="I21" s="39">
        <f t="shared" si="1"/>
        <v>46276</v>
      </c>
      <c r="J21" s="40" t="s">
        <v>393</v>
      </c>
      <c r="K21" s="8">
        <f t="shared" si="2"/>
        <v>1</v>
      </c>
      <c r="L21" s="41">
        <f t="shared" si="3"/>
        <v>3</v>
      </c>
      <c r="M21" s="7"/>
    </row>
    <row r="22" spans="1:13" x14ac:dyDescent="0.2">
      <c r="A22" s="6" t="s">
        <v>133</v>
      </c>
      <c r="B22" s="6" t="s">
        <v>23</v>
      </c>
      <c r="C22" s="6" t="s">
        <v>127</v>
      </c>
      <c r="D22" s="7" t="s">
        <v>134</v>
      </c>
      <c r="E22" s="6" t="s">
        <v>28</v>
      </c>
      <c r="F22" s="6">
        <v>5</v>
      </c>
      <c r="G22" s="6">
        <v>2</v>
      </c>
      <c r="H22" s="39">
        <f t="shared" si="0"/>
        <v>46272</v>
      </c>
      <c r="I22" s="39">
        <f t="shared" si="1"/>
        <v>46276</v>
      </c>
      <c r="J22" s="40" t="s">
        <v>393</v>
      </c>
      <c r="K22" s="8">
        <f t="shared" si="2"/>
        <v>1</v>
      </c>
      <c r="L22" s="41">
        <f t="shared" si="3"/>
        <v>5</v>
      </c>
      <c r="M22" s="7"/>
    </row>
    <row r="23" spans="1:13" x14ac:dyDescent="0.2">
      <c r="A23" s="6" t="s">
        <v>135</v>
      </c>
      <c r="B23" s="6" t="s">
        <v>23</v>
      </c>
      <c r="C23" s="6" t="s">
        <v>127</v>
      </c>
      <c r="D23" s="7" t="s">
        <v>136</v>
      </c>
      <c r="E23" s="6" t="s">
        <v>29</v>
      </c>
      <c r="F23" s="6">
        <v>3</v>
      </c>
      <c r="G23" s="6">
        <v>2</v>
      </c>
      <c r="H23" s="39">
        <f t="shared" si="0"/>
        <v>46272</v>
      </c>
      <c r="I23" s="39">
        <f t="shared" si="1"/>
        <v>46276</v>
      </c>
      <c r="J23" s="40" t="s">
        <v>393</v>
      </c>
      <c r="K23" s="8">
        <f t="shared" si="2"/>
        <v>1</v>
      </c>
      <c r="L23" s="41">
        <f t="shared" si="3"/>
        <v>3</v>
      </c>
      <c r="M23" s="7"/>
    </row>
    <row r="24" spans="1:13" ht="25.5" x14ac:dyDescent="0.2">
      <c r="A24" s="6" t="s">
        <v>138</v>
      </c>
      <c r="B24" s="6" t="s">
        <v>23</v>
      </c>
      <c r="C24" s="6" t="s">
        <v>394</v>
      </c>
      <c r="D24" s="7" t="s">
        <v>139</v>
      </c>
      <c r="E24" s="6" t="s">
        <v>29</v>
      </c>
      <c r="F24" s="6">
        <v>3</v>
      </c>
      <c r="G24" s="6">
        <v>1</v>
      </c>
      <c r="H24" s="39">
        <f t="shared" si="0"/>
        <v>46265</v>
      </c>
      <c r="I24" s="39">
        <f t="shared" si="1"/>
        <v>46269</v>
      </c>
      <c r="J24" s="40" t="s">
        <v>393</v>
      </c>
      <c r="K24" s="8">
        <f t="shared" si="2"/>
        <v>1</v>
      </c>
      <c r="L24" s="41">
        <f t="shared" si="3"/>
        <v>3</v>
      </c>
      <c r="M24" s="7"/>
    </row>
    <row r="25" spans="1:13" x14ac:dyDescent="0.2">
      <c r="A25" s="6" t="s">
        <v>140</v>
      </c>
      <c r="B25" s="6" t="s">
        <v>23</v>
      </c>
      <c r="C25" s="6" t="s">
        <v>394</v>
      </c>
      <c r="D25" s="7" t="s">
        <v>141</v>
      </c>
      <c r="E25" s="6" t="s">
        <v>28</v>
      </c>
      <c r="F25" s="6">
        <v>2</v>
      </c>
      <c r="G25" s="6">
        <v>1</v>
      </c>
      <c r="H25" s="39">
        <f t="shared" si="0"/>
        <v>46265</v>
      </c>
      <c r="I25" s="39">
        <f t="shared" si="1"/>
        <v>46269</v>
      </c>
      <c r="J25" s="40" t="s">
        <v>393</v>
      </c>
      <c r="K25" s="8">
        <f t="shared" si="2"/>
        <v>1</v>
      </c>
      <c r="L25" s="41">
        <f t="shared" si="3"/>
        <v>2</v>
      </c>
      <c r="M25" s="7"/>
    </row>
    <row r="26" spans="1:13" x14ac:dyDescent="0.2">
      <c r="A26" s="6" t="s">
        <v>142</v>
      </c>
      <c r="B26" s="6" t="s">
        <v>23</v>
      </c>
      <c r="C26" s="6" t="s">
        <v>394</v>
      </c>
      <c r="D26" s="7" t="s">
        <v>143</v>
      </c>
      <c r="E26" s="6" t="s">
        <v>29</v>
      </c>
      <c r="F26" s="6">
        <v>2</v>
      </c>
      <c r="G26" s="6">
        <v>2</v>
      </c>
      <c r="H26" s="39">
        <f t="shared" si="0"/>
        <v>46272</v>
      </c>
      <c r="I26" s="39">
        <f t="shared" si="1"/>
        <v>46276</v>
      </c>
      <c r="J26" s="40" t="s">
        <v>393</v>
      </c>
      <c r="K26" s="8">
        <f t="shared" si="2"/>
        <v>1</v>
      </c>
      <c r="L26" s="41">
        <f t="shared" si="3"/>
        <v>2</v>
      </c>
      <c r="M26" s="7"/>
    </row>
    <row r="27" spans="1:13" x14ac:dyDescent="0.2">
      <c r="A27" s="6" t="s">
        <v>144</v>
      </c>
      <c r="B27" s="6" t="s">
        <v>23</v>
      </c>
      <c r="C27" s="6" t="s">
        <v>394</v>
      </c>
      <c r="D27" s="7" t="s">
        <v>145</v>
      </c>
      <c r="E27" s="6" t="s">
        <v>28</v>
      </c>
      <c r="F27" s="6">
        <v>2</v>
      </c>
      <c r="G27" s="6">
        <v>2</v>
      </c>
      <c r="H27" s="39">
        <f t="shared" si="0"/>
        <v>46272</v>
      </c>
      <c r="I27" s="39">
        <f t="shared" si="1"/>
        <v>46276</v>
      </c>
      <c r="J27" s="40" t="s">
        <v>393</v>
      </c>
      <c r="K27" s="8">
        <f t="shared" si="2"/>
        <v>1</v>
      </c>
      <c r="L27" s="41">
        <f t="shared" si="3"/>
        <v>2</v>
      </c>
      <c r="M27" s="7"/>
    </row>
    <row r="28" spans="1:13" ht="25.5" x14ac:dyDescent="0.2">
      <c r="A28" s="6" t="s">
        <v>152</v>
      </c>
      <c r="B28" s="6" t="s">
        <v>31</v>
      </c>
      <c r="C28" s="6" t="s">
        <v>149</v>
      </c>
      <c r="D28" s="7" t="s">
        <v>153</v>
      </c>
      <c r="E28" s="6" t="s">
        <v>27</v>
      </c>
      <c r="F28" s="6">
        <v>4</v>
      </c>
      <c r="G28" s="6">
        <v>1</v>
      </c>
      <c r="H28" s="39">
        <f t="shared" si="0"/>
        <v>46279</v>
      </c>
      <c r="I28" s="39">
        <f t="shared" si="1"/>
        <v>46283</v>
      </c>
      <c r="J28" s="40" t="s">
        <v>393</v>
      </c>
      <c r="K28" s="8">
        <f t="shared" si="2"/>
        <v>1</v>
      </c>
      <c r="L28" s="41">
        <f t="shared" si="3"/>
        <v>4</v>
      </c>
      <c r="M28" s="7"/>
    </row>
    <row r="29" spans="1:13" ht="25.5" x14ac:dyDescent="0.2">
      <c r="A29" s="6" t="s">
        <v>154</v>
      </c>
      <c r="B29" s="6" t="s">
        <v>31</v>
      </c>
      <c r="C29" s="6" t="s">
        <v>149</v>
      </c>
      <c r="D29" s="7" t="s">
        <v>155</v>
      </c>
      <c r="E29" s="6" t="s">
        <v>28</v>
      </c>
      <c r="F29" s="6">
        <v>5</v>
      </c>
      <c r="G29" s="6">
        <v>1</v>
      </c>
      <c r="H29" s="39">
        <f t="shared" si="0"/>
        <v>46279</v>
      </c>
      <c r="I29" s="39">
        <f t="shared" si="1"/>
        <v>46283</v>
      </c>
      <c r="J29" s="40" t="s">
        <v>393</v>
      </c>
      <c r="K29" s="8">
        <f t="shared" si="2"/>
        <v>1</v>
      </c>
      <c r="L29" s="41">
        <f t="shared" si="3"/>
        <v>5</v>
      </c>
      <c r="M29" s="7"/>
    </row>
    <row r="30" spans="1:13" ht="25.5" x14ac:dyDescent="0.2">
      <c r="A30" s="6" t="s">
        <v>156</v>
      </c>
      <c r="B30" s="6" t="s">
        <v>31</v>
      </c>
      <c r="C30" s="6" t="s">
        <v>149</v>
      </c>
      <c r="D30" s="7" t="s">
        <v>157</v>
      </c>
      <c r="E30" s="6" t="s">
        <v>27</v>
      </c>
      <c r="F30" s="6">
        <v>3</v>
      </c>
      <c r="G30" s="6">
        <v>1</v>
      </c>
      <c r="H30" s="39">
        <f t="shared" si="0"/>
        <v>46279</v>
      </c>
      <c r="I30" s="39">
        <f t="shared" si="1"/>
        <v>46283</v>
      </c>
      <c r="J30" s="40" t="s">
        <v>393</v>
      </c>
      <c r="K30" s="8">
        <f t="shared" si="2"/>
        <v>1</v>
      </c>
      <c r="L30" s="41">
        <f t="shared" si="3"/>
        <v>3</v>
      </c>
      <c r="M30" s="7"/>
    </row>
    <row r="31" spans="1:13" x14ac:dyDescent="0.2">
      <c r="A31" s="6" t="s">
        <v>158</v>
      </c>
      <c r="B31" s="6" t="s">
        <v>31</v>
      </c>
      <c r="C31" s="6" t="s">
        <v>149</v>
      </c>
      <c r="D31" s="7" t="s">
        <v>159</v>
      </c>
      <c r="E31" s="6" t="s">
        <v>27</v>
      </c>
      <c r="F31" s="6">
        <v>2</v>
      </c>
      <c r="G31" s="6">
        <v>1</v>
      </c>
      <c r="H31" s="39">
        <f t="shared" si="0"/>
        <v>46279</v>
      </c>
      <c r="I31" s="39">
        <f t="shared" si="1"/>
        <v>46283</v>
      </c>
      <c r="J31" s="40" t="s">
        <v>393</v>
      </c>
      <c r="K31" s="8">
        <f t="shared" si="2"/>
        <v>1</v>
      </c>
      <c r="L31" s="41">
        <f t="shared" si="3"/>
        <v>2</v>
      </c>
      <c r="M31" s="7"/>
    </row>
    <row r="32" spans="1:13" x14ac:dyDescent="0.2">
      <c r="A32" s="6" t="s">
        <v>160</v>
      </c>
      <c r="B32" s="6" t="s">
        <v>31</v>
      </c>
      <c r="C32" s="6" t="s">
        <v>149</v>
      </c>
      <c r="D32" s="7" t="s">
        <v>161</v>
      </c>
      <c r="E32" s="6" t="s">
        <v>29</v>
      </c>
      <c r="F32" s="6">
        <v>3</v>
      </c>
      <c r="G32" s="6">
        <v>1</v>
      </c>
      <c r="H32" s="39">
        <f t="shared" si="0"/>
        <v>46279</v>
      </c>
      <c r="I32" s="39">
        <f t="shared" si="1"/>
        <v>46283</v>
      </c>
      <c r="J32" s="40" t="s">
        <v>393</v>
      </c>
      <c r="K32" s="8">
        <f t="shared" si="2"/>
        <v>1</v>
      </c>
      <c r="L32" s="41">
        <f t="shared" si="3"/>
        <v>3</v>
      </c>
      <c r="M32" s="7"/>
    </row>
    <row r="33" spans="1:13" x14ac:dyDescent="0.2">
      <c r="A33" s="6" t="s">
        <v>164</v>
      </c>
      <c r="B33" s="6" t="s">
        <v>31</v>
      </c>
      <c r="C33" s="6" t="s">
        <v>162</v>
      </c>
      <c r="D33" s="7" t="s">
        <v>165</v>
      </c>
      <c r="E33" s="6" t="s">
        <v>28</v>
      </c>
      <c r="F33" s="6">
        <v>3</v>
      </c>
      <c r="G33" s="6">
        <v>1</v>
      </c>
      <c r="H33" s="39">
        <f t="shared" si="0"/>
        <v>46279</v>
      </c>
      <c r="I33" s="39">
        <f t="shared" si="1"/>
        <v>46283</v>
      </c>
      <c r="J33" s="40" t="s">
        <v>393</v>
      </c>
      <c r="K33" s="8">
        <f t="shared" si="2"/>
        <v>1</v>
      </c>
      <c r="L33" s="41">
        <f t="shared" si="3"/>
        <v>3</v>
      </c>
      <c r="M33" s="7"/>
    </row>
    <row r="34" spans="1:13" ht="25.5" x14ac:dyDescent="0.2">
      <c r="A34" s="6" t="s">
        <v>166</v>
      </c>
      <c r="B34" s="6" t="s">
        <v>31</v>
      </c>
      <c r="C34" s="6" t="s">
        <v>162</v>
      </c>
      <c r="D34" s="7" t="s">
        <v>167</v>
      </c>
      <c r="E34" s="6" t="s">
        <v>27</v>
      </c>
      <c r="F34" s="6">
        <v>3</v>
      </c>
      <c r="G34" s="6">
        <v>1</v>
      </c>
      <c r="H34" s="39">
        <f t="shared" si="0"/>
        <v>46279</v>
      </c>
      <c r="I34" s="39">
        <f t="shared" si="1"/>
        <v>46283</v>
      </c>
      <c r="J34" s="40" t="s">
        <v>393</v>
      </c>
      <c r="K34" s="8">
        <f t="shared" si="2"/>
        <v>1</v>
      </c>
      <c r="L34" s="41">
        <f t="shared" si="3"/>
        <v>3</v>
      </c>
      <c r="M34" s="7"/>
    </row>
    <row r="35" spans="1:13" x14ac:dyDescent="0.2">
      <c r="A35" s="6" t="s">
        <v>168</v>
      </c>
      <c r="B35" s="6" t="s">
        <v>31</v>
      </c>
      <c r="C35" s="6" t="s">
        <v>162</v>
      </c>
      <c r="D35" s="7" t="s">
        <v>169</v>
      </c>
      <c r="E35" s="6" t="s">
        <v>29</v>
      </c>
      <c r="F35" s="6">
        <v>2</v>
      </c>
      <c r="G35" s="6">
        <v>1</v>
      </c>
      <c r="H35" s="39">
        <f t="shared" si="0"/>
        <v>46279</v>
      </c>
      <c r="I35" s="39">
        <f t="shared" si="1"/>
        <v>46283</v>
      </c>
      <c r="J35" s="40" t="s">
        <v>393</v>
      </c>
      <c r="K35" s="8">
        <f t="shared" si="2"/>
        <v>1</v>
      </c>
      <c r="L35" s="41">
        <f t="shared" si="3"/>
        <v>2</v>
      </c>
      <c r="M35" s="7"/>
    </row>
    <row r="36" spans="1:13" x14ac:dyDescent="0.2">
      <c r="A36" s="6" t="s">
        <v>170</v>
      </c>
      <c r="B36" s="6" t="s">
        <v>31</v>
      </c>
      <c r="C36" s="6" t="s">
        <v>162</v>
      </c>
      <c r="D36" s="7" t="s">
        <v>171</v>
      </c>
      <c r="E36" s="6" t="s">
        <v>29</v>
      </c>
      <c r="F36" s="6">
        <v>2</v>
      </c>
      <c r="G36" s="6">
        <v>1</v>
      </c>
      <c r="H36" s="39">
        <f t="shared" si="0"/>
        <v>46279</v>
      </c>
      <c r="I36" s="39">
        <f t="shared" si="1"/>
        <v>46283</v>
      </c>
      <c r="J36" s="40" t="s">
        <v>393</v>
      </c>
      <c r="K36" s="8">
        <f t="shared" si="2"/>
        <v>1</v>
      </c>
      <c r="L36" s="41">
        <f t="shared" si="3"/>
        <v>2</v>
      </c>
      <c r="M36" s="7"/>
    </row>
    <row r="37" spans="1:13" x14ac:dyDescent="0.2">
      <c r="A37" s="6" t="s">
        <v>174</v>
      </c>
      <c r="B37" s="6" t="s">
        <v>31</v>
      </c>
      <c r="C37" s="6" t="s">
        <v>172</v>
      </c>
      <c r="D37" s="7" t="s">
        <v>175</v>
      </c>
      <c r="E37" s="6" t="s">
        <v>27</v>
      </c>
      <c r="F37" s="6">
        <v>3</v>
      </c>
      <c r="G37" s="6">
        <v>2</v>
      </c>
      <c r="H37" s="39">
        <f t="shared" ref="H37:H68" si="4">IF($G37=1,INDEX(SprintInicio,MATCH($B37,SprintNombres,0)),INDEX(SprintInicio,MATCH($B37,SprintNombres,0))+8-WEEKDAY(INDEX(SprintInicio,MATCH($B37,SprintNombres,0)),2))</f>
        <v>46286</v>
      </c>
      <c r="I37" s="39">
        <f t="shared" ref="I37:I68" si="5">IF($G37=1,MIN(INDEX(SprintInicio,MATCH($B37,SprintNombres,0))+5-WEEKDAY(INDEX(SprintInicio,MATCH($B37,SprintNombres,0)),2),INDEX(SprintFin,MATCH($B37,SprintNombres,0))),INDEX(SprintFin,MATCH($B37,SprintNombres,0)))</f>
        <v>46290</v>
      </c>
      <c r="J37" s="40" t="s">
        <v>393</v>
      </c>
      <c r="K37" s="8">
        <f t="shared" ref="K37:K68" si="6">IFERROR(VLOOKUP($J37,EstadosAvance,2,FALSE),0)</f>
        <v>1</v>
      </c>
      <c r="L37" s="41">
        <f t="shared" ref="L37:L68" si="7">F37*K37</f>
        <v>3</v>
      </c>
      <c r="M37" s="7"/>
    </row>
    <row r="38" spans="1:13" x14ac:dyDescent="0.2">
      <c r="A38" s="6" t="s">
        <v>176</v>
      </c>
      <c r="B38" s="6" t="s">
        <v>31</v>
      </c>
      <c r="C38" s="6" t="s">
        <v>172</v>
      </c>
      <c r="D38" s="7" t="s">
        <v>177</v>
      </c>
      <c r="E38" s="6" t="s">
        <v>28</v>
      </c>
      <c r="F38" s="6">
        <v>3</v>
      </c>
      <c r="G38" s="6">
        <v>2</v>
      </c>
      <c r="H38" s="39">
        <f t="shared" si="4"/>
        <v>46286</v>
      </c>
      <c r="I38" s="39">
        <f t="shared" si="5"/>
        <v>46290</v>
      </c>
      <c r="J38" s="40" t="s">
        <v>393</v>
      </c>
      <c r="K38" s="8">
        <f t="shared" si="6"/>
        <v>1</v>
      </c>
      <c r="L38" s="41">
        <f t="shared" si="7"/>
        <v>3</v>
      </c>
      <c r="M38" s="7"/>
    </row>
    <row r="39" spans="1:13" x14ac:dyDescent="0.2">
      <c r="A39" s="6" t="s">
        <v>178</v>
      </c>
      <c r="B39" s="6" t="s">
        <v>31</v>
      </c>
      <c r="C39" s="6" t="s">
        <v>172</v>
      </c>
      <c r="D39" s="7" t="s">
        <v>179</v>
      </c>
      <c r="E39" s="6" t="s">
        <v>28</v>
      </c>
      <c r="F39" s="6">
        <v>3</v>
      </c>
      <c r="G39" s="6">
        <v>2</v>
      </c>
      <c r="H39" s="39">
        <f t="shared" si="4"/>
        <v>46286</v>
      </c>
      <c r="I39" s="39">
        <f t="shared" si="5"/>
        <v>46290</v>
      </c>
      <c r="J39" s="40" t="s">
        <v>393</v>
      </c>
      <c r="K39" s="8">
        <f t="shared" si="6"/>
        <v>1</v>
      </c>
      <c r="L39" s="41">
        <f t="shared" si="7"/>
        <v>3</v>
      </c>
      <c r="M39" s="7"/>
    </row>
    <row r="40" spans="1:13" x14ac:dyDescent="0.2">
      <c r="A40" s="6" t="s">
        <v>180</v>
      </c>
      <c r="B40" s="6" t="s">
        <v>31</v>
      </c>
      <c r="C40" s="6" t="s">
        <v>172</v>
      </c>
      <c r="D40" s="7" t="s">
        <v>181</v>
      </c>
      <c r="E40" s="6" t="s">
        <v>29</v>
      </c>
      <c r="F40" s="6">
        <v>3</v>
      </c>
      <c r="G40" s="6">
        <v>2</v>
      </c>
      <c r="H40" s="39">
        <f t="shared" si="4"/>
        <v>46286</v>
      </c>
      <c r="I40" s="39">
        <f t="shared" si="5"/>
        <v>46290</v>
      </c>
      <c r="J40" s="40" t="s">
        <v>393</v>
      </c>
      <c r="K40" s="8">
        <f t="shared" si="6"/>
        <v>1</v>
      </c>
      <c r="L40" s="41">
        <f t="shared" si="7"/>
        <v>3</v>
      </c>
      <c r="M40" s="7"/>
    </row>
    <row r="41" spans="1:13" x14ac:dyDescent="0.2">
      <c r="A41" s="6" t="s">
        <v>184</v>
      </c>
      <c r="B41" s="6" t="s">
        <v>31</v>
      </c>
      <c r="C41" s="6" t="s">
        <v>182</v>
      </c>
      <c r="D41" s="7" t="s">
        <v>185</v>
      </c>
      <c r="E41" s="6" t="s">
        <v>29</v>
      </c>
      <c r="F41" s="6">
        <v>2</v>
      </c>
      <c r="G41" s="6">
        <v>2</v>
      </c>
      <c r="H41" s="39">
        <f t="shared" si="4"/>
        <v>46286</v>
      </c>
      <c r="I41" s="39">
        <f t="shared" si="5"/>
        <v>46290</v>
      </c>
      <c r="J41" s="40" t="s">
        <v>393</v>
      </c>
      <c r="K41" s="8">
        <f t="shared" si="6"/>
        <v>1</v>
      </c>
      <c r="L41" s="41">
        <f t="shared" si="7"/>
        <v>2</v>
      </c>
      <c r="M41" s="7"/>
    </row>
    <row r="42" spans="1:13" x14ac:dyDescent="0.2">
      <c r="A42" s="6" t="s">
        <v>186</v>
      </c>
      <c r="B42" s="6" t="s">
        <v>31</v>
      </c>
      <c r="C42" s="6" t="s">
        <v>182</v>
      </c>
      <c r="D42" s="7" t="s">
        <v>187</v>
      </c>
      <c r="E42" s="6" t="s">
        <v>29</v>
      </c>
      <c r="F42" s="6">
        <v>2</v>
      </c>
      <c r="G42" s="6">
        <v>2</v>
      </c>
      <c r="H42" s="39">
        <f t="shared" si="4"/>
        <v>46286</v>
      </c>
      <c r="I42" s="39">
        <f t="shared" si="5"/>
        <v>46290</v>
      </c>
      <c r="J42" s="40" t="s">
        <v>393</v>
      </c>
      <c r="K42" s="8">
        <f t="shared" si="6"/>
        <v>1</v>
      </c>
      <c r="L42" s="41">
        <f t="shared" si="7"/>
        <v>2</v>
      </c>
      <c r="M42" s="7"/>
    </row>
    <row r="43" spans="1:13" ht="25.5" x14ac:dyDescent="0.2">
      <c r="A43" s="6" t="s">
        <v>188</v>
      </c>
      <c r="B43" s="6" t="s">
        <v>31</v>
      </c>
      <c r="C43" s="6" t="s">
        <v>182</v>
      </c>
      <c r="D43" s="7" t="s">
        <v>189</v>
      </c>
      <c r="E43" s="6" t="s">
        <v>27</v>
      </c>
      <c r="F43" s="6">
        <v>3</v>
      </c>
      <c r="G43" s="6">
        <v>2</v>
      </c>
      <c r="H43" s="39">
        <f t="shared" si="4"/>
        <v>46286</v>
      </c>
      <c r="I43" s="39">
        <f t="shared" si="5"/>
        <v>46290</v>
      </c>
      <c r="J43" s="40" t="s">
        <v>393</v>
      </c>
      <c r="K43" s="8">
        <f t="shared" si="6"/>
        <v>1</v>
      </c>
      <c r="L43" s="41">
        <f t="shared" si="7"/>
        <v>3</v>
      </c>
      <c r="M43" s="7"/>
    </row>
    <row r="44" spans="1:13" x14ac:dyDescent="0.2">
      <c r="A44" s="6" t="s">
        <v>190</v>
      </c>
      <c r="B44" s="6" t="s">
        <v>31</v>
      </c>
      <c r="C44" s="6" t="s">
        <v>182</v>
      </c>
      <c r="D44" s="7" t="s">
        <v>191</v>
      </c>
      <c r="E44" s="6" t="s">
        <v>28</v>
      </c>
      <c r="F44" s="6">
        <v>2</v>
      </c>
      <c r="G44" s="6">
        <v>2</v>
      </c>
      <c r="H44" s="39">
        <f t="shared" si="4"/>
        <v>46286</v>
      </c>
      <c r="I44" s="39">
        <f t="shared" si="5"/>
        <v>46290</v>
      </c>
      <c r="J44" s="40" t="s">
        <v>393</v>
      </c>
      <c r="K44" s="8">
        <f t="shared" si="6"/>
        <v>1</v>
      </c>
      <c r="L44" s="41">
        <f t="shared" si="7"/>
        <v>2</v>
      </c>
      <c r="M44" s="7"/>
    </row>
    <row r="45" spans="1:13" x14ac:dyDescent="0.2">
      <c r="A45" s="6" t="s">
        <v>192</v>
      </c>
      <c r="B45" s="6" t="s">
        <v>31</v>
      </c>
      <c r="C45" s="6" t="s">
        <v>182</v>
      </c>
      <c r="D45" s="7" t="s">
        <v>193</v>
      </c>
      <c r="E45" s="6" t="s">
        <v>27</v>
      </c>
      <c r="F45" s="6">
        <v>2</v>
      </c>
      <c r="G45" s="6">
        <v>2</v>
      </c>
      <c r="H45" s="39">
        <f t="shared" si="4"/>
        <v>46286</v>
      </c>
      <c r="I45" s="39">
        <f t="shared" si="5"/>
        <v>46290</v>
      </c>
      <c r="J45" s="40" t="s">
        <v>393</v>
      </c>
      <c r="K45" s="8">
        <f t="shared" si="6"/>
        <v>1</v>
      </c>
      <c r="L45" s="41">
        <f t="shared" si="7"/>
        <v>2</v>
      </c>
      <c r="M45" s="7"/>
    </row>
    <row r="46" spans="1:13" x14ac:dyDescent="0.2">
      <c r="A46" s="6" t="s">
        <v>194</v>
      </c>
      <c r="B46" s="6" t="s">
        <v>31</v>
      </c>
      <c r="C46" s="6" t="s">
        <v>394</v>
      </c>
      <c r="D46" s="7" t="s">
        <v>195</v>
      </c>
      <c r="E46" s="6" t="s">
        <v>28</v>
      </c>
      <c r="F46" s="6">
        <v>2</v>
      </c>
      <c r="G46" s="6">
        <v>2</v>
      </c>
      <c r="H46" s="39">
        <f t="shared" si="4"/>
        <v>46286</v>
      </c>
      <c r="I46" s="39">
        <f t="shared" si="5"/>
        <v>46290</v>
      </c>
      <c r="J46" s="40" t="s">
        <v>393</v>
      </c>
      <c r="K46" s="8">
        <f t="shared" si="6"/>
        <v>1</v>
      </c>
      <c r="L46" s="41">
        <f t="shared" si="7"/>
        <v>2</v>
      </c>
      <c r="M46" s="7"/>
    </row>
    <row r="47" spans="1:13" x14ac:dyDescent="0.2">
      <c r="A47" s="6" t="s">
        <v>196</v>
      </c>
      <c r="B47" s="6" t="s">
        <v>31</v>
      </c>
      <c r="C47" s="6" t="s">
        <v>394</v>
      </c>
      <c r="D47" s="7" t="s">
        <v>197</v>
      </c>
      <c r="E47" s="6" t="s">
        <v>27</v>
      </c>
      <c r="F47" s="6">
        <v>2</v>
      </c>
      <c r="G47" s="6">
        <v>2</v>
      </c>
      <c r="H47" s="39">
        <f t="shared" si="4"/>
        <v>46286</v>
      </c>
      <c r="I47" s="39">
        <f t="shared" si="5"/>
        <v>46290</v>
      </c>
      <c r="J47" s="40" t="s">
        <v>393</v>
      </c>
      <c r="K47" s="8">
        <f t="shared" si="6"/>
        <v>1</v>
      </c>
      <c r="L47" s="41">
        <f t="shared" si="7"/>
        <v>2</v>
      </c>
      <c r="M47" s="7"/>
    </row>
    <row r="48" spans="1:13" x14ac:dyDescent="0.2">
      <c r="A48" s="6" t="s">
        <v>198</v>
      </c>
      <c r="B48" s="6" t="s">
        <v>31</v>
      </c>
      <c r="C48" s="6" t="s">
        <v>394</v>
      </c>
      <c r="D48" s="7" t="s">
        <v>145</v>
      </c>
      <c r="E48" s="6" t="s">
        <v>29</v>
      </c>
      <c r="F48" s="6">
        <v>2</v>
      </c>
      <c r="G48" s="6">
        <v>2</v>
      </c>
      <c r="H48" s="39">
        <f t="shared" si="4"/>
        <v>46286</v>
      </c>
      <c r="I48" s="39">
        <f t="shared" si="5"/>
        <v>46290</v>
      </c>
      <c r="J48" s="40" t="s">
        <v>393</v>
      </c>
      <c r="K48" s="8">
        <f t="shared" si="6"/>
        <v>1</v>
      </c>
      <c r="L48" s="41">
        <f t="shared" si="7"/>
        <v>2</v>
      </c>
      <c r="M48" s="7"/>
    </row>
    <row r="49" spans="1:13" ht="25.5" x14ac:dyDescent="0.2">
      <c r="A49" s="6" t="s">
        <v>205</v>
      </c>
      <c r="B49" s="6" t="s">
        <v>36</v>
      </c>
      <c r="C49" s="6" t="s">
        <v>202</v>
      </c>
      <c r="D49" s="7" t="s">
        <v>206</v>
      </c>
      <c r="E49" s="6" t="s">
        <v>29</v>
      </c>
      <c r="F49" s="6">
        <v>4</v>
      </c>
      <c r="G49" s="6">
        <v>1</v>
      </c>
      <c r="H49" s="39">
        <f t="shared" si="4"/>
        <v>46293</v>
      </c>
      <c r="I49" s="39">
        <f t="shared" si="5"/>
        <v>46297</v>
      </c>
      <c r="J49" s="40" t="s">
        <v>393</v>
      </c>
      <c r="K49" s="8">
        <f t="shared" si="6"/>
        <v>1</v>
      </c>
      <c r="L49" s="41">
        <f t="shared" si="7"/>
        <v>4</v>
      </c>
      <c r="M49" s="7"/>
    </row>
    <row r="50" spans="1:13" ht="25.5" x14ac:dyDescent="0.2">
      <c r="A50" s="6" t="s">
        <v>207</v>
      </c>
      <c r="B50" s="6" t="s">
        <v>36</v>
      </c>
      <c r="C50" s="6" t="s">
        <v>202</v>
      </c>
      <c r="D50" s="7" t="s">
        <v>208</v>
      </c>
      <c r="E50" s="6" t="s">
        <v>29</v>
      </c>
      <c r="F50" s="6">
        <v>3</v>
      </c>
      <c r="G50" s="6">
        <v>1</v>
      </c>
      <c r="H50" s="39">
        <f t="shared" si="4"/>
        <v>46293</v>
      </c>
      <c r="I50" s="39">
        <f t="shared" si="5"/>
        <v>46297</v>
      </c>
      <c r="J50" s="40" t="s">
        <v>393</v>
      </c>
      <c r="K50" s="8">
        <f t="shared" si="6"/>
        <v>1</v>
      </c>
      <c r="L50" s="41">
        <f t="shared" si="7"/>
        <v>3</v>
      </c>
      <c r="M50" s="7"/>
    </row>
    <row r="51" spans="1:13" x14ac:dyDescent="0.2">
      <c r="A51" s="6" t="s">
        <v>209</v>
      </c>
      <c r="B51" s="6" t="s">
        <v>36</v>
      </c>
      <c r="C51" s="6" t="s">
        <v>202</v>
      </c>
      <c r="D51" s="7" t="s">
        <v>210</v>
      </c>
      <c r="E51" s="6" t="s">
        <v>27</v>
      </c>
      <c r="F51" s="6">
        <v>1</v>
      </c>
      <c r="G51" s="6">
        <v>1</v>
      </c>
      <c r="H51" s="39">
        <f t="shared" si="4"/>
        <v>46293</v>
      </c>
      <c r="I51" s="39">
        <f t="shared" si="5"/>
        <v>46297</v>
      </c>
      <c r="J51" s="40" t="s">
        <v>393</v>
      </c>
      <c r="K51" s="8">
        <f t="shared" si="6"/>
        <v>1</v>
      </c>
      <c r="L51" s="41">
        <f t="shared" si="7"/>
        <v>1</v>
      </c>
      <c r="M51" s="7"/>
    </row>
    <row r="52" spans="1:13" x14ac:dyDescent="0.2">
      <c r="A52" s="6" t="s">
        <v>211</v>
      </c>
      <c r="B52" s="6" t="s">
        <v>36</v>
      </c>
      <c r="C52" s="6" t="s">
        <v>202</v>
      </c>
      <c r="D52" s="7" t="s">
        <v>212</v>
      </c>
      <c r="E52" s="6" t="s">
        <v>27</v>
      </c>
      <c r="F52" s="6">
        <v>4</v>
      </c>
      <c r="G52" s="6">
        <v>1</v>
      </c>
      <c r="H52" s="39">
        <f t="shared" si="4"/>
        <v>46293</v>
      </c>
      <c r="I52" s="39">
        <f t="shared" si="5"/>
        <v>46297</v>
      </c>
      <c r="J52" s="40" t="s">
        <v>393</v>
      </c>
      <c r="K52" s="8">
        <f t="shared" si="6"/>
        <v>1</v>
      </c>
      <c r="L52" s="41">
        <f t="shared" si="7"/>
        <v>4</v>
      </c>
      <c r="M52" s="7"/>
    </row>
    <row r="53" spans="1:13" x14ac:dyDescent="0.2">
      <c r="A53" s="6" t="s">
        <v>213</v>
      </c>
      <c r="B53" s="6" t="s">
        <v>36</v>
      </c>
      <c r="C53" s="6" t="s">
        <v>202</v>
      </c>
      <c r="D53" s="7" t="s">
        <v>214</v>
      </c>
      <c r="E53" s="6" t="s">
        <v>27</v>
      </c>
      <c r="F53" s="6">
        <v>2</v>
      </c>
      <c r="G53" s="6">
        <v>1</v>
      </c>
      <c r="H53" s="39">
        <f t="shared" si="4"/>
        <v>46293</v>
      </c>
      <c r="I53" s="39">
        <f t="shared" si="5"/>
        <v>46297</v>
      </c>
      <c r="J53" s="40" t="s">
        <v>393</v>
      </c>
      <c r="K53" s="8">
        <f t="shared" si="6"/>
        <v>1</v>
      </c>
      <c r="L53" s="41">
        <f t="shared" si="7"/>
        <v>2</v>
      </c>
      <c r="M53" s="7"/>
    </row>
    <row r="54" spans="1:13" x14ac:dyDescent="0.2">
      <c r="A54" s="6" t="s">
        <v>215</v>
      </c>
      <c r="B54" s="6" t="s">
        <v>36</v>
      </c>
      <c r="C54" s="6" t="s">
        <v>202</v>
      </c>
      <c r="D54" s="7" t="s">
        <v>216</v>
      </c>
      <c r="E54" s="6" t="s">
        <v>27</v>
      </c>
      <c r="F54" s="6">
        <v>2</v>
      </c>
      <c r="G54" s="6">
        <v>1</v>
      </c>
      <c r="H54" s="39">
        <f t="shared" si="4"/>
        <v>46293</v>
      </c>
      <c r="I54" s="39">
        <f t="shared" si="5"/>
        <v>46297</v>
      </c>
      <c r="J54" s="40" t="s">
        <v>393</v>
      </c>
      <c r="K54" s="8">
        <f t="shared" si="6"/>
        <v>1</v>
      </c>
      <c r="L54" s="41">
        <f t="shared" si="7"/>
        <v>2</v>
      </c>
      <c r="M54" s="7"/>
    </row>
    <row r="55" spans="1:13" ht="25.5" x14ac:dyDescent="0.2">
      <c r="A55" s="6" t="s">
        <v>220</v>
      </c>
      <c r="B55" s="6" t="s">
        <v>36</v>
      </c>
      <c r="C55" s="6" t="s">
        <v>217</v>
      </c>
      <c r="D55" s="7" t="s">
        <v>221</v>
      </c>
      <c r="E55" s="6" t="s">
        <v>29</v>
      </c>
      <c r="F55" s="6">
        <v>3</v>
      </c>
      <c r="G55" s="6">
        <v>1</v>
      </c>
      <c r="H55" s="39">
        <f t="shared" si="4"/>
        <v>46293</v>
      </c>
      <c r="I55" s="39">
        <f t="shared" si="5"/>
        <v>46297</v>
      </c>
      <c r="J55" s="40" t="s">
        <v>393</v>
      </c>
      <c r="K55" s="8">
        <f t="shared" si="6"/>
        <v>1</v>
      </c>
      <c r="L55" s="41">
        <f t="shared" si="7"/>
        <v>3</v>
      </c>
      <c r="M55" s="7"/>
    </row>
    <row r="56" spans="1:13" x14ac:dyDescent="0.2">
      <c r="A56" s="6" t="s">
        <v>222</v>
      </c>
      <c r="B56" s="6" t="s">
        <v>36</v>
      </c>
      <c r="C56" s="6" t="s">
        <v>217</v>
      </c>
      <c r="D56" s="7" t="s">
        <v>223</v>
      </c>
      <c r="E56" s="6" t="s">
        <v>28</v>
      </c>
      <c r="F56" s="6">
        <v>3</v>
      </c>
      <c r="G56" s="6">
        <v>1</v>
      </c>
      <c r="H56" s="39">
        <f t="shared" si="4"/>
        <v>46293</v>
      </c>
      <c r="I56" s="39">
        <f t="shared" si="5"/>
        <v>46297</v>
      </c>
      <c r="J56" s="40" t="s">
        <v>393</v>
      </c>
      <c r="K56" s="8">
        <f t="shared" si="6"/>
        <v>1</v>
      </c>
      <c r="L56" s="41">
        <f t="shared" si="7"/>
        <v>3</v>
      </c>
      <c r="M56" s="7"/>
    </row>
    <row r="57" spans="1:13" ht="25.5" x14ac:dyDescent="0.2">
      <c r="A57" s="6" t="s">
        <v>224</v>
      </c>
      <c r="B57" s="6" t="s">
        <v>36</v>
      </c>
      <c r="C57" s="6" t="s">
        <v>217</v>
      </c>
      <c r="D57" s="7" t="s">
        <v>225</v>
      </c>
      <c r="E57" s="6" t="s">
        <v>28</v>
      </c>
      <c r="F57" s="6">
        <v>3</v>
      </c>
      <c r="G57" s="6">
        <v>1</v>
      </c>
      <c r="H57" s="39">
        <f t="shared" si="4"/>
        <v>46293</v>
      </c>
      <c r="I57" s="39">
        <f t="shared" si="5"/>
        <v>46297</v>
      </c>
      <c r="J57" s="40" t="s">
        <v>393</v>
      </c>
      <c r="K57" s="8">
        <f t="shared" si="6"/>
        <v>1</v>
      </c>
      <c r="L57" s="41">
        <f t="shared" si="7"/>
        <v>3</v>
      </c>
      <c r="M57" s="7"/>
    </row>
    <row r="58" spans="1:13" x14ac:dyDescent="0.2">
      <c r="A58" s="6" t="s">
        <v>226</v>
      </c>
      <c r="B58" s="6" t="s">
        <v>36</v>
      </c>
      <c r="C58" s="6" t="s">
        <v>217</v>
      </c>
      <c r="D58" s="7" t="s">
        <v>227</v>
      </c>
      <c r="E58" s="6" t="s">
        <v>28</v>
      </c>
      <c r="F58" s="6">
        <v>1</v>
      </c>
      <c r="G58" s="6">
        <v>1</v>
      </c>
      <c r="H58" s="39">
        <f t="shared" si="4"/>
        <v>46293</v>
      </c>
      <c r="I58" s="39">
        <f t="shared" si="5"/>
        <v>46297</v>
      </c>
      <c r="J58" s="40" t="s">
        <v>393</v>
      </c>
      <c r="K58" s="8">
        <f t="shared" si="6"/>
        <v>1</v>
      </c>
      <c r="L58" s="41">
        <f t="shared" si="7"/>
        <v>1</v>
      </c>
      <c r="M58" s="7"/>
    </row>
    <row r="59" spans="1:13" x14ac:dyDescent="0.2">
      <c r="A59" s="6" t="s">
        <v>228</v>
      </c>
      <c r="B59" s="6" t="s">
        <v>36</v>
      </c>
      <c r="C59" s="6" t="s">
        <v>217</v>
      </c>
      <c r="D59" s="7" t="s">
        <v>229</v>
      </c>
      <c r="E59" s="6" t="s">
        <v>27</v>
      </c>
      <c r="F59" s="6">
        <v>2</v>
      </c>
      <c r="G59" s="6">
        <v>1</v>
      </c>
      <c r="H59" s="39">
        <f t="shared" si="4"/>
        <v>46293</v>
      </c>
      <c r="I59" s="39">
        <f t="shared" si="5"/>
        <v>46297</v>
      </c>
      <c r="J59" s="40" t="s">
        <v>393</v>
      </c>
      <c r="K59" s="8">
        <f t="shared" si="6"/>
        <v>1</v>
      </c>
      <c r="L59" s="41">
        <f t="shared" si="7"/>
        <v>2</v>
      </c>
      <c r="M59" s="7"/>
    </row>
    <row r="60" spans="1:13" x14ac:dyDescent="0.2">
      <c r="A60" s="6" t="s">
        <v>233</v>
      </c>
      <c r="B60" s="6" t="s">
        <v>36</v>
      </c>
      <c r="C60" s="6" t="s">
        <v>230</v>
      </c>
      <c r="D60" s="7" t="s">
        <v>234</v>
      </c>
      <c r="E60" s="6" t="s">
        <v>29</v>
      </c>
      <c r="F60" s="6">
        <v>3</v>
      </c>
      <c r="G60" s="6">
        <v>2</v>
      </c>
      <c r="H60" s="39">
        <f t="shared" si="4"/>
        <v>46300</v>
      </c>
      <c r="I60" s="39">
        <f t="shared" si="5"/>
        <v>46304</v>
      </c>
      <c r="J60" s="40" t="s">
        <v>486</v>
      </c>
      <c r="K60" s="8">
        <f t="shared" si="6"/>
        <v>0.5</v>
      </c>
      <c r="L60" s="41">
        <f t="shared" si="7"/>
        <v>1.5</v>
      </c>
      <c r="M60" s="7"/>
    </row>
    <row r="61" spans="1:13" x14ac:dyDescent="0.2">
      <c r="A61" s="6" t="s">
        <v>235</v>
      </c>
      <c r="B61" s="6" t="s">
        <v>36</v>
      </c>
      <c r="C61" s="6" t="s">
        <v>230</v>
      </c>
      <c r="D61" s="7" t="s">
        <v>236</v>
      </c>
      <c r="E61" s="6" t="s">
        <v>28</v>
      </c>
      <c r="F61" s="6">
        <v>4</v>
      </c>
      <c r="G61" s="6">
        <v>2</v>
      </c>
      <c r="H61" s="39">
        <f t="shared" si="4"/>
        <v>46300</v>
      </c>
      <c r="I61" s="39">
        <f t="shared" si="5"/>
        <v>46304</v>
      </c>
      <c r="J61" s="40" t="s">
        <v>486</v>
      </c>
      <c r="K61" s="8">
        <f t="shared" si="6"/>
        <v>0.5</v>
      </c>
      <c r="L61" s="41">
        <f t="shared" si="7"/>
        <v>2</v>
      </c>
      <c r="M61" s="7"/>
    </row>
    <row r="62" spans="1:13" x14ac:dyDescent="0.2">
      <c r="A62" s="6" t="s">
        <v>237</v>
      </c>
      <c r="B62" s="6" t="s">
        <v>36</v>
      </c>
      <c r="C62" s="6" t="s">
        <v>230</v>
      </c>
      <c r="D62" s="7" t="s">
        <v>238</v>
      </c>
      <c r="E62" s="6" t="s">
        <v>29</v>
      </c>
      <c r="F62" s="6">
        <v>3</v>
      </c>
      <c r="G62" s="6">
        <v>2</v>
      </c>
      <c r="H62" s="39">
        <f t="shared" si="4"/>
        <v>46300</v>
      </c>
      <c r="I62" s="39">
        <f t="shared" si="5"/>
        <v>46304</v>
      </c>
      <c r="J62" s="40" t="s">
        <v>486</v>
      </c>
      <c r="K62" s="8">
        <f t="shared" si="6"/>
        <v>0.5</v>
      </c>
      <c r="L62" s="41">
        <f t="shared" si="7"/>
        <v>1.5</v>
      </c>
      <c r="M62" s="7"/>
    </row>
    <row r="63" spans="1:13" x14ac:dyDescent="0.2">
      <c r="A63" s="6" t="s">
        <v>239</v>
      </c>
      <c r="B63" s="6" t="s">
        <v>36</v>
      </c>
      <c r="C63" s="6" t="s">
        <v>230</v>
      </c>
      <c r="D63" s="7" t="s">
        <v>240</v>
      </c>
      <c r="E63" s="6" t="s">
        <v>29</v>
      </c>
      <c r="F63" s="6">
        <v>2</v>
      </c>
      <c r="G63" s="6">
        <v>2</v>
      </c>
      <c r="H63" s="39">
        <f t="shared" si="4"/>
        <v>46300</v>
      </c>
      <c r="I63" s="39">
        <f t="shared" si="5"/>
        <v>46304</v>
      </c>
      <c r="J63" s="40" t="s">
        <v>486</v>
      </c>
      <c r="K63" s="8">
        <f t="shared" si="6"/>
        <v>0.5</v>
      </c>
      <c r="L63" s="41">
        <f t="shared" si="7"/>
        <v>1</v>
      </c>
      <c r="M63" s="7"/>
    </row>
    <row r="64" spans="1:13" x14ac:dyDescent="0.2">
      <c r="A64" s="6" t="s">
        <v>241</v>
      </c>
      <c r="B64" s="6" t="s">
        <v>36</v>
      </c>
      <c r="C64" s="6" t="s">
        <v>230</v>
      </c>
      <c r="D64" s="7" t="s">
        <v>242</v>
      </c>
      <c r="E64" s="6" t="s">
        <v>27</v>
      </c>
      <c r="F64" s="6">
        <v>2</v>
      </c>
      <c r="G64" s="6">
        <v>2</v>
      </c>
      <c r="H64" s="39">
        <f t="shared" si="4"/>
        <v>46300</v>
      </c>
      <c r="I64" s="39">
        <f t="shared" si="5"/>
        <v>46304</v>
      </c>
      <c r="J64" s="40" t="s">
        <v>395</v>
      </c>
      <c r="K64" s="8">
        <f t="shared" si="6"/>
        <v>0</v>
      </c>
      <c r="L64" s="41">
        <f t="shared" si="7"/>
        <v>0</v>
      </c>
      <c r="M64" s="7"/>
    </row>
    <row r="65" spans="1:13" ht="25.5" x14ac:dyDescent="0.2">
      <c r="A65" s="6" t="s">
        <v>245</v>
      </c>
      <c r="B65" s="6" t="s">
        <v>36</v>
      </c>
      <c r="C65" s="6" t="s">
        <v>243</v>
      </c>
      <c r="D65" s="7" t="s">
        <v>246</v>
      </c>
      <c r="E65" s="6" t="s">
        <v>27</v>
      </c>
      <c r="F65" s="6">
        <v>2</v>
      </c>
      <c r="G65" s="6">
        <v>2</v>
      </c>
      <c r="H65" s="39">
        <f t="shared" si="4"/>
        <v>46300</v>
      </c>
      <c r="I65" s="39">
        <f t="shared" si="5"/>
        <v>46304</v>
      </c>
      <c r="J65" s="40" t="s">
        <v>486</v>
      </c>
      <c r="K65" s="8">
        <f t="shared" si="6"/>
        <v>0.5</v>
      </c>
      <c r="L65" s="41">
        <f t="shared" si="7"/>
        <v>1</v>
      </c>
      <c r="M65" s="7"/>
    </row>
    <row r="66" spans="1:13" x14ac:dyDescent="0.2">
      <c r="A66" s="6" t="s">
        <v>247</v>
      </c>
      <c r="B66" s="6" t="s">
        <v>36</v>
      </c>
      <c r="C66" s="6" t="s">
        <v>243</v>
      </c>
      <c r="D66" s="7" t="s">
        <v>248</v>
      </c>
      <c r="E66" s="6" t="s">
        <v>28</v>
      </c>
      <c r="F66" s="6">
        <v>2</v>
      </c>
      <c r="G66" s="6">
        <v>2</v>
      </c>
      <c r="H66" s="39">
        <f t="shared" si="4"/>
        <v>46300</v>
      </c>
      <c r="I66" s="39">
        <f t="shared" si="5"/>
        <v>46304</v>
      </c>
      <c r="J66" s="40" t="s">
        <v>486</v>
      </c>
      <c r="K66" s="8">
        <f t="shared" si="6"/>
        <v>0.5</v>
      </c>
      <c r="L66" s="41">
        <f t="shared" si="7"/>
        <v>1</v>
      </c>
      <c r="M66" s="7"/>
    </row>
    <row r="67" spans="1:13" ht="25.5" x14ac:dyDescent="0.2">
      <c r="A67" s="6" t="s">
        <v>249</v>
      </c>
      <c r="B67" s="6" t="s">
        <v>36</v>
      </c>
      <c r="C67" s="6" t="s">
        <v>243</v>
      </c>
      <c r="D67" s="7" t="s">
        <v>250</v>
      </c>
      <c r="E67" s="6" t="s">
        <v>28</v>
      </c>
      <c r="F67" s="6">
        <v>3</v>
      </c>
      <c r="G67" s="6">
        <v>2</v>
      </c>
      <c r="H67" s="39">
        <f t="shared" si="4"/>
        <v>46300</v>
      </c>
      <c r="I67" s="39">
        <f t="shared" si="5"/>
        <v>46304</v>
      </c>
      <c r="J67" s="40" t="s">
        <v>486</v>
      </c>
      <c r="K67" s="8">
        <f t="shared" si="6"/>
        <v>0.5</v>
      </c>
      <c r="L67" s="41">
        <f t="shared" si="7"/>
        <v>1.5</v>
      </c>
      <c r="M67" s="7"/>
    </row>
    <row r="68" spans="1:13" x14ac:dyDescent="0.2">
      <c r="A68" s="6" t="s">
        <v>251</v>
      </c>
      <c r="B68" s="6" t="s">
        <v>36</v>
      </c>
      <c r="C68" s="6" t="s">
        <v>243</v>
      </c>
      <c r="D68" s="7" t="s">
        <v>252</v>
      </c>
      <c r="E68" s="6" t="s">
        <v>29</v>
      </c>
      <c r="F68" s="6">
        <v>2</v>
      </c>
      <c r="G68" s="6">
        <v>2</v>
      </c>
      <c r="H68" s="39">
        <f t="shared" si="4"/>
        <v>46300</v>
      </c>
      <c r="I68" s="39">
        <f t="shared" si="5"/>
        <v>46304</v>
      </c>
      <c r="J68" s="40" t="s">
        <v>395</v>
      </c>
      <c r="K68" s="8">
        <f t="shared" si="6"/>
        <v>0</v>
      </c>
      <c r="L68" s="41">
        <f t="shared" si="7"/>
        <v>0</v>
      </c>
      <c r="M68" s="7"/>
    </row>
    <row r="69" spans="1:13" x14ac:dyDescent="0.2">
      <c r="A69" s="6" t="s">
        <v>253</v>
      </c>
      <c r="B69" s="6" t="s">
        <v>36</v>
      </c>
      <c r="C69" s="6" t="s">
        <v>394</v>
      </c>
      <c r="D69" s="7" t="s">
        <v>254</v>
      </c>
      <c r="E69" s="6" t="s">
        <v>27</v>
      </c>
      <c r="F69" s="6">
        <v>2</v>
      </c>
      <c r="G69" s="6">
        <v>2</v>
      </c>
      <c r="H69" s="39">
        <f t="shared" ref="H69:H100" si="8">IF($G69=1,INDEX(SprintInicio,MATCH($B69,SprintNombres,0)),INDEX(SprintInicio,MATCH($B69,SprintNombres,0))+8-WEEKDAY(INDEX(SprintInicio,MATCH($B69,SprintNombres,0)),2))</f>
        <v>46300</v>
      </c>
      <c r="I69" s="39">
        <f t="shared" ref="I69:I100" si="9">IF($G69=1,MIN(INDEX(SprintInicio,MATCH($B69,SprintNombres,0))+5-WEEKDAY(INDEX(SprintInicio,MATCH($B69,SprintNombres,0)),2),INDEX(SprintFin,MATCH($B69,SprintNombres,0))),INDEX(SprintFin,MATCH($B69,SprintNombres,0)))</f>
        <v>46304</v>
      </c>
      <c r="J69" s="40" t="s">
        <v>395</v>
      </c>
      <c r="K69" s="8">
        <f t="shared" ref="K69:K100" si="10">IFERROR(VLOOKUP($J69,EstadosAvance,2,FALSE),0)</f>
        <v>0</v>
      </c>
      <c r="L69" s="41">
        <f t="shared" ref="L69:L100" si="11">F69*K69</f>
        <v>0</v>
      </c>
      <c r="M69" s="7"/>
    </row>
    <row r="70" spans="1:13" ht="25.5" x14ac:dyDescent="0.2">
      <c r="A70" s="6" t="s">
        <v>255</v>
      </c>
      <c r="B70" s="6" t="s">
        <v>36</v>
      </c>
      <c r="C70" s="6" t="s">
        <v>394</v>
      </c>
      <c r="D70" s="7" t="s">
        <v>256</v>
      </c>
      <c r="E70" s="6" t="s">
        <v>29</v>
      </c>
      <c r="F70" s="6">
        <v>2</v>
      </c>
      <c r="G70" s="6">
        <v>2</v>
      </c>
      <c r="H70" s="39">
        <f t="shared" si="8"/>
        <v>46300</v>
      </c>
      <c r="I70" s="39">
        <f t="shared" si="9"/>
        <v>46304</v>
      </c>
      <c r="J70" s="40" t="s">
        <v>395</v>
      </c>
      <c r="K70" s="8">
        <f t="shared" si="10"/>
        <v>0</v>
      </c>
      <c r="L70" s="41">
        <f t="shared" si="11"/>
        <v>0</v>
      </c>
      <c r="M70" s="7"/>
    </row>
    <row r="71" spans="1:13" x14ac:dyDescent="0.2">
      <c r="A71" s="6" t="s">
        <v>257</v>
      </c>
      <c r="B71" s="6" t="s">
        <v>36</v>
      </c>
      <c r="C71" s="6" t="s">
        <v>394</v>
      </c>
      <c r="D71" s="7" t="s">
        <v>258</v>
      </c>
      <c r="E71" s="6" t="s">
        <v>28</v>
      </c>
      <c r="F71" s="6">
        <v>2</v>
      </c>
      <c r="G71" s="6">
        <v>2</v>
      </c>
      <c r="H71" s="39">
        <f t="shared" si="8"/>
        <v>46300</v>
      </c>
      <c r="I71" s="39">
        <f t="shared" si="9"/>
        <v>46304</v>
      </c>
      <c r="J71" s="40" t="s">
        <v>395</v>
      </c>
      <c r="K71" s="8">
        <f t="shared" si="10"/>
        <v>0</v>
      </c>
      <c r="L71" s="41">
        <f t="shared" si="11"/>
        <v>0</v>
      </c>
      <c r="M71" s="7"/>
    </row>
    <row r="72" spans="1:13" x14ac:dyDescent="0.2">
      <c r="A72" s="6" t="s">
        <v>259</v>
      </c>
      <c r="B72" s="6" t="s">
        <v>36</v>
      </c>
      <c r="C72" s="6" t="s">
        <v>394</v>
      </c>
      <c r="D72" s="7" t="s">
        <v>145</v>
      </c>
      <c r="E72" s="6" t="s">
        <v>27</v>
      </c>
      <c r="F72" s="6">
        <v>2</v>
      </c>
      <c r="G72" s="6">
        <v>2</v>
      </c>
      <c r="H72" s="39">
        <f t="shared" si="8"/>
        <v>46300</v>
      </c>
      <c r="I72" s="39">
        <f t="shared" si="9"/>
        <v>46304</v>
      </c>
      <c r="J72" s="40" t="s">
        <v>395</v>
      </c>
      <c r="K72" s="8">
        <f t="shared" si="10"/>
        <v>0</v>
      </c>
      <c r="L72" s="41">
        <f t="shared" si="11"/>
        <v>0</v>
      </c>
      <c r="M72" s="7"/>
    </row>
    <row r="73" spans="1:13" x14ac:dyDescent="0.2">
      <c r="A73" s="6" t="s">
        <v>264</v>
      </c>
      <c r="B73" s="6" t="s">
        <v>41</v>
      </c>
      <c r="C73" s="6" t="s">
        <v>262</v>
      </c>
      <c r="D73" s="7" t="s">
        <v>265</v>
      </c>
      <c r="E73" s="6" t="s">
        <v>28</v>
      </c>
      <c r="F73" s="6">
        <v>3</v>
      </c>
      <c r="G73" s="6">
        <v>1</v>
      </c>
      <c r="H73" s="39">
        <f t="shared" si="8"/>
        <v>46308</v>
      </c>
      <c r="I73" s="39">
        <f t="shared" si="9"/>
        <v>46311</v>
      </c>
      <c r="J73" s="40" t="s">
        <v>395</v>
      </c>
      <c r="K73" s="8">
        <f t="shared" si="10"/>
        <v>0</v>
      </c>
      <c r="L73" s="41">
        <f t="shared" si="11"/>
        <v>0</v>
      </c>
      <c r="M73" s="7"/>
    </row>
    <row r="74" spans="1:13" ht="25.5" x14ac:dyDescent="0.2">
      <c r="A74" s="6" t="s">
        <v>266</v>
      </c>
      <c r="B74" s="6" t="s">
        <v>41</v>
      </c>
      <c r="C74" s="6" t="s">
        <v>262</v>
      </c>
      <c r="D74" s="7" t="s">
        <v>267</v>
      </c>
      <c r="E74" s="6" t="s">
        <v>29</v>
      </c>
      <c r="F74" s="6">
        <v>3</v>
      </c>
      <c r="G74" s="6">
        <v>1</v>
      </c>
      <c r="H74" s="39">
        <f t="shared" si="8"/>
        <v>46308</v>
      </c>
      <c r="I74" s="39">
        <f t="shared" si="9"/>
        <v>46311</v>
      </c>
      <c r="J74" s="40" t="s">
        <v>395</v>
      </c>
      <c r="K74" s="8">
        <f t="shared" si="10"/>
        <v>0</v>
      </c>
      <c r="L74" s="41">
        <f t="shared" si="11"/>
        <v>0</v>
      </c>
      <c r="M74" s="7"/>
    </row>
    <row r="75" spans="1:13" x14ac:dyDescent="0.2">
      <c r="A75" s="6" t="s">
        <v>268</v>
      </c>
      <c r="B75" s="6" t="s">
        <v>41</v>
      </c>
      <c r="C75" s="6" t="s">
        <v>262</v>
      </c>
      <c r="D75" s="7" t="s">
        <v>269</v>
      </c>
      <c r="E75" s="6" t="s">
        <v>29</v>
      </c>
      <c r="F75" s="6">
        <v>2</v>
      </c>
      <c r="G75" s="6">
        <v>1</v>
      </c>
      <c r="H75" s="39">
        <f t="shared" si="8"/>
        <v>46308</v>
      </c>
      <c r="I75" s="39">
        <f t="shared" si="9"/>
        <v>46311</v>
      </c>
      <c r="J75" s="40" t="s">
        <v>395</v>
      </c>
      <c r="K75" s="8">
        <f t="shared" si="10"/>
        <v>0</v>
      </c>
      <c r="L75" s="41">
        <f t="shared" si="11"/>
        <v>0</v>
      </c>
      <c r="M75" s="7"/>
    </row>
    <row r="76" spans="1:13" x14ac:dyDescent="0.2">
      <c r="A76" s="6" t="s">
        <v>270</v>
      </c>
      <c r="B76" s="6" t="s">
        <v>41</v>
      </c>
      <c r="C76" s="6" t="s">
        <v>262</v>
      </c>
      <c r="D76" s="7" t="s">
        <v>271</v>
      </c>
      <c r="E76" s="6" t="s">
        <v>27</v>
      </c>
      <c r="F76" s="6">
        <v>2</v>
      </c>
      <c r="G76" s="6">
        <v>1</v>
      </c>
      <c r="H76" s="39">
        <f t="shared" si="8"/>
        <v>46308</v>
      </c>
      <c r="I76" s="39">
        <f t="shared" si="9"/>
        <v>46311</v>
      </c>
      <c r="J76" s="40" t="s">
        <v>395</v>
      </c>
      <c r="K76" s="8">
        <f t="shared" si="10"/>
        <v>0</v>
      </c>
      <c r="L76" s="41">
        <f t="shared" si="11"/>
        <v>0</v>
      </c>
      <c r="M76" s="7"/>
    </row>
    <row r="77" spans="1:13" x14ac:dyDescent="0.2">
      <c r="A77" s="6" t="s">
        <v>274</v>
      </c>
      <c r="B77" s="6" t="s">
        <v>41</v>
      </c>
      <c r="C77" s="6" t="s">
        <v>272</v>
      </c>
      <c r="D77" s="7" t="s">
        <v>275</v>
      </c>
      <c r="E77" s="6" t="s">
        <v>29</v>
      </c>
      <c r="F77" s="6">
        <v>5</v>
      </c>
      <c r="G77" s="6">
        <v>1</v>
      </c>
      <c r="H77" s="39">
        <f t="shared" si="8"/>
        <v>46308</v>
      </c>
      <c r="I77" s="39">
        <f t="shared" si="9"/>
        <v>46311</v>
      </c>
      <c r="J77" s="40" t="s">
        <v>395</v>
      </c>
      <c r="K77" s="8">
        <f t="shared" si="10"/>
        <v>0</v>
      </c>
      <c r="L77" s="41">
        <f t="shared" si="11"/>
        <v>0</v>
      </c>
      <c r="M77" s="7"/>
    </row>
    <row r="78" spans="1:13" x14ac:dyDescent="0.2">
      <c r="A78" s="6" t="s">
        <v>276</v>
      </c>
      <c r="B78" s="6" t="s">
        <v>41</v>
      </c>
      <c r="C78" s="6" t="s">
        <v>272</v>
      </c>
      <c r="D78" s="7" t="s">
        <v>277</v>
      </c>
      <c r="E78" s="6" t="s">
        <v>27</v>
      </c>
      <c r="F78" s="6">
        <v>2</v>
      </c>
      <c r="G78" s="6">
        <v>1</v>
      </c>
      <c r="H78" s="39">
        <f t="shared" si="8"/>
        <v>46308</v>
      </c>
      <c r="I78" s="39">
        <f t="shared" si="9"/>
        <v>46311</v>
      </c>
      <c r="J78" s="40" t="s">
        <v>395</v>
      </c>
      <c r="K78" s="8">
        <f t="shared" si="10"/>
        <v>0</v>
      </c>
      <c r="L78" s="41">
        <f t="shared" si="11"/>
        <v>0</v>
      </c>
      <c r="M78" s="7"/>
    </row>
    <row r="79" spans="1:13" x14ac:dyDescent="0.2">
      <c r="A79" s="6" t="s">
        <v>278</v>
      </c>
      <c r="B79" s="6" t="s">
        <v>41</v>
      </c>
      <c r="C79" s="6" t="s">
        <v>272</v>
      </c>
      <c r="D79" s="7" t="s">
        <v>279</v>
      </c>
      <c r="E79" s="6" t="s">
        <v>27</v>
      </c>
      <c r="F79" s="6">
        <v>2</v>
      </c>
      <c r="G79" s="6">
        <v>1</v>
      </c>
      <c r="H79" s="39">
        <f t="shared" si="8"/>
        <v>46308</v>
      </c>
      <c r="I79" s="39">
        <f t="shared" si="9"/>
        <v>46311</v>
      </c>
      <c r="J79" s="40" t="s">
        <v>395</v>
      </c>
      <c r="K79" s="8">
        <f t="shared" si="10"/>
        <v>0</v>
      </c>
      <c r="L79" s="41">
        <f t="shared" si="11"/>
        <v>0</v>
      </c>
      <c r="M79" s="7"/>
    </row>
    <row r="80" spans="1:13" x14ac:dyDescent="0.2">
      <c r="A80" s="6" t="s">
        <v>280</v>
      </c>
      <c r="B80" s="6" t="s">
        <v>41</v>
      </c>
      <c r="C80" s="6" t="s">
        <v>272</v>
      </c>
      <c r="D80" s="7" t="s">
        <v>281</v>
      </c>
      <c r="E80" s="6" t="s">
        <v>29</v>
      </c>
      <c r="F80" s="6">
        <v>2</v>
      </c>
      <c r="G80" s="6">
        <v>1</v>
      </c>
      <c r="H80" s="39">
        <f t="shared" si="8"/>
        <v>46308</v>
      </c>
      <c r="I80" s="39">
        <f t="shared" si="9"/>
        <v>46311</v>
      </c>
      <c r="J80" s="40" t="s">
        <v>395</v>
      </c>
      <c r="K80" s="8">
        <f t="shared" si="10"/>
        <v>0</v>
      </c>
      <c r="L80" s="41">
        <f t="shared" si="11"/>
        <v>0</v>
      </c>
      <c r="M80" s="7"/>
    </row>
    <row r="81" spans="1:13" x14ac:dyDescent="0.2">
      <c r="A81" s="6" t="s">
        <v>282</v>
      </c>
      <c r="B81" s="6" t="s">
        <v>41</v>
      </c>
      <c r="C81" s="6" t="s">
        <v>272</v>
      </c>
      <c r="D81" s="7" t="s">
        <v>283</v>
      </c>
      <c r="E81" s="6" t="s">
        <v>28</v>
      </c>
      <c r="F81" s="6">
        <v>2</v>
      </c>
      <c r="G81" s="6">
        <v>1</v>
      </c>
      <c r="H81" s="39">
        <f t="shared" si="8"/>
        <v>46308</v>
      </c>
      <c r="I81" s="39">
        <f t="shared" si="9"/>
        <v>46311</v>
      </c>
      <c r="J81" s="40" t="s">
        <v>395</v>
      </c>
      <c r="K81" s="8">
        <f t="shared" si="10"/>
        <v>0</v>
      </c>
      <c r="L81" s="41">
        <f t="shared" si="11"/>
        <v>0</v>
      </c>
      <c r="M81" s="7"/>
    </row>
    <row r="82" spans="1:13" ht="25.5" x14ac:dyDescent="0.2">
      <c r="A82" s="6" t="s">
        <v>286</v>
      </c>
      <c r="B82" s="6" t="s">
        <v>41</v>
      </c>
      <c r="C82" s="6" t="s">
        <v>284</v>
      </c>
      <c r="D82" s="7" t="s">
        <v>287</v>
      </c>
      <c r="E82" s="6" t="s">
        <v>27</v>
      </c>
      <c r="F82" s="6">
        <v>3</v>
      </c>
      <c r="G82" s="6">
        <v>2</v>
      </c>
      <c r="H82" s="39">
        <f t="shared" si="8"/>
        <v>46314</v>
      </c>
      <c r="I82" s="39">
        <f t="shared" si="9"/>
        <v>46318</v>
      </c>
      <c r="J82" s="40" t="s">
        <v>395</v>
      </c>
      <c r="K82" s="8">
        <f t="shared" si="10"/>
        <v>0</v>
      </c>
      <c r="L82" s="41">
        <f t="shared" si="11"/>
        <v>0</v>
      </c>
      <c r="M82" s="7"/>
    </row>
    <row r="83" spans="1:13" x14ac:dyDescent="0.2">
      <c r="A83" s="6" t="s">
        <v>288</v>
      </c>
      <c r="B83" s="6" t="s">
        <v>41</v>
      </c>
      <c r="C83" s="6" t="s">
        <v>284</v>
      </c>
      <c r="D83" s="7" t="s">
        <v>289</v>
      </c>
      <c r="E83" s="6" t="s">
        <v>28</v>
      </c>
      <c r="F83" s="6">
        <v>2</v>
      </c>
      <c r="G83" s="6">
        <v>2</v>
      </c>
      <c r="H83" s="39">
        <f t="shared" si="8"/>
        <v>46314</v>
      </c>
      <c r="I83" s="39">
        <f t="shared" si="9"/>
        <v>46318</v>
      </c>
      <c r="J83" s="40" t="s">
        <v>395</v>
      </c>
      <c r="K83" s="8">
        <f t="shared" si="10"/>
        <v>0</v>
      </c>
      <c r="L83" s="41">
        <f t="shared" si="11"/>
        <v>0</v>
      </c>
      <c r="M83" s="7"/>
    </row>
    <row r="84" spans="1:13" x14ac:dyDescent="0.2">
      <c r="A84" s="6" t="s">
        <v>290</v>
      </c>
      <c r="B84" s="6" t="s">
        <v>41</v>
      </c>
      <c r="C84" s="6" t="s">
        <v>284</v>
      </c>
      <c r="D84" s="7" t="s">
        <v>291</v>
      </c>
      <c r="E84" s="6" t="s">
        <v>29</v>
      </c>
      <c r="F84" s="6">
        <v>4</v>
      </c>
      <c r="G84" s="6">
        <v>2</v>
      </c>
      <c r="H84" s="39">
        <f t="shared" si="8"/>
        <v>46314</v>
      </c>
      <c r="I84" s="39">
        <f t="shared" si="9"/>
        <v>46318</v>
      </c>
      <c r="J84" s="40" t="s">
        <v>395</v>
      </c>
      <c r="K84" s="8">
        <f t="shared" si="10"/>
        <v>0</v>
      </c>
      <c r="L84" s="41">
        <f t="shared" si="11"/>
        <v>0</v>
      </c>
      <c r="M84" s="7"/>
    </row>
    <row r="85" spans="1:13" x14ac:dyDescent="0.2">
      <c r="A85" s="6" t="s">
        <v>292</v>
      </c>
      <c r="B85" s="6" t="s">
        <v>41</v>
      </c>
      <c r="C85" s="6" t="s">
        <v>284</v>
      </c>
      <c r="D85" s="7" t="s">
        <v>293</v>
      </c>
      <c r="E85" s="6" t="s">
        <v>27</v>
      </c>
      <c r="F85" s="6">
        <v>2</v>
      </c>
      <c r="G85" s="6">
        <v>2</v>
      </c>
      <c r="H85" s="39">
        <f t="shared" si="8"/>
        <v>46314</v>
      </c>
      <c r="I85" s="39">
        <f t="shared" si="9"/>
        <v>46318</v>
      </c>
      <c r="J85" s="40" t="s">
        <v>395</v>
      </c>
      <c r="K85" s="8">
        <f t="shared" si="10"/>
        <v>0</v>
      </c>
      <c r="L85" s="41">
        <f t="shared" si="11"/>
        <v>0</v>
      </c>
      <c r="M85" s="7"/>
    </row>
    <row r="86" spans="1:13" x14ac:dyDescent="0.2">
      <c r="A86" s="6" t="s">
        <v>294</v>
      </c>
      <c r="B86" s="6" t="s">
        <v>41</v>
      </c>
      <c r="C86" s="6" t="s">
        <v>284</v>
      </c>
      <c r="D86" s="7" t="s">
        <v>295</v>
      </c>
      <c r="E86" s="6" t="s">
        <v>28</v>
      </c>
      <c r="F86" s="6">
        <v>2</v>
      </c>
      <c r="G86" s="6">
        <v>2</v>
      </c>
      <c r="H86" s="39">
        <f t="shared" si="8"/>
        <v>46314</v>
      </c>
      <c r="I86" s="39">
        <f t="shared" si="9"/>
        <v>46318</v>
      </c>
      <c r="J86" s="40" t="s">
        <v>395</v>
      </c>
      <c r="K86" s="8">
        <f t="shared" si="10"/>
        <v>0</v>
      </c>
      <c r="L86" s="41">
        <f t="shared" si="11"/>
        <v>0</v>
      </c>
      <c r="M86" s="7"/>
    </row>
    <row r="87" spans="1:13" x14ac:dyDescent="0.2">
      <c r="A87" s="6" t="s">
        <v>298</v>
      </c>
      <c r="B87" s="6" t="s">
        <v>41</v>
      </c>
      <c r="C87" s="6" t="s">
        <v>296</v>
      </c>
      <c r="D87" s="7" t="s">
        <v>299</v>
      </c>
      <c r="E87" s="6" t="s">
        <v>27</v>
      </c>
      <c r="F87" s="6">
        <v>3</v>
      </c>
      <c r="G87" s="6">
        <v>2</v>
      </c>
      <c r="H87" s="39">
        <f t="shared" si="8"/>
        <v>46314</v>
      </c>
      <c r="I87" s="39">
        <f t="shared" si="9"/>
        <v>46318</v>
      </c>
      <c r="J87" s="40" t="s">
        <v>395</v>
      </c>
      <c r="K87" s="8">
        <f t="shared" si="10"/>
        <v>0</v>
      </c>
      <c r="L87" s="41">
        <f t="shared" si="11"/>
        <v>0</v>
      </c>
      <c r="M87" s="7"/>
    </row>
    <row r="88" spans="1:13" x14ac:dyDescent="0.2">
      <c r="A88" s="6" t="s">
        <v>300</v>
      </c>
      <c r="B88" s="6" t="s">
        <v>41</v>
      </c>
      <c r="C88" s="6" t="s">
        <v>296</v>
      </c>
      <c r="D88" s="7" t="s">
        <v>301</v>
      </c>
      <c r="E88" s="6" t="s">
        <v>28</v>
      </c>
      <c r="F88" s="6">
        <v>3</v>
      </c>
      <c r="G88" s="6">
        <v>2</v>
      </c>
      <c r="H88" s="39">
        <f t="shared" si="8"/>
        <v>46314</v>
      </c>
      <c r="I88" s="39">
        <f t="shared" si="9"/>
        <v>46318</v>
      </c>
      <c r="J88" s="40" t="s">
        <v>395</v>
      </c>
      <c r="K88" s="8">
        <f t="shared" si="10"/>
        <v>0</v>
      </c>
      <c r="L88" s="41">
        <f t="shared" si="11"/>
        <v>0</v>
      </c>
      <c r="M88" s="7"/>
    </row>
    <row r="89" spans="1:13" x14ac:dyDescent="0.2">
      <c r="A89" s="6" t="s">
        <v>302</v>
      </c>
      <c r="B89" s="6" t="s">
        <v>41</v>
      </c>
      <c r="C89" s="6" t="s">
        <v>296</v>
      </c>
      <c r="D89" s="7" t="s">
        <v>303</v>
      </c>
      <c r="E89" s="6" t="s">
        <v>29</v>
      </c>
      <c r="F89" s="6">
        <v>3</v>
      </c>
      <c r="G89" s="6">
        <v>2</v>
      </c>
      <c r="H89" s="39">
        <f t="shared" si="8"/>
        <v>46314</v>
      </c>
      <c r="I89" s="39">
        <f t="shared" si="9"/>
        <v>46318</v>
      </c>
      <c r="J89" s="40" t="s">
        <v>395</v>
      </c>
      <c r="K89" s="8">
        <f t="shared" si="10"/>
        <v>0</v>
      </c>
      <c r="L89" s="41">
        <f t="shared" si="11"/>
        <v>0</v>
      </c>
      <c r="M89" s="7"/>
    </row>
    <row r="90" spans="1:13" x14ac:dyDescent="0.2">
      <c r="A90" s="6" t="s">
        <v>304</v>
      </c>
      <c r="B90" s="6" t="s">
        <v>41</v>
      </c>
      <c r="C90" s="6" t="s">
        <v>296</v>
      </c>
      <c r="D90" s="7" t="s">
        <v>305</v>
      </c>
      <c r="E90" s="6" t="s">
        <v>28</v>
      </c>
      <c r="F90" s="6">
        <v>2</v>
      </c>
      <c r="G90" s="6">
        <v>2</v>
      </c>
      <c r="H90" s="39">
        <f t="shared" si="8"/>
        <v>46314</v>
      </c>
      <c r="I90" s="39">
        <f t="shared" si="9"/>
        <v>46318</v>
      </c>
      <c r="J90" s="40" t="s">
        <v>395</v>
      </c>
      <c r="K90" s="8">
        <f t="shared" si="10"/>
        <v>0</v>
      </c>
      <c r="L90" s="41">
        <f t="shared" si="11"/>
        <v>0</v>
      </c>
      <c r="M90" s="7"/>
    </row>
    <row r="91" spans="1:13" x14ac:dyDescent="0.2">
      <c r="A91" s="6" t="s">
        <v>306</v>
      </c>
      <c r="B91" s="6" t="s">
        <v>41</v>
      </c>
      <c r="C91" s="6" t="s">
        <v>296</v>
      </c>
      <c r="D91" s="7" t="s">
        <v>307</v>
      </c>
      <c r="E91" s="6" t="s">
        <v>27</v>
      </c>
      <c r="F91" s="6">
        <v>2</v>
      </c>
      <c r="G91" s="6">
        <v>2</v>
      </c>
      <c r="H91" s="39">
        <f t="shared" si="8"/>
        <v>46314</v>
      </c>
      <c r="I91" s="39">
        <f t="shared" si="9"/>
        <v>46318</v>
      </c>
      <c r="J91" s="40" t="s">
        <v>395</v>
      </c>
      <c r="K91" s="8">
        <f t="shared" si="10"/>
        <v>0</v>
      </c>
      <c r="L91" s="41">
        <f t="shared" si="11"/>
        <v>0</v>
      </c>
      <c r="M91" s="7"/>
    </row>
    <row r="92" spans="1:13" ht="25.5" x14ac:dyDescent="0.2">
      <c r="A92" s="6" t="s">
        <v>308</v>
      </c>
      <c r="B92" s="6" t="s">
        <v>41</v>
      </c>
      <c r="C92" s="6" t="s">
        <v>394</v>
      </c>
      <c r="D92" s="7" t="s">
        <v>309</v>
      </c>
      <c r="E92" s="6" t="s">
        <v>27</v>
      </c>
      <c r="F92" s="6">
        <v>2</v>
      </c>
      <c r="G92" s="6">
        <v>2</v>
      </c>
      <c r="H92" s="39">
        <f t="shared" si="8"/>
        <v>46314</v>
      </c>
      <c r="I92" s="39">
        <f t="shared" si="9"/>
        <v>46318</v>
      </c>
      <c r="J92" s="40" t="s">
        <v>395</v>
      </c>
      <c r="K92" s="8">
        <f t="shared" si="10"/>
        <v>0</v>
      </c>
      <c r="L92" s="41">
        <f t="shared" si="11"/>
        <v>0</v>
      </c>
      <c r="M92" s="7"/>
    </row>
    <row r="93" spans="1:13" x14ac:dyDescent="0.2">
      <c r="A93" s="6" t="s">
        <v>310</v>
      </c>
      <c r="B93" s="6" t="s">
        <v>41</v>
      </c>
      <c r="C93" s="6" t="s">
        <v>394</v>
      </c>
      <c r="D93" s="7" t="s">
        <v>311</v>
      </c>
      <c r="E93" s="6" t="s">
        <v>29</v>
      </c>
      <c r="F93" s="6">
        <v>2</v>
      </c>
      <c r="G93" s="6">
        <v>2</v>
      </c>
      <c r="H93" s="39">
        <f t="shared" si="8"/>
        <v>46314</v>
      </c>
      <c r="I93" s="39">
        <f t="shared" si="9"/>
        <v>46318</v>
      </c>
      <c r="J93" s="40" t="s">
        <v>395</v>
      </c>
      <c r="K93" s="8">
        <f t="shared" si="10"/>
        <v>0</v>
      </c>
      <c r="L93" s="41">
        <f t="shared" si="11"/>
        <v>0</v>
      </c>
      <c r="M93" s="7"/>
    </row>
    <row r="94" spans="1:13" x14ac:dyDescent="0.2">
      <c r="A94" s="6" t="s">
        <v>312</v>
      </c>
      <c r="B94" s="6" t="s">
        <v>41</v>
      </c>
      <c r="C94" s="6" t="s">
        <v>394</v>
      </c>
      <c r="D94" s="7" t="s">
        <v>145</v>
      </c>
      <c r="E94" s="6" t="s">
        <v>28</v>
      </c>
      <c r="F94" s="6">
        <v>2</v>
      </c>
      <c r="G94" s="6">
        <v>2</v>
      </c>
      <c r="H94" s="39">
        <f t="shared" si="8"/>
        <v>46314</v>
      </c>
      <c r="I94" s="39">
        <f t="shared" si="9"/>
        <v>46318</v>
      </c>
      <c r="J94" s="40" t="s">
        <v>395</v>
      </c>
      <c r="K94" s="8">
        <f t="shared" si="10"/>
        <v>0</v>
      </c>
      <c r="L94" s="41">
        <f t="shared" si="11"/>
        <v>0</v>
      </c>
      <c r="M94" s="7"/>
    </row>
    <row r="95" spans="1:13" ht="25.5" x14ac:dyDescent="0.2">
      <c r="A95" s="6" t="s">
        <v>317</v>
      </c>
      <c r="B95" s="6" t="s">
        <v>46</v>
      </c>
      <c r="C95" s="6" t="s">
        <v>315</v>
      </c>
      <c r="D95" s="7" t="s">
        <v>318</v>
      </c>
      <c r="E95" s="6" t="s">
        <v>29</v>
      </c>
      <c r="F95" s="6">
        <v>3</v>
      </c>
      <c r="G95" s="6">
        <v>1</v>
      </c>
      <c r="H95" s="39">
        <f t="shared" si="8"/>
        <v>46321</v>
      </c>
      <c r="I95" s="39">
        <f t="shared" si="9"/>
        <v>46325</v>
      </c>
      <c r="J95" s="40" t="s">
        <v>395</v>
      </c>
      <c r="K95" s="8">
        <f t="shared" si="10"/>
        <v>0</v>
      </c>
      <c r="L95" s="41">
        <f t="shared" si="11"/>
        <v>0</v>
      </c>
      <c r="M95" s="7"/>
    </row>
    <row r="96" spans="1:13" ht="25.5" x14ac:dyDescent="0.2">
      <c r="A96" s="6" t="s">
        <v>319</v>
      </c>
      <c r="B96" s="6" t="s">
        <v>46</v>
      </c>
      <c r="C96" s="6" t="s">
        <v>315</v>
      </c>
      <c r="D96" s="7" t="s">
        <v>320</v>
      </c>
      <c r="E96" s="6" t="s">
        <v>28</v>
      </c>
      <c r="F96" s="6">
        <v>4</v>
      </c>
      <c r="G96" s="6">
        <v>1</v>
      </c>
      <c r="H96" s="39">
        <f t="shared" si="8"/>
        <v>46321</v>
      </c>
      <c r="I96" s="39">
        <f t="shared" si="9"/>
        <v>46325</v>
      </c>
      <c r="J96" s="40" t="s">
        <v>395</v>
      </c>
      <c r="K96" s="8">
        <f t="shared" si="10"/>
        <v>0</v>
      </c>
      <c r="L96" s="41">
        <f t="shared" si="11"/>
        <v>0</v>
      </c>
      <c r="M96" s="7"/>
    </row>
    <row r="97" spans="1:13" x14ac:dyDescent="0.2">
      <c r="A97" s="6" t="s">
        <v>321</v>
      </c>
      <c r="B97" s="6" t="s">
        <v>46</v>
      </c>
      <c r="C97" s="6" t="s">
        <v>315</v>
      </c>
      <c r="D97" s="7" t="s">
        <v>322</v>
      </c>
      <c r="E97" s="6" t="s">
        <v>29</v>
      </c>
      <c r="F97" s="6">
        <v>3</v>
      </c>
      <c r="G97" s="6">
        <v>1</v>
      </c>
      <c r="H97" s="39">
        <f t="shared" si="8"/>
        <v>46321</v>
      </c>
      <c r="I97" s="39">
        <f t="shared" si="9"/>
        <v>46325</v>
      </c>
      <c r="J97" s="40" t="s">
        <v>395</v>
      </c>
      <c r="K97" s="8">
        <f t="shared" si="10"/>
        <v>0</v>
      </c>
      <c r="L97" s="41">
        <f t="shared" si="11"/>
        <v>0</v>
      </c>
      <c r="M97" s="7"/>
    </row>
    <row r="98" spans="1:13" x14ac:dyDescent="0.2">
      <c r="A98" s="6" t="s">
        <v>323</v>
      </c>
      <c r="B98" s="6" t="s">
        <v>46</v>
      </c>
      <c r="C98" s="6" t="s">
        <v>315</v>
      </c>
      <c r="D98" s="7" t="s">
        <v>324</v>
      </c>
      <c r="E98" s="6" t="s">
        <v>29</v>
      </c>
      <c r="F98" s="6">
        <v>2</v>
      </c>
      <c r="G98" s="6">
        <v>1</v>
      </c>
      <c r="H98" s="39">
        <f t="shared" si="8"/>
        <v>46321</v>
      </c>
      <c r="I98" s="39">
        <f t="shared" si="9"/>
        <v>46325</v>
      </c>
      <c r="J98" s="40" t="s">
        <v>395</v>
      </c>
      <c r="K98" s="8">
        <f t="shared" si="10"/>
        <v>0</v>
      </c>
      <c r="L98" s="41">
        <f t="shared" si="11"/>
        <v>0</v>
      </c>
      <c r="M98" s="7"/>
    </row>
    <row r="99" spans="1:13" x14ac:dyDescent="0.2">
      <c r="A99" s="6" t="s">
        <v>325</v>
      </c>
      <c r="B99" s="6" t="s">
        <v>46</v>
      </c>
      <c r="C99" s="6" t="s">
        <v>315</v>
      </c>
      <c r="D99" s="7" t="s">
        <v>326</v>
      </c>
      <c r="E99" s="6" t="s">
        <v>27</v>
      </c>
      <c r="F99" s="6">
        <v>2</v>
      </c>
      <c r="G99" s="6">
        <v>1</v>
      </c>
      <c r="H99" s="39">
        <f t="shared" si="8"/>
        <v>46321</v>
      </c>
      <c r="I99" s="39">
        <f t="shared" si="9"/>
        <v>46325</v>
      </c>
      <c r="J99" s="40" t="s">
        <v>395</v>
      </c>
      <c r="K99" s="8">
        <f t="shared" si="10"/>
        <v>0</v>
      </c>
      <c r="L99" s="41">
        <f t="shared" si="11"/>
        <v>0</v>
      </c>
      <c r="M99" s="7"/>
    </row>
    <row r="100" spans="1:13" ht="25.5" x14ac:dyDescent="0.2">
      <c r="A100" s="6" t="s">
        <v>329</v>
      </c>
      <c r="B100" s="6" t="s">
        <v>46</v>
      </c>
      <c r="C100" s="6" t="s">
        <v>327</v>
      </c>
      <c r="D100" s="7" t="s">
        <v>330</v>
      </c>
      <c r="E100" s="6" t="s">
        <v>28</v>
      </c>
      <c r="F100" s="6">
        <v>2</v>
      </c>
      <c r="G100" s="6">
        <v>1</v>
      </c>
      <c r="H100" s="39">
        <f t="shared" si="8"/>
        <v>46321</v>
      </c>
      <c r="I100" s="39">
        <f t="shared" si="9"/>
        <v>46325</v>
      </c>
      <c r="J100" s="40" t="s">
        <v>395</v>
      </c>
      <c r="K100" s="8">
        <f t="shared" si="10"/>
        <v>0</v>
      </c>
      <c r="L100" s="41">
        <f t="shared" si="11"/>
        <v>0</v>
      </c>
      <c r="M100" s="7"/>
    </row>
    <row r="101" spans="1:13" x14ac:dyDescent="0.2">
      <c r="A101" s="6" t="s">
        <v>331</v>
      </c>
      <c r="B101" s="6" t="s">
        <v>46</v>
      </c>
      <c r="C101" s="6" t="s">
        <v>327</v>
      </c>
      <c r="D101" s="7" t="s">
        <v>332</v>
      </c>
      <c r="E101" s="6" t="s">
        <v>27</v>
      </c>
      <c r="F101" s="6">
        <v>3</v>
      </c>
      <c r="G101" s="6">
        <v>1</v>
      </c>
      <c r="H101" s="39">
        <f t="shared" ref="H101:H124" si="12">IF($G101=1,INDEX(SprintInicio,MATCH($B101,SprintNombres,0)),INDEX(SprintInicio,MATCH($B101,SprintNombres,0))+8-WEEKDAY(INDEX(SprintInicio,MATCH($B101,SprintNombres,0)),2))</f>
        <v>46321</v>
      </c>
      <c r="I101" s="39">
        <f t="shared" ref="I101:I124" si="13">IF($G101=1,MIN(INDEX(SprintInicio,MATCH($B101,SprintNombres,0))+5-WEEKDAY(INDEX(SprintInicio,MATCH($B101,SprintNombres,0)),2),INDEX(SprintFin,MATCH($B101,SprintNombres,0))),INDEX(SprintFin,MATCH($B101,SprintNombres,0)))</f>
        <v>46325</v>
      </c>
      <c r="J101" s="40" t="s">
        <v>395</v>
      </c>
      <c r="K101" s="8">
        <f t="shared" ref="K101:K124" si="14">IFERROR(VLOOKUP($J101,EstadosAvance,2,FALSE),0)</f>
        <v>0</v>
      </c>
      <c r="L101" s="41">
        <f t="shared" ref="L101:L132" si="15">F101*K101</f>
        <v>0</v>
      </c>
      <c r="M101" s="7"/>
    </row>
    <row r="102" spans="1:13" x14ac:dyDescent="0.2">
      <c r="A102" s="6" t="s">
        <v>333</v>
      </c>
      <c r="B102" s="6" t="s">
        <v>46</v>
      </c>
      <c r="C102" s="6" t="s">
        <v>327</v>
      </c>
      <c r="D102" s="7" t="s">
        <v>334</v>
      </c>
      <c r="E102" s="6" t="s">
        <v>27</v>
      </c>
      <c r="F102" s="6">
        <v>3</v>
      </c>
      <c r="G102" s="6">
        <v>2</v>
      </c>
      <c r="H102" s="39">
        <f t="shared" si="12"/>
        <v>46328</v>
      </c>
      <c r="I102" s="39">
        <f t="shared" si="13"/>
        <v>46332</v>
      </c>
      <c r="J102" s="40" t="s">
        <v>395</v>
      </c>
      <c r="K102" s="8">
        <f t="shared" si="14"/>
        <v>0</v>
      </c>
      <c r="L102" s="41">
        <f t="shared" si="15"/>
        <v>0</v>
      </c>
      <c r="M102" s="7"/>
    </row>
    <row r="103" spans="1:13" x14ac:dyDescent="0.2">
      <c r="A103" s="6" t="s">
        <v>335</v>
      </c>
      <c r="B103" s="6" t="s">
        <v>46</v>
      </c>
      <c r="C103" s="6" t="s">
        <v>327</v>
      </c>
      <c r="D103" s="7" t="s">
        <v>336</v>
      </c>
      <c r="E103" s="6" t="s">
        <v>28</v>
      </c>
      <c r="F103" s="6">
        <v>2</v>
      </c>
      <c r="G103" s="6">
        <v>2</v>
      </c>
      <c r="H103" s="39">
        <f t="shared" si="12"/>
        <v>46328</v>
      </c>
      <c r="I103" s="39">
        <f t="shared" si="13"/>
        <v>46332</v>
      </c>
      <c r="J103" s="40" t="s">
        <v>395</v>
      </c>
      <c r="K103" s="8">
        <f t="shared" si="14"/>
        <v>0</v>
      </c>
      <c r="L103" s="41">
        <f t="shared" si="15"/>
        <v>0</v>
      </c>
      <c r="M103" s="7"/>
    </row>
    <row r="104" spans="1:13" x14ac:dyDescent="0.2">
      <c r="A104" s="6" t="s">
        <v>337</v>
      </c>
      <c r="B104" s="6" t="s">
        <v>46</v>
      </c>
      <c r="C104" s="6" t="s">
        <v>327</v>
      </c>
      <c r="D104" s="7" t="s">
        <v>338</v>
      </c>
      <c r="E104" s="6" t="s">
        <v>29</v>
      </c>
      <c r="F104" s="6">
        <v>2</v>
      </c>
      <c r="G104" s="6">
        <v>2</v>
      </c>
      <c r="H104" s="39">
        <f t="shared" si="12"/>
        <v>46328</v>
      </c>
      <c r="I104" s="39">
        <f t="shared" si="13"/>
        <v>46332</v>
      </c>
      <c r="J104" s="40" t="s">
        <v>395</v>
      </c>
      <c r="K104" s="8">
        <f t="shared" si="14"/>
        <v>0</v>
      </c>
      <c r="L104" s="41">
        <f t="shared" si="15"/>
        <v>0</v>
      </c>
      <c r="M104" s="7"/>
    </row>
    <row r="105" spans="1:13" x14ac:dyDescent="0.2">
      <c r="A105" s="6" t="s">
        <v>341</v>
      </c>
      <c r="B105" s="6" t="s">
        <v>46</v>
      </c>
      <c r="C105" s="6" t="s">
        <v>339</v>
      </c>
      <c r="D105" s="7" t="s">
        <v>342</v>
      </c>
      <c r="E105" s="6" t="s">
        <v>27</v>
      </c>
      <c r="F105" s="6">
        <v>4</v>
      </c>
      <c r="G105" s="6">
        <v>2</v>
      </c>
      <c r="H105" s="39">
        <f t="shared" si="12"/>
        <v>46328</v>
      </c>
      <c r="I105" s="39">
        <f t="shared" si="13"/>
        <v>46332</v>
      </c>
      <c r="J105" s="40" t="s">
        <v>395</v>
      </c>
      <c r="K105" s="8">
        <f t="shared" si="14"/>
        <v>0</v>
      </c>
      <c r="L105" s="41">
        <f t="shared" si="15"/>
        <v>0</v>
      </c>
      <c r="M105" s="7"/>
    </row>
    <row r="106" spans="1:13" x14ac:dyDescent="0.2">
      <c r="A106" s="6" t="s">
        <v>343</v>
      </c>
      <c r="B106" s="6" t="s">
        <v>46</v>
      </c>
      <c r="C106" s="6" t="s">
        <v>339</v>
      </c>
      <c r="D106" s="7" t="s">
        <v>344</v>
      </c>
      <c r="E106" s="6" t="s">
        <v>28</v>
      </c>
      <c r="F106" s="6">
        <v>3</v>
      </c>
      <c r="G106" s="6">
        <v>2</v>
      </c>
      <c r="H106" s="39">
        <f t="shared" si="12"/>
        <v>46328</v>
      </c>
      <c r="I106" s="39">
        <f t="shared" si="13"/>
        <v>46332</v>
      </c>
      <c r="J106" s="40" t="s">
        <v>395</v>
      </c>
      <c r="K106" s="8">
        <f t="shared" si="14"/>
        <v>0</v>
      </c>
      <c r="L106" s="41">
        <f t="shared" si="15"/>
        <v>0</v>
      </c>
      <c r="M106" s="7"/>
    </row>
    <row r="107" spans="1:13" x14ac:dyDescent="0.2">
      <c r="A107" s="6" t="s">
        <v>345</v>
      </c>
      <c r="B107" s="6" t="s">
        <v>46</v>
      </c>
      <c r="C107" s="6" t="s">
        <v>339</v>
      </c>
      <c r="D107" s="7" t="s">
        <v>346</v>
      </c>
      <c r="E107" s="6" t="s">
        <v>27</v>
      </c>
      <c r="F107" s="6">
        <v>2</v>
      </c>
      <c r="G107" s="6">
        <v>2</v>
      </c>
      <c r="H107" s="39">
        <f t="shared" si="12"/>
        <v>46328</v>
      </c>
      <c r="I107" s="39">
        <f t="shared" si="13"/>
        <v>46332</v>
      </c>
      <c r="J107" s="40" t="s">
        <v>395</v>
      </c>
      <c r="K107" s="8">
        <f t="shared" si="14"/>
        <v>0</v>
      </c>
      <c r="L107" s="41">
        <f t="shared" si="15"/>
        <v>0</v>
      </c>
      <c r="M107" s="7"/>
    </row>
    <row r="108" spans="1:13" x14ac:dyDescent="0.2">
      <c r="A108" s="6" t="s">
        <v>347</v>
      </c>
      <c r="B108" s="6" t="s">
        <v>46</v>
      </c>
      <c r="C108" s="6" t="s">
        <v>339</v>
      </c>
      <c r="D108" s="7" t="s">
        <v>348</v>
      </c>
      <c r="E108" s="6" t="s">
        <v>27</v>
      </c>
      <c r="F108" s="6">
        <v>2</v>
      </c>
      <c r="G108" s="6">
        <v>2</v>
      </c>
      <c r="H108" s="39">
        <f t="shared" si="12"/>
        <v>46328</v>
      </c>
      <c r="I108" s="39">
        <f t="shared" si="13"/>
        <v>46332</v>
      </c>
      <c r="J108" s="40" t="s">
        <v>395</v>
      </c>
      <c r="K108" s="8">
        <f t="shared" si="14"/>
        <v>0</v>
      </c>
      <c r="L108" s="41">
        <f t="shared" si="15"/>
        <v>0</v>
      </c>
      <c r="M108" s="7"/>
    </row>
    <row r="109" spans="1:13" x14ac:dyDescent="0.2">
      <c r="A109" s="6" t="s">
        <v>349</v>
      </c>
      <c r="B109" s="6" t="s">
        <v>46</v>
      </c>
      <c r="C109" s="6" t="s">
        <v>339</v>
      </c>
      <c r="D109" s="7" t="s">
        <v>350</v>
      </c>
      <c r="E109" s="6" t="s">
        <v>29</v>
      </c>
      <c r="F109" s="6">
        <v>2</v>
      </c>
      <c r="G109" s="6">
        <v>2</v>
      </c>
      <c r="H109" s="39">
        <f t="shared" si="12"/>
        <v>46328</v>
      </c>
      <c r="I109" s="39">
        <f t="shared" si="13"/>
        <v>46332</v>
      </c>
      <c r="J109" s="40" t="s">
        <v>395</v>
      </c>
      <c r="K109" s="8">
        <f t="shared" si="14"/>
        <v>0</v>
      </c>
      <c r="L109" s="41">
        <f t="shared" si="15"/>
        <v>0</v>
      </c>
      <c r="M109" s="7"/>
    </row>
    <row r="110" spans="1:13" x14ac:dyDescent="0.2">
      <c r="A110" s="6" t="s">
        <v>351</v>
      </c>
      <c r="B110" s="6" t="s">
        <v>46</v>
      </c>
      <c r="C110" s="6" t="s">
        <v>394</v>
      </c>
      <c r="D110" s="7" t="s">
        <v>352</v>
      </c>
      <c r="E110" s="6" t="s">
        <v>29</v>
      </c>
      <c r="F110" s="6">
        <v>3</v>
      </c>
      <c r="G110" s="6">
        <v>2</v>
      </c>
      <c r="H110" s="39">
        <f t="shared" si="12"/>
        <v>46328</v>
      </c>
      <c r="I110" s="39">
        <f t="shared" si="13"/>
        <v>46332</v>
      </c>
      <c r="J110" s="40" t="s">
        <v>395</v>
      </c>
      <c r="K110" s="8">
        <f t="shared" si="14"/>
        <v>0</v>
      </c>
      <c r="L110" s="41">
        <f t="shared" si="15"/>
        <v>0</v>
      </c>
      <c r="M110" s="7"/>
    </row>
    <row r="111" spans="1:13" ht="25.5" x14ac:dyDescent="0.2">
      <c r="A111" s="6" t="s">
        <v>353</v>
      </c>
      <c r="B111" s="6" t="s">
        <v>46</v>
      </c>
      <c r="C111" s="6" t="s">
        <v>394</v>
      </c>
      <c r="D111" s="7" t="s">
        <v>354</v>
      </c>
      <c r="E111" s="6" t="s">
        <v>28</v>
      </c>
      <c r="F111" s="6">
        <v>3</v>
      </c>
      <c r="G111" s="6">
        <v>2</v>
      </c>
      <c r="H111" s="39">
        <f t="shared" si="12"/>
        <v>46328</v>
      </c>
      <c r="I111" s="39">
        <f t="shared" si="13"/>
        <v>46332</v>
      </c>
      <c r="J111" s="40" t="s">
        <v>395</v>
      </c>
      <c r="K111" s="8">
        <f t="shared" si="14"/>
        <v>0</v>
      </c>
      <c r="L111" s="41">
        <f t="shared" si="15"/>
        <v>0</v>
      </c>
      <c r="M111" s="7"/>
    </row>
    <row r="112" spans="1:13" x14ac:dyDescent="0.2">
      <c r="A112" s="6" t="s">
        <v>355</v>
      </c>
      <c r="B112" s="6" t="s">
        <v>46</v>
      </c>
      <c r="C112" s="6" t="s">
        <v>394</v>
      </c>
      <c r="D112" s="7" t="s">
        <v>356</v>
      </c>
      <c r="E112" s="6" t="s">
        <v>28</v>
      </c>
      <c r="F112" s="6">
        <v>2</v>
      </c>
      <c r="G112" s="6">
        <v>2</v>
      </c>
      <c r="H112" s="39">
        <f t="shared" si="12"/>
        <v>46328</v>
      </c>
      <c r="I112" s="39">
        <f t="shared" si="13"/>
        <v>46332</v>
      </c>
      <c r="J112" s="40" t="s">
        <v>395</v>
      </c>
      <c r="K112" s="8">
        <f t="shared" si="14"/>
        <v>0</v>
      </c>
      <c r="L112" s="41">
        <f t="shared" si="15"/>
        <v>0</v>
      </c>
      <c r="M112" s="7"/>
    </row>
    <row r="113" spans="1:13" x14ac:dyDescent="0.2">
      <c r="A113" s="6" t="s">
        <v>357</v>
      </c>
      <c r="B113" s="6" t="s">
        <v>46</v>
      </c>
      <c r="C113" s="6" t="s">
        <v>394</v>
      </c>
      <c r="D113" s="7" t="s">
        <v>358</v>
      </c>
      <c r="E113" s="6" t="s">
        <v>27</v>
      </c>
      <c r="F113" s="6">
        <v>2</v>
      </c>
      <c r="G113" s="6">
        <v>2</v>
      </c>
      <c r="H113" s="39">
        <f t="shared" si="12"/>
        <v>46328</v>
      </c>
      <c r="I113" s="39">
        <f t="shared" si="13"/>
        <v>46332</v>
      </c>
      <c r="J113" s="40" t="s">
        <v>395</v>
      </c>
      <c r="K113" s="8">
        <f t="shared" si="14"/>
        <v>0</v>
      </c>
      <c r="L113" s="41">
        <f t="shared" si="15"/>
        <v>0</v>
      </c>
      <c r="M113" s="7"/>
    </row>
    <row r="114" spans="1:13" x14ac:dyDescent="0.2">
      <c r="A114" s="6" t="s">
        <v>359</v>
      </c>
      <c r="B114" s="6" t="s">
        <v>46</v>
      </c>
      <c r="C114" s="6" t="s">
        <v>394</v>
      </c>
      <c r="D114" s="7" t="s">
        <v>145</v>
      </c>
      <c r="E114" s="6" t="s">
        <v>29</v>
      </c>
      <c r="F114" s="6">
        <v>2</v>
      </c>
      <c r="G114" s="6">
        <v>2</v>
      </c>
      <c r="H114" s="39">
        <f t="shared" si="12"/>
        <v>46328</v>
      </c>
      <c r="I114" s="39">
        <f t="shared" si="13"/>
        <v>46332</v>
      </c>
      <c r="J114" s="40" t="s">
        <v>395</v>
      </c>
      <c r="K114" s="8">
        <f t="shared" si="14"/>
        <v>0</v>
      </c>
      <c r="L114" s="41">
        <f t="shared" si="15"/>
        <v>0</v>
      </c>
      <c r="M114" s="7"/>
    </row>
    <row r="115" spans="1:13" ht="25.5" x14ac:dyDescent="0.2">
      <c r="A115" s="6" t="s">
        <v>363</v>
      </c>
      <c r="B115" s="6" t="s">
        <v>51</v>
      </c>
      <c r="C115" s="6" t="s">
        <v>54</v>
      </c>
      <c r="D115" s="7" t="s">
        <v>364</v>
      </c>
      <c r="E115" s="6" t="s">
        <v>29</v>
      </c>
      <c r="F115" s="6">
        <v>3</v>
      </c>
      <c r="G115" s="6">
        <v>1</v>
      </c>
      <c r="H115" s="39">
        <f t="shared" si="12"/>
        <v>46335</v>
      </c>
      <c r="I115" s="39">
        <f t="shared" si="13"/>
        <v>46339</v>
      </c>
      <c r="J115" s="40" t="s">
        <v>395</v>
      </c>
      <c r="K115" s="8">
        <f t="shared" si="14"/>
        <v>0</v>
      </c>
      <c r="L115" s="41">
        <f t="shared" si="15"/>
        <v>0</v>
      </c>
      <c r="M115" s="7"/>
    </row>
    <row r="116" spans="1:13" x14ac:dyDescent="0.2">
      <c r="A116" s="6" t="s">
        <v>365</v>
      </c>
      <c r="B116" s="6" t="s">
        <v>51</v>
      </c>
      <c r="C116" s="6" t="s">
        <v>54</v>
      </c>
      <c r="D116" s="7" t="s">
        <v>366</v>
      </c>
      <c r="E116" s="6" t="s">
        <v>29</v>
      </c>
      <c r="F116" s="6">
        <v>2</v>
      </c>
      <c r="G116" s="6">
        <v>1</v>
      </c>
      <c r="H116" s="39">
        <f t="shared" si="12"/>
        <v>46335</v>
      </c>
      <c r="I116" s="39">
        <f t="shared" si="13"/>
        <v>46339</v>
      </c>
      <c r="J116" s="40" t="s">
        <v>395</v>
      </c>
      <c r="K116" s="8">
        <f t="shared" si="14"/>
        <v>0</v>
      </c>
      <c r="L116" s="41">
        <f t="shared" si="15"/>
        <v>0</v>
      </c>
      <c r="M116" s="7"/>
    </row>
    <row r="117" spans="1:13" x14ac:dyDescent="0.2">
      <c r="A117" s="6" t="s">
        <v>367</v>
      </c>
      <c r="B117" s="6" t="s">
        <v>51</v>
      </c>
      <c r="C117" s="6" t="s">
        <v>54</v>
      </c>
      <c r="D117" s="7" t="s">
        <v>368</v>
      </c>
      <c r="E117" s="6" t="s">
        <v>28</v>
      </c>
      <c r="F117" s="6">
        <v>2</v>
      </c>
      <c r="G117" s="6">
        <v>1</v>
      </c>
      <c r="H117" s="39">
        <f t="shared" si="12"/>
        <v>46335</v>
      </c>
      <c r="I117" s="39">
        <f t="shared" si="13"/>
        <v>46339</v>
      </c>
      <c r="J117" s="40" t="s">
        <v>395</v>
      </c>
      <c r="K117" s="8">
        <f t="shared" si="14"/>
        <v>0</v>
      </c>
      <c r="L117" s="41">
        <f t="shared" si="15"/>
        <v>0</v>
      </c>
      <c r="M117" s="7"/>
    </row>
    <row r="118" spans="1:13" x14ac:dyDescent="0.2">
      <c r="A118" s="6" t="s">
        <v>369</v>
      </c>
      <c r="B118" s="6" t="s">
        <v>51</v>
      </c>
      <c r="C118" s="6" t="s">
        <v>54</v>
      </c>
      <c r="D118" s="7" t="s">
        <v>370</v>
      </c>
      <c r="E118" s="6" t="s">
        <v>28</v>
      </c>
      <c r="F118" s="6">
        <v>2</v>
      </c>
      <c r="G118" s="6">
        <v>1</v>
      </c>
      <c r="H118" s="39">
        <f t="shared" si="12"/>
        <v>46335</v>
      </c>
      <c r="I118" s="39">
        <f t="shared" si="13"/>
        <v>46339</v>
      </c>
      <c r="J118" s="40" t="s">
        <v>395</v>
      </c>
      <c r="K118" s="8">
        <f t="shared" si="14"/>
        <v>0</v>
      </c>
      <c r="L118" s="41">
        <f t="shared" si="15"/>
        <v>0</v>
      </c>
      <c r="M118" s="7"/>
    </row>
    <row r="119" spans="1:13" x14ac:dyDescent="0.2">
      <c r="A119" s="6" t="s">
        <v>371</v>
      </c>
      <c r="B119" s="6" t="s">
        <v>51</v>
      </c>
      <c r="C119" s="6" t="s">
        <v>54</v>
      </c>
      <c r="D119" s="7" t="s">
        <v>372</v>
      </c>
      <c r="E119" s="6" t="s">
        <v>27</v>
      </c>
      <c r="F119" s="6">
        <v>2</v>
      </c>
      <c r="G119" s="6">
        <v>1</v>
      </c>
      <c r="H119" s="39">
        <f t="shared" si="12"/>
        <v>46335</v>
      </c>
      <c r="I119" s="39">
        <f t="shared" si="13"/>
        <v>46339</v>
      </c>
      <c r="J119" s="40" t="s">
        <v>395</v>
      </c>
      <c r="K119" s="8">
        <f t="shared" si="14"/>
        <v>0</v>
      </c>
      <c r="L119" s="41">
        <f t="shared" si="15"/>
        <v>0</v>
      </c>
      <c r="M119" s="7"/>
    </row>
    <row r="120" spans="1:13" x14ac:dyDescent="0.2">
      <c r="A120" s="6" t="s">
        <v>373</v>
      </c>
      <c r="B120" s="6" t="s">
        <v>51</v>
      </c>
      <c r="C120" s="6" t="s">
        <v>394</v>
      </c>
      <c r="D120" s="7" t="s">
        <v>374</v>
      </c>
      <c r="E120" s="6" t="s">
        <v>27</v>
      </c>
      <c r="F120" s="6">
        <v>3</v>
      </c>
      <c r="G120" s="6">
        <v>1</v>
      </c>
      <c r="H120" s="39">
        <f t="shared" si="12"/>
        <v>46335</v>
      </c>
      <c r="I120" s="39">
        <f t="shared" si="13"/>
        <v>46339</v>
      </c>
      <c r="J120" s="40" t="s">
        <v>395</v>
      </c>
      <c r="K120" s="8">
        <f t="shared" si="14"/>
        <v>0</v>
      </c>
      <c r="L120" s="41">
        <f t="shared" si="15"/>
        <v>0</v>
      </c>
      <c r="M120" s="7"/>
    </row>
    <row r="121" spans="1:13" x14ac:dyDescent="0.2">
      <c r="A121" s="6" t="s">
        <v>375</v>
      </c>
      <c r="B121" s="6" t="s">
        <v>51</v>
      </c>
      <c r="C121" s="6" t="s">
        <v>394</v>
      </c>
      <c r="D121" s="7" t="s">
        <v>376</v>
      </c>
      <c r="E121" s="6" t="s">
        <v>27</v>
      </c>
      <c r="F121" s="6">
        <v>3</v>
      </c>
      <c r="G121" s="6">
        <v>1</v>
      </c>
      <c r="H121" s="39">
        <f t="shared" si="12"/>
        <v>46335</v>
      </c>
      <c r="I121" s="39">
        <f t="shared" si="13"/>
        <v>46339</v>
      </c>
      <c r="J121" s="40" t="s">
        <v>395</v>
      </c>
      <c r="K121" s="8">
        <f t="shared" si="14"/>
        <v>0</v>
      </c>
      <c r="L121" s="41">
        <f t="shared" si="15"/>
        <v>0</v>
      </c>
      <c r="M121" s="7"/>
    </row>
    <row r="122" spans="1:13" x14ac:dyDescent="0.2">
      <c r="A122" s="6" t="s">
        <v>377</v>
      </c>
      <c r="B122" s="6" t="s">
        <v>51</v>
      </c>
      <c r="C122" s="6" t="s">
        <v>394</v>
      </c>
      <c r="D122" s="7" t="s">
        <v>378</v>
      </c>
      <c r="E122" s="6" t="s">
        <v>29</v>
      </c>
      <c r="F122" s="6">
        <v>1</v>
      </c>
      <c r="G122" s="6">
        <v>1</v>
      </c>
      <c r="H122" s="39">
        <f t="shared" si="12"/>
        <v>46335</v>
      </c>
      <c r="I122" s="39">
        <f t="shared" si="13"/>
        <v>46339</v>
      </c>
      <c r="J122" s="40" t="s">
        <v>395</v>
      </c>
      <c r="K122" s="8">
        <f t="shared" si="14"/>
        <v>0</v>
      </c>
      <c r="L122" s="41">
        <f t="shared" si="15"/>
        <v>0</v>
      </c>
      <c r="M122" s="7"/>
    </row>
    <row r="123" spans="1:13" x14ac:dyDescent="0.2">
      <c r="A123" s="6" t="s">
        <v>379</v>
      </c>
      <c r="B123" s="6" t="s">
        <v>51</v>
      </c>
      <c r="C123" s="6" t="s">
        <v>394</v>
      </c>
      <c r="D123" s="7" t="s">
        <v>380</v>
      </c>
      <c r="E123" s="6" t="s">
        <v>28</v>
      </c>
      <c r="F123" s="6">
        <v>2</v>
      </c>
      <c r="G123" s="6">
        <v>1</v>
      </c>
      <c r="H123" s="39">
        <f t="shared" si="12"/>
        <v>46335</v>
      </c>
      <c r="I123" s="39">
        <f t="shared" si="13"/>
        <v>46339</v>
      </c>
      <c r="J123" s="40" t="s">
        <v>395</v>
      </c>
      <c r="K123" s="8">
        <f t="shared" si="14"/>
        <v>0</v>
      </c>
      <c r="L123" s="41">
        <f t="shared" si="15"/>
        <v>0</v>
      </c>
      <c r="M123" s="7"/>
    </row>
    <row r="124" spans="1:13" x14ac:dyDescent="0.2">
      <c r="A124" s="6" t="s">
        <v>381</v>
      </c>
      <c r="B124" s="6" t="s">
        <v>51</v>
      </c>
      <c r="C124" s="6" t="s">
        <v>394</v>
      </c>
      <c r="D124" s="7" t="s">
        <v>145</v>
      </c>
      <c r="E124" s="6" t="s">
        <v>27</v>
      </c>
      <c r="F124" s="6">
        <v>1</v>
      </c>
      <c r="G124" s="6">
        <v>1</v>
      </c>
      <c r="H124" s="39">
        <f t="shared" si="12"/>
        <v>46335</v>
      </c>
      <c r="I124" s="39">
        <f t="shared" si="13"/>
        <v>46339</v>
      </c>
      <c r="J124" s="40" t="s">
        <v>395</v>
      </c>
      <c r="K124" s="8">
        <f t="shared" si="14"/>
        <v>0</v>
      </c>
      <c r="L124" s="41">
        <f t="shared" si="15"/>
        <v>0</v>
      </c>
      <c r="M124" s="7"/>
    </row>
  </sheetData>
  <conditionalFormatting sqref="J5:J124">
    <cfRule type="expression" dxfId="4" priority="1">
      <formula>$J5="Terminado"</formula>
    </cfRule>
    <cfRule type="expression" dxfId="3" priority="2">
      <formula>AND($J5&lt;&gt;"Por hacer",$J5&lt;&gt;"Terminado")</formula>
    </cfRule>
  </conditionalFormatting>
  <dataValidations count="1">
    <dataValidation type="list" sqref="J5:J124" xr:uid="{00000000-0002-0000-0200-000000000000}">
      <formula1>EstadosTarea</formula1>
    </dataValidation>
  </dataValidations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9" defaultRowHeight="14.25" x14ac:dyDescent="0.2"/>
  <cols>
    <col min="1" max="1" width="9" customWidth="1"/>
    <col min="2" max="2" width="36" customWidth="1"/>
    <col min="3" max="3" width="8" customWidth="1"/>
    <col min="4" max="4" width="10" customWidth="1"/>
    <col min="5" max="5" width="6" customWidth="1"/>
    <col min="6" max="6" width="9" customWidth="1"/>
    <col min="7" max="7" width="16" customWidth="1"/>
    <col min="8" max="8" width="20" customWidth="1"/>
    <col min="9" max="9" width="17" customWidth="1"/>
    <col min="10" max="11" width="11" customWidth="1"/>
    <col min="12" max="12" width="8" customWidth="1"/>
    <col min="13" max="13" width="10" customWidth="1"/>
    <col min="14" max="14" width="9" customWidth="1"/>
    <col min="15" max="15" width="10" customWidth="1"/>
    <col min="16" max="16" width="13" customWidth="1"/>
  </cols>
  <sheetData>
    <row r="1" spans="1:16" ht="20.25" x14ac:dyDescent="0.3">
      <c r="A1" s="1" t="s">
        <v>396</v>
      </c>
    </row>
    <row r="2" spans="1:16" x14ac:dyDescent="0.2">
      <c r="A2" s="2" t="s">
        <v>397</v>
      </c>
    </row>
    <row r="4" spans="1:16" ht="25.5" x14ac:dyDescent="0.2">
      <c r="A4" s="3" t="s">
        <v>75</v>
      </c>
      <c r="B4" s="3" t="s">
        <v>398</v>
      </c>
      <c r="C4" s="3" t="s">
        <v>399</v>
      </c>
      <c r="D4" s="3" t="s">
        <v>7</v>
      </c>
      <c r="E4" s="3" t="s">
        <v>400</v>
      </c>
      <c r="F4" s="3" t="s">
        <v>401</v>
      </c>
      <c r="G4" s="3" t="s">
        <v>402</v>
      </c>
      <c r="H4" s="3" t="s">
        <v>403</v>
      </c>
      <c r="I4" s="3" t="s">
        <v>404</v>
      </c>
      <c r="J4" s="3" t="s">
        <v>8</v>
      </c>
      <c r="K4" s="3" t="s">
        <v>9</v>
      </c>
      <c r="L4" s="3" t="s">
        <v>389</v>
      </c>
      <c r="M4" s="3" t="s">
        <v>391</v>
      </c>
      <c r="N4" s="3" t="s">
        <v>17</v>
      </c>
      <c r="O4" s="3" t="s">
        <v>405</v>
      </c>
      <c r="P4" s="3" t="s">
        <v>22</v>
      </c>
    </row>
    <row r="5" spans="1:16" x14ac:dyDescent="0.2">
      <c r="A5" s="42" t="s">
        <v>87</v>
      </c>
      <c r="B5" s="7" t="s">
        <v>88</v>
      </c>
      <c r="C5" s="6" t="s">
        <v>406</v>
      </c>
      <c r="D5" s="6" t="s">
        <v>23</v>
      </c>
      <c r="E5" s="6">
        <v>5</v>
      </c>
      <c r="F5" s="6" t="s">
        <v>407</v>
      </c>
      <c r="G5" s="7" t="s">
        <v>408</v>
      </c>
      <c r="H5" s="7" t="s">
        <v>89</v>
      </c>
      <c r="I5" s="6" t="s">
        <v>409</v>
      </c>
      <c r="J5" s="39">
        <f>_xlfn.MINIFS(Tareas!$H:$H,Tareas!$C:$C,$A5)</f>
        <v>46265</v>
      </c>
      <c r="K5" s="39">
        <f>_xlfn.MAXIFS(Tareas!$I:$I,Tareas!$C:$C,$A5)</f>
        <v>46269</v>
      </c>
      <c r="L5" s="6">
        <f>SUMIFS(Tareas!$F:$F,Tareas!$C:$C,$A5)</f>
        <v>12</v>
      </c>
      <c r="M5" s="41">
        <f>SUMIFS(Tareas!$L:$L,Tareas!$C:$C,$A5)</f>
        <v>12</v>
      </c>
      <c r="N5" s="8">
        <f t="shared" ref="N5:N24" si="0">IFERROR(M5/L5,0)</f>
        <v>1</v>
      </c>
      <c r="O5" s="40" t="s">
        <v>410</v>
      </c>
      <c r="P5" s="6" t="str">
        <f t="shared" ref="P5:P24" si="1">IF(AND(N5&gt;=1,O5="Sí"),"Terminada",IF(N5&gt;=1,"Por aceptar",IF(N5&gt;0,"En curso","Por hacer")))</f>
        <v>Terminada</v>
      </c>
    </row>
    <row r="6" spans="1:16" x14ac:dyDescent="0.2">
      <c r="A6" s="42" t="s">
        <v>103</v>
      </c>
      <c r="B6" s="7" t="s">
        <v>104</v>
      </c>
      <c r="C6" s="6" t="s">
        <v>406</v>
      </c>
      <c r="D6" s="6" t="s">
        <v>23</v>
      </c>
      <c r="E6" s="6">
        <v>8</v>
      </c>
      <c r="F6" s="6" t="s">
        <v>407</v>
      </c>
      <c r="G6" s="7" t="s">
        <v>87</v>
      </c>
      <c r="H6" s="7" t="s">
        <v>89</v>
      </c>
      <c r="I6" s="6" t="s">
        <v>411</v>
      </c>
      <c r="J6" s="39">
        <f>_xlfn.MINIFS(Tareas!$H:$H,Tareas!$C:$C,$A6)</f>
        <v>46265</v>
      </c>
      <c r="K6" s="39">
        <f>_xlfn.MAXIFS(Tareas!$I:$I,Tareas!$C:$C,$A6)</f>
        <v>46269</v>
      </c>
      <c r="L6" s="6">
        <f>SUMIFS(Tareas!$F:$F,Tareas!$C:$C,$A6)</f>
        <v>16</v>
      </c>
      <c r="M6" s="41">
        <f>SUMIFS(Tareas!$L:$L,Tareas!$C:$C,$A6)</f>
        <v>16</v>
      </c>
      <c r="N6" s="8">
        <f t="shared" si="0"/>
        <v>1</v>
      </c>
      <c r="O6" s="40" t="s">
        <v>410</v>
      </c>
      <c r="P6" s="6" t="str">
        <f t="shared" si="1"/>
        <v>Terminada</v>
      </c>
    </row>
    <row r="7" spans="1:16" x14ac:dyDescent="0.2">
      <c r="A7" s="42" t="s">
        <v>115</v>
      </c>
      <c r="B7" s="7" t="s">
        <v>116</v>
      </c>
      <c r="C7" s="6" t="s">
        <v>406</v>
      </c>
      <c r="D7" s="6" t="s">
        <v>23</v>
      </c>
      <c r="E7" s="6">
        <v>8</v>
      </c>
      <c r="F7" s="6" t="s">
        <v>407</v>
      </c>
      <c r="G7" s="7" t="s">
        <v>103</v>
      </c>
      <c r="H7" s="7" t="s">
        <v>89</v>
      </c>
      <c r="I7" s="6" t="s">
        <v>412</v>
      </c>
      <c r="J7" s="39">
        <f>_xlfn.MINIFS(Tareas!$H:$H,Tareas!$C:$C,$A7)</f>
        <v>46272</v>
      </c>
      <c r="K7" s="39">
        <f>_xlfn.MAXIFS(Tareas!$I:$I,Tareas!$C:$C,$A7)</f>
        <v>46276</v>
      </c>
      <c r="L7" s="6">
        <f>SUMIFS(Tareas!$F:$F,Tareas!$C:$C,$A7)</f>
        <v>18</v>
      </c>
      <c r="M7" s="41">
        <f>SUMIFS(Tareas!$L:$L,Tareas!$C:$C,$A7)</f>
        <v>18</v>
      </c>
      <c r="N7" s="8">
        <f t="shared" si="0"/>
        <v>1</v>
      </c>
      <c r="O7" s="40" t="s">
        <v>410</v>
      </c>
      <c r="P7" s="6" t="str">
        <f t="shared" si="1"/>
        <v>Terminada</v>
      </c>
    </row>
    <row r="8" spans="1:16" x14ac:dyDescent="0.2">
      <c r="A8" s="42" t="s">
        <v>127</v>
      </c>
      <c r="B8" s="7" t="s">
        <v>128</v>
      </c>
      <c r="C8" s="6" t="s">
        <v>406</v>
      </c>
      <c r="D8" s="6" t="s">
        <v>23</v>
      </c>
      <c r="E8" s="6">
        <v>8</v>
      </c>
      <c r="F8" s="6" t="s">
        <v>407</v>
      </c>
      <c r="G8" s="7" t="s">
        <v>413</v>
      </c>
      <c r="H8" s="7" t="s">
        <v>89</v>
      </c>
      <c r="I8" s="6" t="s">
        <v>414</v>
      </c>
      <c r="J8" s="39">
        <f>_xlfn.MINIFS(Tareas!$H:$H,Tareas!$C:$C,$A8)</f>
        <v>46272</v>
      </c>
      <c r="K8" s="39">
        <f>_xlfn.MAXIFS(Tareas!$I:$I,Tareas!$C:$C,$A8)</f>
        <v>46276</v>
      </c>
      <c r="L8" s="6">
        <f>SUMIFS(Tareas!$F:$F,Tareas!$C:$C,$A8)</f>
        <v>14</v>
      </c>
      <c r="M8" s="41">
        <f>SUMIFS(Tareas!$L:$L,Tareas!$C:$C,$A8)</f>
        <v>14</v>
      </c>
      <c r="N8" s="8">
        <f t="shared" si="0"/>
        <v>1</v>
      </c>
      <c r="O8" s="40" t="s">
        <v>410</v>
      </c>
      <c r="P8" s="6" t="str">
        <f t="shared" si="1"/>
        <v>Terminada</v>
      </c>
    </row>
    <row r="9" spans="1:16" x14ac:dyDescent="0.2">
      <c r="A9" s="42" t="s">
        <v>149</v>
      </c>
      <c r="B9" s="7" t="s">
        <v>150</v>
      </c>
      <c r="C9" s="6" t="s">
        <v>415</v>
      </c>
      <c r="D9" s="6" t="s">
        <v>31</v>
      </c>
      <c r="E9" s="6">
        <v>8</v>
      </c>
      <c r="F9" s="6" t="s">
        <v>407</v>
      </c>
      <c r="G9" s="7" t="s">
        <v>416</v>
      </c>
      <c r="H9" s="7" t="s">
        <v>151</v>
      </c>
      <c r="I9" s="6" t="s">
        <v>417</v>
      </c>
      <c r="J9" s="39">
        <f>_xlfn.MINIFS(Tareas!$H:$H,Tareas!$C:$C,$A9)</f>
        <v>46279</v>
      </c>
      <c r="K9" s="39">
        <f>_xlfn.MAXIFS(Tareas!$I:$I,Tareas!$C:$C,$A9)</f>
        <v>46283</v>
      </c>
      <c r="L9" s="6">
        <f>SUMIFS(Tareas!$F:$F,Tareas!$C:$C,$A9)</f>
        <v>17</v>
      </c>
      <c r="M9" s="41">
        <f>SUMIFS(Tareas!$L:$L,Tareas!$C:$C,$A9)</f>
        <v>17</v>
      </c>
      <c r="N9" s="8">
        <f t="shared" si="0"/>
        <v>1</v>
      </c>
      <c r="O9" s="40" t="s">
        <v>410</v>
      </c>
      <c r="P9" s="6" t="str">
        <f t="shared" si="1"/>
        <v>Terminada</v>
      </c>
    </row>
    <row r="10" spans="1:16" x14ac:dyDescent="0.2">
      <c r="A10" s="42" t="s">
        <v>162</v>
      </c>
      <c r="B10" s="7" t="s">
        <v>163</v>
      </c>
      <c r="C10" s="6" t="s">
        <v>415</v>
      </c>
      <c r="D10" s="6" t="s">
        <v>31</v>
      </c>
      <c r="E10" s="6">
        <v>5</v>
      </c>
      <c r="F10" s="6" t="s">
        <v>407</v>
      </c>
      <c r="G10" s="7" t="s">
        <v>149</v>
      </c>
      <c r="H10" s="7" t="s">
        <v>151</v>
      </c>
      <c r="I10" s="6" t="s">
        <v>418</v>
      </c>
      <c r="J10" s="39">
        <f>_xlfn.MINIFS(Tareas!$H:$H,Tareas!$C:$C,$A10)</f>
        <v>46279</v>
      </c>
      <c r="K10" s="39">
        <f>_xlfn.MAXIFS(Tareas!$I:$I,Tareas!$C:$C,$A10)</f>
        <v>46283</v>
      </c>
      <c r="L10" s="6">
        <f>SUMIFS(Tareas!$F:$F,Tareas!$C:$C,$A10)</f>
        <v>10</v>
      </c>
      <c r="M10" s="41">
        <f>SUMIFS(Tareas!$L:$L,Tareas!$C:$C,$A10)</f>
        <v>10</v>
      </c>
      <c r="N10" s="8">
        <f t="shared" si="0"/>
        <v>1</v>
      </c>
      <c r="O10" s="40" t="s">
        <v>410</v>
      </c>
      <c r="P10" s="6" t="str">
        <f t="shared" si="1"/>
        <v>Terminada</v>
      </c>
    </row>
    <row r="11" spans="1:16" x14ac:dyDescent="0.2">
      <c r="A11" s="42" t="s">
        <v>172</v>
      </c>
      <c r="B11" s="7" t="s">
        <v>173</v>
      </c>
      <c r="C11" s="6" t="s">
        <v>415</v>
      </c>
      <c r="D11" s="6" t="s">
        <v>31</v>
      </c>
      <c r="E11" s="6">
        <v>8</v>
      </c>
      <c r="F11" s="6" t="s">
        <v>407</v>
      </c>
      <c r="G11" s="7" t="s">
        <v>162</v>
      </c>
      <c r="H11" s="7" t="s">
        <v>151</v>
      </c>
      <c r="I11" s="6" t="s">
        <v>419</v>
      </c>
      <c r="J11" s="39">
        <f>_xlfn.MINIFS(Tareas!$H:$H,Tareas!$C:$C,$A11)</f>
        <v>46286</v>
      </c>
      <c r="K11" s="39">
        <f>_xlfn.MAXIFS(Tareas!$I:$I,Tareas!$C:$C,$A11)</f>
        <v>46290</v>
      </c>
      <c r="L11" s="6">
        <f>SUMIFS(Tareas!$F:$F,Tareas!$C:$C,$A11)</f>
        <v>12</v>
      </c>
      <c r="M11" s="41">
        <f>SUMIFS(Tareas!$L:$L,Tareas!$C:$C,$A11)</f>
        <v>12</v>
      </c>
      <c r="N11" s="8">
        <f t="shared" si="0"/>
        <v>1</v>
      </c>
      <c r="O11" s="40" t="s">
        <v>410</v>
      </c>
      <c r="P11" s="6" t="str">
        <f t="shared" si="1"/>
        <v>Terminada</v>
      </c>
    </row>
    <row r="12" spans="1:16" x14ac:dyDescent="0.2">
      <c r="A12" s="42" t="s">
        <v>182</v>
      </c>
      <c r="B12" s="7" t="s">
        <v>183</v>
      </c>
      <c r="C12" s="6" t="s">
        <v>420</v>
      </c>
      <c r="D12" s="6" t="s">
        <v>31</v>
      </c>
      <c r="E12" s="6">
        <v>5</v>
      </c>
      <c r="F12" s="6" t="s">
        <v>407</v>
      </c>
      <c r="G12" s="7" t="s">
        <v>421</v>
      </c>
      <c r="H12" s="7" t="s">
        <v>151</v>
      </c>
      <c r="I12" s="6" t="s">
        <v>422</v>
      </c>
      <c r="J12" s="39">
        <f>_xlfn.MINIFS(Tareas!$H:$H,Tareas!$C:$C,$A12)</f>
        <v>46286</v>
      </c>
      <c r="K12" s="39">
        <f>_xlfn.MAXIFS(Tareas!$I:$I,Tareas!$C:$C,$A12)</f>
        <v>46290</v>
      </c>
      <c r="L12" s="6">
        <f>SUMIFS(Tareas!$F:$F,Tareas!$C:$C,$A12)</f>
        <v>11</v>
      </c>
      <c r="M12" s="41">
        <f>SUMIFS(Tareas!$L:$L,Tareas!$C:$C,$A12)</f>
        <v>11</v>
      </c>
      <c r="N12" s="8">
        <f t="shared" si="0"/>
        <v>1</v>
      </c>
      <c r="O12" s="40" t="s">
        <v>410</v>
      </c>
      <c r="P12" s="6" t="str">
        <f t="shared" si="1"/>
        <v>Terminada</v>
      </c>
    </row>
    <row r="13" spans="1:16" x14ac:dyDescent="0.2">
      <c r="A13" s="42" t="s">
        <v>202</v>
      </c>
      <c r="B13" s="7" t="s">
        <v>203</v>
      </c>
      <c r="C13" s="6" t="s">
        <v>423</v>
      </c>
      <c r="D13" s="6" t="s">
        <v>36</v>
      </c>
      <c r="E13" s="6">
        <v>8</v>
      </c>
      <c r="F13" s="6" t="s">
        <v>407</v>
      </c>
      <c r="G13" s="7" t="s">
        <v>416</v>
      </c>
      <c r="H13" s="7" t="s">
        <v>204</v>
      </c>
      <c r="I13" s="6" t="s">
        <v>424</v>
      </c>
      <c r="J13" s="39">
        <f>_xlfn.MINIFS(Tareas!$H:$H,Tareas!$C:$C,$A13)</f>
        <v>46293</v>
      </c>
      <c r="K13" s="39">
        <f>_xlfn.MAXIFS(Tareas!$I:$I,Tareas!$C:$C,$A13)</f>
        <v>46297</v>
      </c>
      <c r="L13" s="6">
        <f>SUMIFS(Tareas!$F:$F,Tareas!$C:$C,$A13)</f>
        <v>16</v>
      </c>
      <c r="M13" s="41">
        <f>SUMIFS(Tareas!$L:$L,Tareas!$C:$C,$A13)</f>
        <v>16</v>
      </c>
      <c r="N13" s="8">
        <f t="shared" si="0"/>
        <v>1</v>
      </c>
      <c r="O13" s="40" t="s">
        <v>425</v>
      </c>
      <c r="P13" s="6" t="str">
        <f t="shared" si="1"/>
        <v>Por aceptar</v>
      </c>
    </row>
    <row r="14" spans="1:16" x14ac:dyDescent="0.2">
      <c r="A14" s="42" t="s">
        <v>217</v>
      </c>
      <c r="B14" s="7" t="s">
        <v>218</v>
      </c>
      <c r="C14" s="6" t="s">
        <v>426</v>
      </c>
      <c r="D14" s="6" t="s">
        <v>36</v>
      </c>
      <c r="E14" s="6">
        <v>8</v>
      </c>
      <c r="F14" s="6" t="s">
        <v>407</v>
      </c>
      <c r="G14" s="7" t="s">
        <v>427</v>
      </c>
      <c r="H14" s="7" t="s">
        <v>219</v>
      </c>
      <c r="I14" s="6" t="s">
        <v>428</v>
      </c>
      <c r="J14" s="39">
        <f>_xlfn.MINIFS(Tareas!$H:$H,Tareas!$C:$C,$A14)</f>
        <v>46293</v>
      </c>
      <c r="K14" s="39">
        <f>_xlfn.MAXIFS(Tareas!$I:$I,Tareas!$C:$C,$A14)</f>
        <v>46297</v>
      </c>
      <c r="L14" s="6">
        <f>SUMIFS(Tareas!$F:$F,Tareas!$C:$C,$A14)</f>
        <v>12</v>
      </c>
      <c r="M14" s="41">
        <f>SUMIFS(Tareas!$L:$L,Tareas!$C:$C,$A14)</f>
        <v>12</v>
      </c>
      <c r="N14" s="8">
        <f t="shared" si="0"/>
        <v>1</v>
      </c>
      <c r="O14" s="40" t="s">
        <v>425</v>
      </c>
      <c r="P14" s="6" t="str">
        <f t="shared" si="1"/>
        <v>Por aceptar</v>
      </c>
    </row>
    <row r="15" spans="1:16" x14ac:dyDescent="0.2">
      <c r="A15" s="42" t="s">
        <v>230</v>
      </c>
      <c r="B15" s="7" t="s">
        <v>231</v>
      </c>
      <c r="C15" s="6" t="s">
        <v>426</v>
      </c>
      <c r="D15" s="6" t="s">
        <v>36</v>
      </c>
      <c r="E15" s="6">
        <v>8</v>
      </c>
      <c r="F15" s="6" t="s">
        <v>407</v>
      </c>
      <c r="G15" s="7" t="s">
        <v>429</v>
      </c>
      <c r="H15" s="7" t="s">
        <v>232</v>
      </c>
      <c r="I15" s="6" t="s">
        <v>430</v>
      </c>
      <c r="J15" s="39">
        <f>_xlfn.MINIFS(Tareas!$H:$H,Tareas!$C:$C,$A15)</f>
        <v>46300</v>
      </c>
      <c r="K15" s="39">
        <f>_xlfn.MAXIFS(Tareas!$I:$I,Tareas!$C:$C,$A15)</f>
        <v>46304</v>
      </c>
      <c r="L15" s="6">
        <f>SUMIFS(Tareas!$F:$F,Tareas!$C:$C,$A15)</f>
        <v>14</v>
      </c>
      <c r="M15" s="41">
        <f>SUMIFS(Tareas!$L:$L,Tareas!$C:$C,$A15)</f>
        <v>6</v>
      </c>
      <c r="N15" s="8">
        <f t="shared" si="0"/>
        <v>0.42857142857142855</v>
      </c>
      <c r="O15" s="40" t="s">
        <v>425</v>
      </c>
      <c r="P15" s="6" t="str">
        <f t="shared" si="1"/>
        <v>En curso</v>
      </c>
    </row>
    <row r="16" spans="1:16" x14ac:dyDescent="0.2">
      <c r="A16" s="42" t="s">
        <v>243</v>
      </c>
      <c r="B16" s="7" t="s">
        <v>244</v>
      </c>
      <c r="C16" s="6" t="s">
        <v>420</v>
      </c>
      <c r="D16" s="6" t="s">
        <v>36</v>
      </c>
      <c r="E16" s="6">
        <v>5</v>
      </c>
      <c r="F16" s="6" t="s">
        <v>407</v>
      </c>
      <c r="G16" s="7" t="s">
        <v>431</v>
      </c>
      <c r="H16" s="7" t="s">
        <v>151</v>
      </c>
      <c r="I16" s="6" t="s">
        <v>432</v>
      </c>
      <c r="J16" s="39">
        <f>_xlfn.MINIFS(Tareas!$H:$H,Tareas!$C:$C,$A16)</f>
        <v>46300</v>
      </c>
      <c r="K16" s="39">
        <f>_xlfn.MAXIFS(Tareas!$I:$I,Tareas!$C:$C,$A16)</f>
        <v>46304</v>
      </c>
      <c r="L16" s="6">
        <f>SUMIFS(Tareas!$F:$F,Tareas!$C:$C,$A16)</f>
        <v>9</v>
      </c>
      <c r="M16" s="41">
        <f>SUMIFS(Tareas!$L:$L,Tareas!$C:$C,$A16)</f>
        <v>3.5</v>
      </c>
      <c r="N16" s="8">
        <f t="shared" si="0"/>
        <v>0.3888888888888889</v>
      </c>
      <c r="O16" s="40" t="s">
        <v>425</v>
      </c>
      <c r="P16" s="6" t="str">
        <f t="shared" si="1"/>
        <v>En curso</v>
      </c>
    </row>
    <row r="17" spans="1:16" x14ac:dyDescent="0.2">
      <c r="A17" s="42" t="s">
        <v>262</v>
      </c>
      <c r="B17" s="7" t="s">
        <v>263</v>
      </c>
      <c r="C17" s="6" t="s">
        <v>426</v>
      </c>
      <c r="D17" s="6" t="s">
        <v>41</v>
      </c>
      <c r="E17" s="6">
        <v>5</v>
      </c>
      <c r="F17" s="6" t="s">
        <v>407</v>
      </c>
      <c r="G17" s="7" t="s">
        <v>230</v>
      </c>
      <c r="H17" s="7" t="s">
        <v>232</v>
      </c>
      <c r="I17" s="6" t="s">
        <v>433</v>
      </c>
      <c r="J17" s="39">
        <f>_xlfn.MINIFS(Tareas!$H:$H,Tareas!$C:$C,$A17)</f>
        <v>46308</v>
      </c>
      <c r="K17" s="39">
        <f>_xlfn.MAXIFS(Tareas!$I:$I,Tareas!$C:$C,$A17)</f>
        <v>46311</v>
      </c>
      <c r="L17" s="6">
        <f>SUMIFS(Tareas!$F:$F,Tareas!$C:$C,$A17)</f>
        <v>10</v>
      </c>
      <c r="M17" s="41">
        <f>SUMIFS(Tareas!$L:$L,Tareas!$C:$C,$A17)</f>
        <v>0</v>
      </c>
      <c r="N17" s="8">
        <f t="shared" si="0"/>
        <v>0</v>
      </c>
      <c r="O17" s="40" t="s">
        <v>425</v>
      </c>
      <c r="P17" s="6" t="str">
        <f t="shared" si="1"/>
        <v>Por hacer</v>
      </c>
    </row>
    <row r="18" spans="1:16" x14ac:dyDescent="0.2">
      <c r="A18" s="42" t="s">
        <v>272</v>
      </c>
      <c r="B18" s="7" t="s">
        <v>273</v>
      </c>
      <c r="C18" s="6" t="s">
        <v>423</v>
      </c>
      <c r="D18" s="6" t="s">
        <v>41</v>
      </c>
      <c r="E18" s="6">
        <v>8</v>
      </c>
      <c r="F18" s="6" t="s">
        <v>407</v>
      </c>
      <c r="G18" s="7" t="s">
        <v>416</v>
      </c>
      <c r="H18" s="7" t="s">
        <v>204</v>
      </c>
      <c r="I18" s="6" t="s">
        <v>434</v>
      </c>
      <c r="J18" s="39">
        <f>_xlfn.MINIFS(Tareas!$H:$H,Tareas!$C:$C,$A18)</f>
        <v>46308</v>
      </c>
      <c r="K18" s="39">
        <f>_xlfn.MAXIFS(Tareas!$I:$I,Tareas!$C:$C,$A18)</f>
        <v>46311</v>
      </c>
      <c r="L18" s="6">
        <f>SUMIFS(Tareas!$F:$F,Tareas!$C:$C,$A18)</f>
        <v>13</v>
      </c>
      <c r="M18" s="41">
        <f>SUMIFS(Tareas!$L:$L,Tareas!$C:$C,$A18)</f>
        <v>0</v>
      </c>
      <c r="N18" s="8">
        <f t="shared" si="0"/>
        <v>0</v>
      </c>
      <c r="O18" s="40" t="s">
        <v>425</v>
      </c>
      <c r="P18" s="6" t="str">
        <f t="shared" si="1"/>
        <v>Por hacer</v>
      </c>
    </row>
    <row r="19" spans="1:16" x14ac:dyDescent="0.2">
      <c r="A19" s="42" t="s">
        <v>284</v>
      </c>
      <c r="B19" s="7" t="s">
        <v>285</v>
      </c>
      <c r="C19" s="6" t="s">
        <v>423</v>
      </c>
      <c r="D19" s="6" t="s">
        <v>41</v>
      </c>
      <c r="E19" s="6">
        <v>8</v>
      </c>
      <c r="F19" s="6" t="s">
        <v>407</v>
      </c>
      <c r="G19" s="7" t="s">
        <v>272</v>
      </c>
      <c r="H19" s="7" t="s">
        <v>204</v>
      </c>
      <c r="I19" s="6" t="s">
        <v>435</v>
      </c>
      <c r="J19" s="39">
        <f>_xlfn.MINIFS(Tareas!$H:$H,Tareas!$C:$C,$A19)</f>
        <v>46314</v>
      </c>
      <c r="K19" s="39">
        <f>_xlfn.MAXIFS(Tareas!$I:$I,Tareas!$C:$C,$A19)</f>
        <v>46318</v>
      </c>
      <c r="L19" s="6">
        <f>SUMIFS(Tareas!$F:$F,Tareas!$C:$C,$A19)</f>
        <v>13</v>
      </c>
      <c r="M19" s="41">
        <f>SUMIFS(Tareas!$L:$L,Tareas!$C:$C,$A19)</f>
        <v>0</v>
      </c>
      <c r="N19" s="8">
        <f t="shared" si="0"/>
        <v>0</v>
      </c>
      <c r="O19" s="40" t="s">
        <v>425</v>
      </c>
      <c r="P19" s="6" t="str">
        <f t="shared" si="1"/>
        <v>Por hacer</v>
      </c>
    </row>
    <row r="20" spans="1:16" ht="25.5" x14ac:dyDescent="0.2">
      <c r="A20" s="42" t="s">
        <v>296</v>
      </c>
      <c r="B20" s="7" t="s">
        <v>297</v>
      </c>
      <c r="C20" s="6" t="s">
        <v>426</v>
      </c>
      <c r="D20" s="6" t="s">
        <v>41</v>
      </c>
      <c r="E20" s="6">
        <v>8</v>
      </c>
      <c r="F20" s="6" t="s">
        <v>407</v>
      </c>
      <c r="G20" s="7" t="s">
        <v>436</v>
      </c>
      <c r="H20" s="7" t="s">
        <v>204</v>
      </c>
      <c r="I20" s="6" t="s">
        <v>437</v>
      </c>
      <c r="J20" s="39">
        <f>_xlfn.MINIFS(Tareas!$H:$H,Tareas!$C:$C,$A20)</f>
        <v>46314</v>
      </c>
      <c r="K20" s="39">
        <f>_xlfn.MAXIFS(Tareas!$I:$I,Tareas!$C:$C,$A20)</f>
        <v>46318</v>
      </c>
      <c r="L20" s="6">
        <f>SUMIFS(Tareas!$F:$F,Tareas!$C:$C,$A20)</f>
        <v>13</v>
      </c>
      <c r="M20" s="41">
        <f>SUMIFS(Tareas!$L:$L,Tareas!$C:$C,$A20)</f>
        <v>0</v>
      </c>
      <c r="N20" s="8">
        <f t="shared" si="0"/>
        <v>0</v>
      </c>
      <c r="O20" s="40" t="s">
        <v>425</v>
      </c>
      <c r="P20" s="6" t="str">
        <f t="shared" si="1"/>
        <v>Por hacer</v>
      </c>
    </row>
    <row r="21" spans="1:16" ht="25.5" x14ac:dyDescent="0.2">
      <c r="A21" s="42" t="s">
        <v>315</v>
      </c>
      <c r="B21" s="7" t="s">
        <v>316</v>
      </c>
      <c r="C21" s="6" t="s">
        <v>438</v>
      </c>
      <c r="D21" s="6" t="s">
        <v>46</v>
      </c>
      <c r="E21" s="6">
        <v>8</v>
      </c>
      <c r="F21" s="6" t="s">
        <v>407</v>
      </c>
      <c r="G21" s="7" t="s">
        <v>439</v>
      </c>
      <c r="H21" s="7" t="s">
        <v>232</v>
      </c>
      <c r="I21" s="6" t="s">
        <v>440</v>
      </c>
      <c r="J21" s="39">
        <f>_xlfn.MINIFS(Tareas!$H:$H,Tareas!$C:$C,$A21)</f>
        <v>46321</v>
      </c>
      <c r="K21" s="39">
        <f>_xlfn.MAXIFS(Tareas!$I:$I,Tareas!$C:$C,$A21)</f>
        <v>46325</v>
      </c>
      <c r="L21" s="6">
        <f>SUMIFS(Tareas!$F:$F,Tareas!$C:$C,$A21)</f>
        <v>14</v>
      </c>
      <c r="M21" s="41">
        <f>SUMIFS(Tareas!$L:$L,Tareas!$C:$C,$A21)</f>
        <v>0</v>
      </c>
      <c r="N21" s="8">
        <f t="shared" si="0"/>
        <v>0</v>
      </c>
      <c r="O21" s="40" t="s">
        <v>425</v>
      </c>
      <c r="P21" s="6" t="str">
        <f t="shared" si="1"/>
        <v>Por hacer</v>
      </c>
    </row>
    <row r="22" spans="1:16" ht="25.5" x14ac:dyDescent="0.2">
      <c r="A22" s="42" t="s">
        <v>327</v>
      </c>
      <c r="B22" s="7" t="s">
        <v>328</v>
      </c>
      <c r="C22" s="6" t="s">
        <v>438</v>
      </c>
      <c r="D22" s="6" t="s">
        <v>46</v>
      </c>
      <c r="E22" s="6">
        <v>8</v>
      </c>
      <c r="F22" s="6" t="s">
        <v>407</v>
      </c>
      <c r="G22" s="7" t="s">
        <v>441</v>
      </c>
      <c r="H22" s="7" t="s">
        <v>151</v>
      </c>
      <c r="I22" s="6" t="s">
        <v>442</v>
      </c>
      <c r="J22" s="39">
        <f>_xlfn.MINIFS(Tareas!$H:$H,Tareas!$C:$C,$A22)</f>
        <v>46321</v>
      </c>
      <c r="K22" s="39">
        <f>_xlfn.MAXIFS(Tareas!$I:$I,Tareas!$C:$C,$A22)</f>
        <v>46332</v>
      </c>
      <c r="L22" s="6">
        <f>SUMIFS(Tareas!$F:$F,Tareas!$C:$C,$A22)</f>
        <v>12</v>
      </c>
      <c r="M22" s="41">
        <f>SUMIFS(Tareas!$L:$L,Tareas!$C:$C,$A22)</f>
        <v>0</v>
      </c>
      <c r="N22" s="8">
        <f t="shared" si="0"/>
        <v>0</v>
      </c>
      <c r="O22" s="40" t="s">
        <v>425</v>
      </c>
      <c r="P22" s="6" t="str">
        <f t="shared" si="1"/>
        <v>Por hacer</v>
      </c>
    </row>
    <row r="23" spans="1:16" ht="25.5" x14ac:dyDescent="0.2">
      <c r="A23" s="42" t="s">
        <v>339</v>
      </c>
      <c r="B23" s="7" t="s">
        <v>340</v>
      </c>
      <c r="C23" s="6" t="s">
        <v>420</v>
      </c>
      <c r="D23" s="6" t="s">
        <v>46</v>
      </c>
      <c r="E23" s="6">
        <v>8</v>
      </c>
      <c r="F23" s="6" t="s">
        <v>407</v>
      </c>
      <c r="G23" s="7" t="s">
        <v>443</v>
      </c>
      <c r="H23" s="7" t="s">
        <v>151</v>
      </c>
      <c r="I23" s="6" t="s">
        <v>444</v>
      </c>
      <c r="J23" s="39">
        <f>_xlfn.MINIFS(Tareas!$H:$H,Tareas!$C:$C,$A23)</f>
        <v>46328</v>
      </c>
      <c r="K23" s="39">
        <f>_xlfn.MAXIFS(Tareas!$I:$I,Tareas!$C:$C,$A23)</f>
        <v>46332</v>
      </c>
      <c r="L23" s="6">
        <f>SUMIFS(Tareas!$F:$F,Tareas!$C:$C,$A23)</f>
        <v>13</v>
      </c>
      <c r="M23" s="41">
        <f>SUMIFS(Tareas!$L:$L,Tareas!$C:$C,$A23)</f>
        <v>0</v>
      </c>
      <c r="N23" s="8">
        <f t="shared" si="0"/>
        <v>0</v>
      </c>
      <c r="O23" s="40" t="s">
        <v>425</v>
      </c>
      <c r="P23" s="6" t="str">
        <f t="shared" si="1"/>
        <v>Por hacer</v>
      </c>
    </row>
    <row r="24" spans="1:16" x14ac:dyDescent="0.2">
      <c r="A24" s="42" t="s">
        <v>54</v>
      </c>
      <c r="B24" s="7" t="s">
        <v>362</v>
      </c>
      <c r="C24" s="6" t="s">
        <v>438</v>
      </c>
      <c r="D24" s="6" t="s">
        <v>51</v>
      </c>
      <c r="E24" s="6">
        <v>8</v>
      </c>
      <c r="F24" s="6" t="s">
        <v>407</v>
      </c>
      <c r="G24" s="7" t="s">
        <v>445</v>
      </c>
      <c r="H24" s="7" t="s">
        <v>232</v>
      </c>
      <c r="I24" s="6" t="s">
        <v>446</v>
      </c>
      <c r="J24" s="39">
        <f>_xlfn.MINIFS(Tareas!$H:$H,Tareas!$C:$C,$A24)</f>
        <v>46335</v>
      </c>
      <c r="K24" s="39">
        <f>_xlfn.MAXIFS(Tareas!$I:$I,Tareas!$C:$C,$A24)</f>
        <v>46339</v>
      </c>
      <c r="L24" s="6">
        <f>SUMIFS(Tareas!$F:$F,Tareas!$C:$C,$A24)</f>
        <v>11</v>
      </c>
      <c r="M24" s="41">
        <f>SUMIFS(Tareas!$L:$L,Tareas!$C:$C,$A24)</f>
        <v>0</v>
      </c>
      <c r="N24" s="8">
        <f t="shared" si="0"/>
        <v>0</v>
      </c>
      <c r="O24" s="40" t="s">
        <v>425</v>
      </c>
      <c r="P24" s="6" t="str">
        <f t="shared" si="1"/>
        <v>Por hacer</v>
      </c>
    </row>
  </sheetData>
  <conditionalFormatting sqref="P5:P24">
    <cfRule type="expression" dxfId="2" priority="1">
      <formula>$P5="Terminada"</formula>
    </cfRule>
    <cfRule type="expression" dxfId="1" priority="2">
      <formula>OR($P5="En curso",$P5="Por aceptar")</formula>
    </cfRule>
  </conditionalFormatting>
  <dataValidations count="1">
    <dataValidation type="list" sqref="O5:O24" xr:uid="{00000000-0002-0000-0300-000000000000}">
      <formula1>"Sí,No"</formula1>
    </dataValidation>
  </dataValidations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5"/>
  <sheetViews>
    <sheetView showGridLines="0" workbookViewId="0">
      <pane ySplit="4" topLeftCell="A5" activePane="bottomLeft" state="frozen"/>
      <selection pane="bottomLeft"/>
    </sheetView>
  </sheetViews>
  <sheetFormatPr baseColWidth="10" defaultColWidth="9" defaultRowHeight="14.25" x14ac:dyDescent="0.2"/>
  <cols>
    <col min="1" max="1" width="10" customWidth="1"/>
    <col min="2" max="2" width="32" customWidth="1"/>
    <col min="3" max="3" width="12" customWidth="1"/>
    <col min="4" max="4" width="14" customWidth="1"/>
    <col min="5" max="5" width="26" customWidth="1"/>
    <col min="6" max="6" width="34" customWidth="1"/>
    <col min="7" max="7" width="10" customWidth="1"/>
  </cols>
  <sheetData>
    <row r="1" spans="1:7" ht="20.25" x14ac:dyDescent="0.3">
      <c r="A1" s="1" t="s">
        <v>84</v>
      </c>
    </row>
    <row r="2" spans="1:7" x14ac:dyDescent="0.2">
      <c r="A2" s="2" t="s">
        <v>447</v>
      </c>
    </row>
    <row r="4" spans="1:7" ht="25.5" x14ac:dyDescent="0.2">
      <c r="A4" s="3" t="s">
        <v>7</v>
      </c>
      <c r="B4" s="3" t="s">
        <v>67</v>
      </c>
      <c r="C4" s="3" t="s">
        <v>448</v>
      </c>
      <c r="D4" s="3" t="s">
        <v>449</v>
      </c>
      <c r="E4" s="3" t="s">
        <v>450</v>
      </c>
      <c r="F4" s="3" t="s">
        <v>451</v>
      </c>
      <c r="G4" s="3" t="s">
        <v>452</v>
      </c>
    </row>
    <row r="5" spans="1:7" x14ac:dyDescent="0.2">
      <c r="A5" s="6" t="s">
        <v>23</v>
      </c>
      <c r="B5" s="7" t="s">
        <v>453</v>
      </c>
      <c r="C5" s="39">
        <f>Resumen!$C$8</f>
        <v>46265</v>
      </c>
      <c r="D5" s="6" t="s">
        <v>454</v>
      </c>
      <c r="E5" s="6" t="s">
        <v>86</v>
      </c>
      <c r="F5" s="6" t="s">
        <v>455</v>
      </c>
      <c r="G5" s="40" t="s">
        <v>425</v>
      </c>
    </row>
    <row r="6" spans="1:7" x14ac:dyDescent="0.2">
      <c r="A6" s="6" t="s">
        <v>23</v>
      </c>
      <c r="B6" s="7" t="s">
        <v>456</v>
      </c>
      <c r="C6" s="39">
        <f>Resumen!$C$8+8-WEEKDAY(Resumen!$C$8,2)</f>
        <v>46272</v>
      </c>
      <c r="D6" s="6" t="s">
        <v>457</v>
      </c>
      <c r="E6" s="6" t="s">
        <v>458</v>
      </c>
      <c r="F6" s="6" t="s">
        <v>459</v>
      </c>
      <c r="G6" s="40" t="s">
        <v>425</v>
      </c>
    </row>
    <row r="7" spans="1:7" x14ac:dyDescent="0.2">
      <c r="A7" s="6" t="s">
        <v>23</v>
      </c>
      <c r="B7" s="7" t="s">
        <v>460</v>
      </c>
      <c r="C7" s="39">
        <f>WORKDAY(Resumen!$D$8,-1,Feriados)</f>
        <v>46275</v>
      </c>
      <c r="D7" s="6" t="s">
        <v>461</v>
      </c>
      <c r="E7" s="6" t="s">
        <v>462</v>
      </c>
      <c r="F7" s="6" t="s">
        <v>463</v>
      </c>
      <c r="G7" s="40" t="s">
        <v>425</v>
      </c>
    </row>
    <row r="8" spans="1:7" x14ac:dyDescent="0.2">
      <c r="A8" s="6" t="s">
        <v>23</v>
      </c>
      <c r="B8" s="7" t="s">
        <v>464</v>
      </c>
      <c r="C8" s="39">
        <f>Resumen!$D$8</f>
        <v>46276</v>
      </c>
      <c r="D8" s="6" t="s">
        <v>465</v>
      </c>
      <c r="E8" s="6" t="s">
        <v>466</v>
      </c>
      <c r="F8" s="6" t="s">
        <v>467</v>
      </c>
      <c r="G8" s="40" t="s">
        <v>425</v>
      </c>
    </row>
    <row r="9" spans="1:7" x14ac:dyDescent="0.2">
      <c r="A9" s="6" t="s">
        <v>23</v>
      </c>
      <c r="B9" s="7" t="s">
        <v>468</v>
      </c>
      <c r="C9" s="39">
        <f>Resumen!$D$8</f>
        <v>46276</v>
      </c>
      <c r="D9" s="6" t="s">
        <v>457</v>
      </c>
      <c r="E9" s="6" t="s">
        <v>86</v>
      </c>
      <c r="F9" s="6" t="s">
        <v>469</v>
      </c>
      <c r="G9" s="40" t="s">
        <v>425</v>
      </c>
    </row>
    <row r="10" spans="1:7" x14ac:dyDescent="0.2">
      <c r="A10" s="6" t="s">
        <v>31</v>
      </c>
      <c r="B10" s="7" t="s">
        <v>453</v>
      </c>
      <c r="C10" s="39">
        <f>Resumen!$C$9</f>
        <v>46279</v>
      </c>
      <c r="D10" s="6" t="s">
        <v>454</v>
      </c>
      <c r="E10" s="6" t="s">
        <v>86</v>
      </c>
      <c r="F10" s="6" t="s">
        <v>455</v>
      </c>
      <c r="G10" s="40" t="s">
        <v>425</v>
      </c>
    </row>
    <row r="11" spans="1:7" x14ac:dyDescent="0.2">
      <c r="A11" s="6" t="s">
        <v>31</v>
      </c>
      <c r="B11" s="7" t="s">
        <v>456</v>
      </c>
      <c r="C11" s="39">
        <f>Resumen!$C$9+8-WEEKDAY(Resumen!$C$9,2)</f>
        <v>46286</v>
      </c>
      <c r="D11" s="6" t="s">
        <v>457</v>
      </c>
      <c r="E11" s="6" t="s">
        <v>458</v>
      </c>
      <c r="F11" s="6" t="s">
        <v>459</v>
      </c>
      <c r="G11" s="40" t="s">
        <v>425</v>
      </c>
    </row>
    <row r="12" spans="1:7" x14ac:dyDescent="0.2">
      <c r="A12" s="6" t="s">
        <v>31</v>
      </c>
      <c r="B12" s="7" t="s">
        <v>460</v>
      </c>
      <c r="C12" s="39">
        <f>WORKDAY(Resumen!$D$9,-1,Feriados)</f>
        <v>46289</v>
      </c>
      <c r="D12" s="6" t="s">
        <v>461</v>
      </c>
      <c r="E12" s="6" t="s">
        <v>462</v>
      </c>
      <c r="F12" s="6" t="s">
        <v>463</v>
      </c>
      <c r="G12" s="40" t="s">
        <v>425</v>
      </c>
    </row>
    <row r="13" spans="1:7" x14ac:dyDescent="0.2">
      <c r="A13" s="6" t="s">
        <v>31</v>
      </c>
      <c r="B13" s="7" t="s">
        <v>464</v>
      </c>
      <c r="C13" s="39">
        <f>Resumen!$D$9</f>
        <v>46290</v>
      </c>
      <c r="D13" s="6" t="s">
        <v>465</v>
      </c>
      <c r="E13" s="6" t="s">
        <v>466</v>
      </c>
      <c r="F13" s="6" t="s">
        <v>467</v>
      </c>
      <c r="G13" s="40" t="s">
        <v>425</v>
      </c>
    </row>
    <row r="14" spans="1:7" x14ac:dyDescent="0.2">
      <c r="A14" s="6" t="s">
        <v>31</v>
      </c>
      <c r="B14" s="7" t="s">
        <v>468</v>
      </c>
      <c r="C14" s="39">
        <f>Resumen!$D$9</f>
        <v>46290</v>
      </c>
      <c r="D14" s="6" t="s">
        <v>457</v>
      </c>
      <c r="E14" s="6" t="s">
        <v>86</v>
      </c>
      <c r="F14" s="6" t="s">
        <v>469</v>
      </c>
      <c r="G14" s="40" t="s">
        <v>425</v>
      </c>
    </row>
    <row r="15" spans="1:7" x14ac:dyDescent="0.2">
      <c r="A15" s="6" t="s">
        <v>36</v>
      </c>
      <c r="B15" s="7" t="s">
        <v>453</v>
      </c>
      <c r="C15" s="39">
        <f>Resumen!$C$10</f>
        <v>46293</v>
      </c>
      <c r="D15" s="6" t="s">
        <v>454</v>
      </c>
      <c r="E15" s="6" t="s">
        <v>86</v>
      </c>
      <c r="F15" s="6" t="s">
        <v>455</v>
      </c>
      <c r="G15" s="40" t="s">
        <v>425</v>
      </c>
    </row>
    <row r="16" spans="1:7" x14ac:dyDescent="0.2">
      <c r="A16" s="6" t="s">
        <v>36</v>
      </c>
      <c r="B16" s="7" t="s">
        <v>456</v>
      </c>
      <c r="C16" s="39">
        <f>Resumen!$C$10+8-WEEKDAY(Resumen!$C$10,2)</f>
        <v>46300</v>
      </c>
      <c r="D16" s="6" t="s">
        <v>457</v>
      </c>
      <c r="E16" s="6" t="s">
        <v>458</v>
      </c>
      <c r="F16" s="6" t="s">
        <v>459</v>
      </c>
      <c r="G16" s="40" t="s">
        <v>425</v>
      </c>
    </row>
    <row r="17" spans="1:7" x14ac:dyDescent="0.2">
      <c r="A17" s="6" t="s">
        <v>36</v>
      </c>
      <c r="B17" s="7" t="s">
        <v>460</v>
      </c>
      <c r="C17" s="39">
        <f>WORKDAY(Resumen!$D$10,-1,Feriados)</f>
        <v>46303</v>
      </c>
      <c r="D17" s="6" t="s">
        <v>461</v>
      </c>
      <c r="E17" s="6" t="s">
        <v>462</v>
      </c>
      <c r="F17" s="6" t="s">
        <v>463</v>
      </c>
      <c r="G17" s="40" t="s">
        <v>425</v>
      </c>
    </row>
    <row r="18" spans="1:7" x14ac:dyDescent="0.2">
      <c r="A18" s="6" t="s">
        <v>36</v>
      </c>
      <c r="B18" s="7" t="s">
        <v>464</v>
      </c>
      <c r="C18" s="39">
        <f>Resumen!$D$10</f>
        <v>46304</v>
      </c>
      <c r="D18" s="6" t="s">
        <v>465</v>
      </c>
      <c r="E18" s="6" t="s">
        <v>466</v>
      </c>
      <c r="F18" s="6" t="s">
        <v>467</v>
      </c>
      <c r="G18" s="40" t="s">
        <v>425</v>
      </c>
    </row>
    <row r="19" spans="1:7" x14ac:dyDescent="0.2">
      <c r="A19" s="6" t="s">
        <v>36</v>
      </c>
      <c r="B19" s="7" t="s">
        <v>468</v>
      </c>
      <c r="C19" s="39">
        <f>Resumen!$D$10</f>
        <v>46304</v>
      </c>
      <c r="D19" s="6" t="s">
        <v>457</v>
      </c>
      <c r="E19" s="6" t="s">
        <v>86</v>
      </c>
      <c r="F19" s="6" t="s">
        <v>469</v>
      </c>
      <c r="G19" s="40" t="s">
        <v>425</v>
      </c>
    </row>
    <row r="20" spans="1:7" x14ac:dyDescent="0.2">
      <c r="A20" s="6" t="s">
        <v>41</v>
      </c>
      <c r="B20" s="7" t="s">
        <v>453</v>
      </c>
      <c r="C20" s="39">
        <f>Resumen!$C$11</f>
        <v>46308</v>
      </c>
      <c r="D20" s="6" t="s">
        <v>454</v>
      </c>
      <c r="E20" s="6" t="s">
        <v>86</v>
      </c>
      <c r="F20" s="6" t="s">
        <v>455</v>
      </c>
      <c r="G20" s="40" t="s">
        <v>425</v>
      </c>
    </row>
    <row r="21" spans="1:7" x14ac:dyDescent="0.2">
      <c r="A21" s="6" t="s">
        <v>41</v>
      </c>
      <c r="B21" s="7" t="s">
        <v>456</v>
      </c>
      <c r="C21" s="39">
        <f>Resumen!$C$11+8-WEEKDAY(Resumen!$C$11,2)</f>
        <v>46314</v>
      </c>
      <c r="D21" s="6" t="s">
        <v>457</v>
      </c>
      <c r="E21" s="6" t="s">
        <v>458</v>
      </c>
      <c r="F21" s="6" t="s">
        <v>459</v>
      </c>
      <c r="G21" s="40" t="s">
        <v>425</v>
      </c>
    </row>
    <row r="22" spans="1:7" x14ac:dyDescent="0.2">
      <c r="A22" s="6" t="s">
        <v>41</v>
      </c>
      <c r="B22" s="7" t="s">
        <v>460</v>
      </c>
      <c r="C22" s="39">
        <f>WORKDAY(Resumen!$D$11,-1,Feriados)</f>
        <v>46317</v>
      </c>
      <c r="D22" s="6" t="s">
        <v>461</v>
      </c>
      <c r="E22" s="6" t="s">
        <v>462</v>
      </c>
      <c r="F22" s="6" t="s">
        <v>463</v>
      </c>
      <c r="G22" s="40" t="s">
        <v>425</v>
      </c>
    </row>
    <row r="23" spans="1:7" x14ac:dyDescent="0.2">
      <c r="A23" s="6" t="s">
        <v>41</v>
      </c>
      <c r="B23" s="7" t="s">
        <v>464</v>
      </c>
      <c r="C23" s="39">
        <f>Resumen!$D$11</f>
        <v>46318</v>
      </c>
      <c r="D23" s="6" t="s">
        <v>465</v>
      </c>
      <c r="E23" s="6" t="s">
        <v>466</v>
      </c>
      <c r="F23" s="6" t="s">
        <v>467</v>
      </c>
      <c r="G23" s="40" t="s">
        <v>425</v>
      </c>
    </row>
    <row r="24" spans="1:7" x14ac:dyDescent="0.2">
      <c r="A24" s="6" t="s">
        <v>41</v>
      </c>
      <c r="B24" s="7" t="s">
        <v>468</v>
      </c>
      <c r="C24" s="39">
        <f>Resumen!$D$11</f>
        <v>46318</v>
      </c>
      <c r="D24" s="6" t="s">
        <v>457</v>
      </c>
      <c r="E24" s="6" t="s">
        <v>86</v>
      </c>
      <c r="F24" s="6" t="s">
        <v>469</v>
      </c>
      <c r="G24" s="40" t="s">
        <v>425</v>
      </c>
    </row>
    <row r="25" spans="1:7" x14ac:dyDescent="0.2">
      <c r="A25" s="6" t="s">
        <v>46</v>
      </c>
      <c r="B25" s="7" t="s">
        <v>453</v>
      </c>
      <c r="C25" s="39">
        <f>Resumen!$C$12</f>
        <v>46321</v>
      </c>
      <c r="D25" s="6" t="s">
        <v>454</v>
      </c>
      <c r="E25" s="6" t="s">
        <v>86</v>
      </c>
      <c r="F25" s="6" t="s">
        <v>455</v>
      </c>
      <c r="G25" s="40" t="s">
        <v>425</v>
      </c>
    </row>
    <row r="26" spans="1:7" x14ac:dyDescent="0.2">
      <c r="A26" s="6" t="s">
        <v>46</v>
      </c>
      <c r="B26" s="7" t="s">
        <v>456</v>
      </c>
      <c r="C26" s="39">
        <f>Resumen!$C$12+8-WEEKDAY(Resumen!$C$12,2)</f>
        <v>46328</v>
      </c>
      <c r="D26" s="6" t="s">
        <v>457</v>
      </c>
      <c r="E26" s="6" t="s">
        <v>458</v>
      </c>
      <c r="F26" s="6" t="s">
        <v>459</v>
      </c>
      <c r="G26" s="40" t="s">
        <v>425</v>
      </c>
    </row>
    <row r="27" spans="1:7" x14ac:dyDescent="0.2">
      <c r="A27" s="6" t="s">
        <v>46</v>
      </c>
      <c r="B27" s="7" t="s">
        <v>460</v>
      </c>
      <c r="C27" s="39">
        <f>WORKDAY(Resumen!$D$12,-1,Feriados)</f>
        <v>46331</v>
      </c>
      <c r="D27" s="6" t="s">
        <v>461</v>
      </c>
      <c r="E27" s="6" t="s">
        <v>462</v>
      </c>
      <c r="F27" s="6" t="s">
        <v>463</v>
      </c>
      <c r="G27" s="40" t="s">
        <v>425</v>
      </c>
    </row>
    <row r="28" spans="1:7" x14ac:dyDescent="0.2">
      <c r="A28" s="6" t="s">
        <v>46</v>
      </c>
      <c r="B28" s="7" t="s">
        <v>464</v>
      </c>
      <c r="C28" s="39">
        <f>Resumen!$D$12</f>
        <v>46332</v>
      </c>
      <c r="D28" s="6" t="s">
        <v>465</v>
      </c>
      <c r="E28" s="6" t="s">
        <v>466</v>
      </c>
      <c r="F28" s="6" t="s">
        <v>467</v>
      </c>
      <c r="G28" s="40" t="s">
        <v>425</v>
      </c>
    </row>
    <row r="29" spans="1:7" x14ac:dyDescent="0.2">
      <c r="A29" s="6" t="s">
        <v>46</v>
      </c>
      <c r="B29" s="7" t="s">
        <v>468</v>
      </c>
      <c r="C29" s="39">
        <f>Resumen!$D$12</f>
        <v>46332</v>
      </c>
      <c r="D29" s="6" t="s">
        <v>457</v>
      </c>
      <c r="E29" s="6" t="s">
        <v>86</v>
      </c>
      <c r="F29" s="6" t="s">
        <v>469</v>
      </c>
      <c r="G29" s="40" t="s">
        <v>425</v>
      </c>
    </row>
    <row r="30" spans="1:7" x14ac:dyDescent="0.2">
      <c r="A30" s="6" t="s">
        <v>51</v>
      </c>
      <c r="B30" s="7" t="s">
        <v>453</v>
      </c>
      <c r="C30" s="39">
        <f>Resumen!$C$13</f>
        <v>46335</v>
      </c>
      <c r="D30" s="6" t="s">
        <v>465</v>
      </c>
      <c r="E30" s="6" t="s">
        <v>86</v>
      </c>
      <c r="F30" s="6" t="s">
        <v>455</v>
      </c>
      <c r="G30" s="40" t="s">
        <v>425</v>
      </c>
    </row>
    <row r="31" spans="1:7" x14ac:dyDescent="0.2">
      <c r="A31" s="6" t="s">
        <v>51</v>
      </c>
      <c r="B31" s="7" t="s">
        <v>460</v>
      </c>
      <c r="C31" s="39">
        <f>WORKDAY(Resumen!$D$13,-1,Feriados)</f>
        <v>46338</v>
      </c>
      <c r="D31" s="6" t="s">
        <v>461</v>
      </c>
      <c r="E31" s="6" t="s">
        <v>462</v>
      </c>
      <c r="F31" s="6" t="s">
        <v>463</v>
      </c>
      <c r="G31" s="40" t="s">
        <v>425</v>
      </c>
    </row>
    <row r="32" spans="1:7" x14ac:dyDescent="0.2">
      <c r="A32" s="6" t="s">
        <v>51</v>
      </c>
      <c r="B32" s="7" t="s">
        <v>464</v>
      </c>
      <c r="C32" s="39">
        <f>Resumen!$D$13</f>
        <v>46339</v>
      </c>
      <c r="D32" s="6" t="s">
        <v>470</v>
      </c>
      <c r="E32" s="6" t="s">
        <v>466</v>
      </c>
      <c r="F32" s="6" t="s">
        <v>467</v>
      </c>
      <c r="G32" s="40" t="s">
        <v>425</v>
      </c>
    </row>
    <row r="33" spans="1:7" x14ac:dyDescent="0.2">
      <c r="A33" s="6" t="s">
        <v>51</v>
      </c>
      <c r="B33" s="7" t="s">
        <v>468</v>
      </c>
      <c r="C33" s="39">
        <f>Resumen!$D$13</f>
        <v>46339</v>
      </c>
      <c r="D33" s="6" t="s">
        <v>470</v>
      </c>
      <c r="E33" s="6" t="s">
        <v>86</v>
      </c>
      <c r="F33" s="6" t="s">
        <v>469</v>
      </c>
      <c r="G33" s="40" t="s">
        <v>425</v>
      </c>
    </row>
    <row r="34" spans="1:7" x14ac:dyDescent="0.2">
      <c r="A34" s="6" t="s">
        <v>383</v>
      </c>
      <c r="B34" s="7" t="s">
        <v>384</v>
      </c>
      <c r="C34" s="5">
        <v>46342</v>
      </c>
      <c r="D34" s="6" t="s">
        <v>461</v>
      </c>
      <c r="E34" s="6" t="s">
        <v>86</v>
      </c>
      <c r="F34" s="6" t="s">
        <v>461</v>
      </c>
      <c r="G34" s="40" t="s">
        <v>425</v>
      </c>
    </row>
    <row r="35" spans="1:7" x14ac:dyDescent="0.2">
      <c r="A35" s="6" t="s">
        <v>383</v>
      </c>
      <c r="B35" s="7" t="s">
        <v>386</v>
      </c>
      <c r="C35" s="5">
        <v>46363</v>
      </c>
      <c r="D35" s="6" t="s">
        <v>461</v>
      </c>
      <c r="E35" s="6" t="s">
        <v>86</v>
      </c>
      <c r="F35" s="6" t="s">
        <v>461</v>
      </c>
      <c r="G35" s="40" t="s">
        <v>425</v>
      </c>
    </row>
  </sheetData>
  <dataValidations count="1">
    <dataValidation type="list" sqref="G5:G35" xr:uid="{00000000-0002-0000-0400-000000000000}">
      <formula1>"Sí,No"</formula1>
    </dataValidation>
  </dataValidations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showGridLines="0" workbookViewId="0">
      <pane ySplit="4" topLeftCell="A5" activePane="bottomLeft" state="frozen"/>
      <selection pane="bottomLeft"/>
    </sheetView>
  </sheetViews>
  <sheetFormatPr baseColWidth="10" defaultColWidth="9" defaultRowHeight="14.25" x14ac:dyDescent="0.2"/>
  <cols>
    <col min="1" max="1" width="10" customWidth="1"/>
    <col min="2" max="2" width="20" customWidth="1"/>
    <col min="3" max="3" width="15" customWidth="1"/>
    <col min="4" max="4" width="14" customWidth="1"/>
    <col min="5" max="5" width="16" customWidth="1"/>
    <col min="6" max="6" width="10" customWidth="1"/>
    <col min="7" max="7" width="13" customWidth="1"/>
  </cols>
  <sheetData>
    <row r="1" spans="1:7" ht="20.25" x14ac:dyDescent="0.3">
      <c r="A1" s="1" t="s">
        <v>471</v>
      </c>
    </row>
    <row r="2" spans="1:7" x14ac:dyDescent="0.2">
      <c r="A2" s="2" t="s">
        <v>472</v>
      </c>
    </row>
    <row r="4" spans="1:7" x14ac:dyDescent="0.2">
      <c r="A4" s="3" t="s">
        <v>7</v>
      </c>
      <c r="B4" s="3" t="s">
        <v>473</v>
      </c>
      <c r="C4" s="3" t="s">
        <v>474</v>
      </c>
      <c r="D4" s="3" t="s">
        <v>475</v>
      </c>
      <c r="E4" s="3" t="s">
        <v>476</v>
      </c>
      <c r="F4" s="3" t="s">
        <v>477</v>
      </c>
      <c r="G4" s="3" t="s">
        <v>478</v>
      </c>
    </row>
    <row r="5" spans="1:7" x14ac:dyDescent="0.2">
      <c r="A5" s="6" t="s">
        <v>23</v>
      </c>
      <c r="B5" s="6" t="s">
        <v>27</v>
      </c>
      <c r="C5" s="6" t="s">
        <v>18</v>
      </c>
      <c r="D5" s="43">
        <v>26</v>
      </c>
      <c r="E5" s="6">
        <f>SUMIFS(Tareas!$F:$F,Tareas!$B:$B,$A5,Tareas!$E:$E,$B5)</f>
        <v>21</v>
      </c>
      <c r="F5" s="8">
        <f t="shared" ref="F5:F22" si="0">IFERROR(E5/D5,0)</f>
        <v>0.80769230769230771</v>
      </c>
      <c r="G5" s="41">
        <f>SUMIFS(Tareas!$L:$L,Tareas!$B:$B,$A5,Tareas!$E:$E,$B5)</f>
        <v>21</v>
      </c>
    </row>
    <row r="6" spans="1:7" x14ac:dyDescent="0.2">
      <c r="A6" s="6" t="s">
        <v>23</v>
      </c>
      <c r="B6" s="6" t="s">
        <v>28</v>
      </c>
      <c r="C6" s="6" t="s">
        <v>19</v>
      </c>
      <c r="D6" s="43">
        <v>26</v>
      </c>
      <c r="E6" s="6">
        <f>SUMIFS(Tareas!$F:$F,Tareas!$B:$B,$A6,Tareas!$E:$E,$B6)</f>
        <v>21</v>
      </c>
      <c r="F6" s="8">
        <f t="shared" si="0"/>
        <v>0.80769230769230771</v>
      </c>
      <c r="G6" s="41">
        <f>SUMIFS(Tareas!$L:$L,Tareas!$B:$B,$A6,Tareas!$E:$E,$B6)</f>
        <v>21</v>
      </c>
    </row>
    <row r="7" spans="1:7" x14ac:dyDescent="0.2">
      <c r="A7" s="6" t="s">
        <v>23</v>
      </c>
      <c r="B7" s="6" t="s">
        <v>29</v>
      </c>
      <c r="C7" s="6" t="s">
        <v>20</v>
      </c>
      <c r="D7" s="43">
        <v>29</v>
      </c>
      <c r="E7" s="6">
        <f>SUMIFS(Tareas!$F:$F,Tareas!$B:$B,$A7,Tareas!$E:$E,$B7)</f>
        <v>27</v>
      </c>
      <c r="F7" s="8">
        <f t="shared" si="0"/>
        <v>0.93103448275862066</v>
      </c>
      <c r="G7" s="41">
        <f>SUMIFS(Tareas!$L:$L,Tareas!$B:$B,$A7,Tareas!$E:$E,$B7)</f>
        <v>27</v>
      </c>
    </row>
    <row r="8" spans="1:7" x14ac:dyDescent="0.2">
      <c r="A8" s="6" t="s">
        <v>31</v>
      </c>
      <c r="B8" s="6" t="s">
        <v>27</v>
      </c>
      <c r="C8" s="6" t="s">
        <v>20</v>
      </c>
      <c r="D8" s="43">
        <v>26</v>
      </c>
      <c r="E8" s="6">
        <f>SUMIFS(Tareas!$F:$F,Tareas!$B:$B,$A8,Tareas!$E:$E,$B8)</f>
        <v>22</v>
      </c>
      <c r="F8" s="8">
        <f t="shared" si="0"/>
        <v>0.84615384615384615</v>
      </c>
      <c r="G8" s="41">
        <f>SUMIFS(Tareas!$L:$L,Tareas!$B:$B,$A8,Tareas!$E:$E,$B8)</f>
        <v>22</v>
      </c>
    </row>
    <row r="9" spans="1:7" x14ac:dyDescent="0.2">
      <c r="A9" s="6" t="s">
        <v>31</v>
      </c>
      <c r="B9" s="6" t="s">
        <v>28</v>
      </c>
      <c r="C9" s="6" t="s">
        <v>18</v>
      </c>
      <c r="D9" s="43">
        <v>23</v>
      </c>
      <c r="E9" s="6">
        <f>SUMIFS(Tareas!$F:$F,Tareas!$B:$B,$A9,Tareas!$E:$E,$B9)</f>
        <v>18</v>
      </c>
      <c r="F9" s="8">
        <f t="shared" si="0"/>
        <v>0.78260869565217395</v>
      </c>
      <c r="G9" s="41">
        <f>SUMIFS(Tareas!$L:$L,Tareas!$B:$B,$A9,Tareas!$E:$E,$B9)</f>
        <v>18</v>
      </c>
    </row>
    <row r="10" spans="1:7" x14ac:dyDescent="0.2">
      <c r="A10" s="6" t="s">
        <v>31</v>
      </c>
      <c r="B10" s="6" t="s">
        <v>29</v>
      </c>
      <c r="C10" s="6" t="s">
        <v>19</v>
      </c>
      <c r="D10" s="43">
        <v>23</v>
      </c>
      <c r="E10" s="6">
        <f>SUMIFS(Tareas!$F:$F,Tareas!$B:$B,$A10,Tareas!$E:$E,$B10)</f>
        <v>16</v>
      </c>
      <c r="F10" s="8">
        <f t="shared" si="0"/>
        <v>0.69565217391304346</v>
      </c>
      <c r="G10" s="41">
        <f>SUMIFS(Tareas!$L:$L,Tareas!$B:$B,$A10,Tareas!$E:$E,$B10)</f>
        <v>16</v>
      </c>
    </row>
    <row r="11" spans="1:7" x14ac:dyDescent="0.2">
      <c r="A11" s="6" t="s">
        <v>36</v>
      </c>
      <c r="B11" s="6" t="s">
        <v>27</v>
      </c>
      <c r="C11" s="6" t="s">
        <v>19</v>
      </c>
      <c r="D11" s="43">
        <v>26</v>
      </c>
      <c r="E11" s="6">
        <f>SUMIFS(Tareas!$F:$F,Tareas!$B:$B,$A11,Tareas!$E:$E,$B11)</f>
        <v>19</v>
      </c>
      <c r="F11" s="8">
        <f t="shared" si="0"/>
        <v>0.73076923076923073</v>
      </c>
      <c r="G11" s="41">
        <f>SUMIFS(Tareas!$L:$L,Tareas!$B:$B,$A11,Tareas!$E:$E,$B11)</f>
        <v>12</v>
      </c>
    </row>
    <row r="12" spans="1:7" x14ac:dyDescent="0.2">
      <c r="A12" s="6" t="s">
        <v>36</v>
      </c>
      <c r="B12" s="6" t="s">
        <v>28</v>
      </c>
      <c r="C12" s="6" t="s">
        <v>20</v>
      </c>
      <c r="D12" s="43">
        <v>29</v>
      </c>
      <c r="E12" s="6">
        <f>SUMIFS(Tareas!$F:$F,Tareas!$B:$B,$A12,Tareas!$E:$E,$B12)</f>
        <v>18</v>
      </c>
      <c r="F12" s="8">
        <f t="shared" si="0"/>
        <v>0.62068965517241381</v>
      </c>
      <c r="G12" s="41">
        <f>SUMIFS(Tareas!$L:$L,Tareas!$B:$B,$A12,Tareas!$E:$E,$B12)</f>
        <v>11.5</v>
      </c>
    </row>
    <row r="13" spans="1:7" x14ac:dyDescent="0.2">
      <c r="A13" s="6" t="s">
        <v>36</v>
      </c>
      <c r="B13" s="6" t="s">
        <v>29</v>
      </c>
      <c r="C13" s="6" t="s">
        <v>18</v>
      </c>
      <c r="D13" s="43">
        <v>26</v>
      </c>
      <c r="E13" s="6">
        <f>SUMIFS(Tareas!$F:$F,Tareas!$B:$B,$A13,Tareas!$E:$E,$B13)</f>
        <v>22</v>
      </c>
      <c r="F13" s="8">
        <f t="shared" si="0"/>
        <v>0.84615384615384615</v>
      </c>
      <c r="G13" s="41">
        <f>SUMIFS(Tareas!$L:$L,Tareas!$B:$B,$A13,Tareas!$E:$E,$B13)</f>
        <v>14</v>
      </c>
    </row>
    <row r="14" spans="1:7" x14ac:dyDescent="0.2">
      <c r="A14" s="6" t="s">
        <v>41</v>
      </c>
      <c r="B14" s="6" t="s">
        <v>27</v>
      </c>
      <c r="C14" s="6" t="s">
        <v>18</v>
      </c>
      <c r="D14" s="43">
        <v>23</v>
      </c>
      <c r="E14" s="6">
        <f>SUMIFS(Tareas!$F:$F,Tareas!$B:$B,$A14,Tareas!$E:$E,$B14)</f>
        <v>18</v>
      </c>
      <c r="F14" s="8">
        <f t="shared" si="0"/>
        <v>0.78260869565217395</v>
      </c>
      <c r="G14" s="41">
        <f>SUMIFS(Tareas!$L:$L,Tareas!$B:$B,$A14,Tareas!$E:$E,$B14)</f>
        <v>0</v>
      </c>
    </row>
    <row r="15" spans="1:7" x14ac:dyDescent="0.2">
      <c r="A15" s="6" t="s">
        <v>41</v>
      </c>
      <c r="B15" s="6" t="s">
        <v>28</v>
      </c>
      <c r="C15" s="6" t="s">
        <v>19</v>
      </c>
      <c r="D15" s="43">
        <v>23</v>
      </c>
      <c r="E15" s="6">
        <f>SUMIFS(Tareas!$F:$F,Tareas!$B:$B,$A15,Tareas!$E:$E,$B15)</f>
        <v>16</v>
      </c>
      <c r="F15" s="8">
        <f t="shared" si="0"/>
        <v>0.69565217391304346</v>
      </c>
      <c r="G15" s="41">
        <f>SUMIFS(Tareas!$L:$L,Tareas!$B:$B,$A15,Tareas!$E:$E,$B15)</f>
        <v>0</v>
      </c>
    </row>
    <row r="16" spans="1:7" x14ac:dyDescent="0.2">
      <c r="A16" s="6" t="s">
        <v>41</v>
      </c>
      <c r="B16" s="6" t="s">
        <v>29</v>
      </c>
      <c r="C16" s="6" t="s">
        <v>20</v>
      </c>
      <c r="D16" s="43">
        <v>26</v>
      </c>
      <c r="E16" s="6">
        <f>SUMIFS(Tareas!$F:$F,Tareas!$B:$B,$A16,Tareas!$E:$E,$B16)</f>
        <v>21</v>
      </c>
      <c r="F16" s="8">
        <f t="shared" si="0"/>
        <v>0.80769230769230771</v>
      </c>
      <c r="G16" s="41">
        <f>SUMIFS(Tareas!$L:$L,Tareas!$B:$B,$A16,Tareas!$E:$E,$B16)</f>
        <v>0</v>
      </c>
    </row>
    <row r="17" spans="1:7" x14ac:dyDescent="0.2">
      <c r="A17" s="6" t="s">
        <v>46</v>
      </c>
      <c r="B17" s="6" t="s">
        <v>27</v>
      </c>
      <c r="C17" s="6" t="s">
        <v>20</v>
      </c>
      <c r="D17" s="43">
        <v>29</v>
      </c>
      <c r="E17" s="6">
        <f>SUMIFS(Tareas!$F:$F,Tareas!$B:$B,$A17,Tareas!$E:$E,$B17)</f>
        <v>18</v>
      </c>
      <c r="F17" s="8">
        <f t="shared" si="0"/>
        <v>0.62068965517241381</v>
      </c>
      <c r="G17" s="41">
        <f>SUMIFS(Tareas!$L:$L,Tareas!$B:$B,$A17,Tareas!$E:$E,$B17)</f>
        <v>0</v>
      </c>
    </row>
    <row r="18" spans="1:7" x14ac:dyDescent="0.2">
      <c r="A18" s="6" t="s">
        <v>46</v>
      </c>
      <c r="B18" s="6" t="s">
        <v>28</v>
      </c>
      <c r="C18" s="6" t="s">
        <v>18</v>
      </c>
      <c r="D18" s="43">
        <v>26</v>
      </c>
      <c r="E18" s="6">
        <f>SUMIFS(Tareas!$F:$F,Tareas!$B:$B,$A18,Tareas!$E:$E,$B18)</f>
        <v>16</v>
      </c>
      <c r="F18" s="8">
        <f t="shared" si="0"/>
        <v>0.61538461538461542</v>
      </c>
      <c r="G18" s="41">
        <f>SUMIFS(Tareas!$L:$L,Tareas!$B:$B,$A18,Tareas!$E:$E,$B18)</f>
        <v>0</v>
      </c>
    </row>
    <row r="19" spans="1:7" x14ac:dyDescent="0.2">
      <c r="A19" s="6" t="s">
        <v>46</v>
      </c>
      <c r="B19" s="6" t="s">
        <v>29</v>
      </c>
      <c r="C19" s="6" t="s">
        <v>19</v>
      </c>
      <c r="D19" s="43">
        <v>26</v>
      </c>
      <c r="E19" s="6">
        <f>SUMIFS(Tareas!$F:$F,Tareas!$B:$B,$A19,Tareas!$E:$E,$B19)</f>
        <v>17</v>
      </c>
      <c r="F19" s="8">
        <f t="shared" si="0"/>
        <v>0.65384615384615385</v>
      </c>
      <c r="G19" s="41">
        <f>SUMIFS(Tareas!$L:$L,Tareas!$B:$B,$A19,Tareas!$E:$E,$B19)</f>
        <v>0</v>
      </c>
    </row>
    <row r="20" spans="1:7" x14ac:dyDescent="0.2">
      <c r="A20" s="6" t="s">
        <v>51</v>
      </c>
      <c r="B20" s="6" t="s">
        <v>27</v>
      </c>
      <c r="C20" s="6" t="s">
        <v>19</v>
      </c>
      <c r="D20" s="43">
        <v>13.25</v>
      </c>
      <c r="E20" s="6">
        <f>SUMIFS(Tareas!$F:$F,Tareas!$B:$B,$A20,Tareas!$E:$E,$B20)</f>
        <v>9</v>
      </c>
      <c r="F20" s="8">
        <f t="shared" si="0"/>
        <v>0.67924528301886788</v>
      </c>
      <c r="G20" s="41">
        <f>SUMIFS(Tareas!$L:$L,Tareas!$B:$B,$A20,Tareas!$E:$E,$B20)</f>
        <v>0</v>
      </c>
    </row>
    <row r="21" spans="1:7" x14ac:dyDescent="0.2">
      <c r="A21" s="6" t="s">
        <v>51</v>
      </c>
      <c r="B21" s="6" t="s">
        <v>28</v>
      </c>
      <c r="C21" s="6" t="s">
        <v>20</v>
      </c>
      <c r="D21" s="43">
        <v>14.75</v>
      </c>
      <c r="E21" s="6">
        <f>SUMIFS(Tareas!$F:$F,Tareas!$B:$B,$A21,Tareas!$E:$E,$B21)</f>
        <v>6</v>
      </c>
      <c r="F21" s="8">
        <f t="shared" si="0"/>
        <v>0.40677966101694918</v>
      </c>
      <c r="G21" s="41">
        <f>SUMIFS(Tareas!$L:$L,Tareas!$B:$B,$A21,Tareas!$E:$E,$B21)</f>
        <v>0</v>
      </c>
    </row>
    <row r="22" spans="1:7" x14ac:dyDescent="0.2">
      <c r="A22" s="6" t="s">
        <v>51</v>
      </c>
      <c r="B22" s="6" t="s">
        <v>29</v>
      </c>
      <c r="C22" s="6" t="s">
        <v>18</v>
      </c>
      <c r="D22" s="43">
        <v>13.25</v>
      </c>
      <c r="E22" s="6">
        <f>SUMIFS(Tareas!$F:$F,Tareas!$B:$B,$A22,Tareas!$E:$E,$B22)</f>
        <v>6</v>
      </c>
      <c r="F22" s="8">
        <f t="shared" si="0"/>
        <v>0.45283018867924529</v>
      </c>
      <c r="G22" s="41">
        <f>SUMIFS(Tareas!$L:$L,Tareas!$B:$B,$A22,Tareas!$E:$E,$B22)</f>
        <v>0</v>
      </c>
    </row>
  </sheetData>
  <conditionalFormatting sqref="F5:F22">
    <cfRule type="expression" dxfId="0" priority="1">
      <formula>$F5&gt;1</formula>
    </cfRule>
  </conditionalFormatting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"/>
  <sheetViews>
    <sheetView showGridLines="0" workbookViewId="0"/>
  </sheetViews>
  <sheetFormatPr baseColWidth="10" defaultColWidth="9" defaultRowHeight="14.25" x14ac:dyDescent="0.2"/>
  <cols>
    <col min="1" max="1" width="14" customWidth="1"/>
    <col min="2" max="2" width="32" customWidth="1"/>
    <col min="3" max="3" width="3" customWidth="1"/>
    <col min="4" max="4" width="18" customWidth="1"/>
    <col min="5" max="5" width="12" customWidth="1"/>
  </cols>
  <sheetData>
    <row r="1" spans="1:5" ht="20.25" x14ac:dyDescent="0.3">
      <c r="A1" s="1" t="s">
        <v>479</v>
      </c>
    </row>
    <row r="2" spans="1:5" x14ac:dyDescent="0.2">
      <c r="A2" s="2" t="s">
        <v>480</v>
      </c>
    </row>
    <row r="4" spans="1:5" x14ac:dyDescent="0.2">
      <c r="A4" s="3" t="s">
        <v>69</v>
      </c>
      <c r="B4" s="3" t="s">
        <v>481</v>
      </c>
      <c r="D4" s="3" t="s">
        <v>482</v>
      </c>
      <c r="E4" s="3" t="s">
        <v>483</v>
      </c>
    </row>
    <row r="5" spans="1:5" x14ac:dyDescent="0.2">
      <c r="A5" s="44">
        <v>46283</v>
      </c>
      <c r="B5" s="7" t="s">
        <v>484</v>
      </c>
      <c r="D5" s="7" t="s">
        <v>395</v>
      </c>
      <c r="E5" s="45">
        <v>0</v>
      </c>
    </row>
    <row r="6" spans="1:5" x14ac:dyDescent="0.2">
      <c r="A6" s="44">
        <v>46284</v>
      </c>
      <c r="B6" s="7" t="s">
        <v>485</v>
      </c>
      <c r="D6" s="7" t="s">
        <v>486</v>
      </c>
      <c r="E6" s="45">
        <v>0.5</v>
      </c>
    </row>
    <row r="7" spans="1:5" x14ac:dyDescent="0.2">
      <c r="A7" s="44">
        <v>46307</v>
      </c>
      <c r="B7" s="7" t="s">
        <v>487</v>
      </c>
      <c r="D7" s="7" t="s">
        <v>488</v>
      </c>
      <c r="E7" s="45">
        <v>0.75</v>
      </c>
    </row>
    <row r="8" spans="1:5" x14ac:dyDescent="0.2">
      <c r="A8" s="44">
        <v>46326</v>
      </c>
      <c r="B8" s="7" t="s">
        <v>489</v>
      </c>
      <c r="D8" s="7" t="s">
        <v>490</v>
      </c>
      <c r="E8" s="45">
        <v>0.9</v>
      </c>
    </row>
    <row r="9" spans="1:5" x14ac:dyDescent="0.2">
      <c r="A9" s="44">
        <v>46327</v>
      </c>
      <c r="B9" s="7" t="s">
        <v>491</v>
      </c>
      <c r="D9" s="7" t="s">
        <v>393</v>
      </c>
      <c r="E9" s="45">
        <v>1</v>
      </c>
    </row>
    <row r="10" spans="1:5" x14ac:dyDescent="0.2">
      <c r="A10" s="44">
        <v>46364</v>
      </c>
      <c r="B10" s="7" t="s">
        <v>492</v>
      </c>
    </row>
  </sheetData>
  <pageMargins left="0.75" right="0.75" top="1" bottom="1" header="0.5" footer="0.5"/>
  <headerFooter>
    <oddHeader>&amp;L&amp;"Arial,Negrita"&amp;9DUOC UC · Escuela de Informática y Telecomunicaciones&amp;R&amp;"Arial"&amp;9Carta Gantt de sprints</oddHeader>
    <oddFooter>&amp;R&amp;"Arial"&amp;9Página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6</vt:i4>
      </vt:variant>
    </vt:vector>
  </HeadingPairs>
  <TitlesOfParts>
    <vt:vector size="13" baseType="lpstr">
      <vt:lpstr>Resumen</vt:lpstr>
      <vt:lpstr>Carta Gantt</vt:lpstr>
      <vt:lpstr>Tareas</vt:lpstr>
      <vt:lpstr>Historias</vt:lpstr>
      <vt:lpstr>Eventos</vt:lpstr>
      <vt:lpstr>Capacidad</vt:lpstr>
      <vt:lpstr>Config</vt:lpstr>
      <vt:lpstr>EstadosAvance</vt:lpstr>
      <vt:lpstr>EstadosTarea</vt:lpstr>
      <vt:lpstr>Feriados</vt:lpstr>
      <vt:lpstr>SprintFin</vt:lpstr>
      <vt:lpstr>SprintInicio</vt:lpstr>
      <vt:lpstr>SprintNombres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Millaray Espósito</dc:creator>
  <cp:lastModifiedBy>Alexssander López</cp:lastModifiedBy>
  <dcterms:created xsi:type="dcterms:W3CDTF">2026-09-27T23:12:36Z</dcterms:created>
  <dcterms:modified xsi:type="dcterms:W3CDTF">2026-10-05T23:15:23Z</dcterms:modified>
</cp:coreProperties>
</file>