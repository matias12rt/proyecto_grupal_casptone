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Carta Gantt" sheetId="2" state="visible" r:id="rId4"/>
    <sheet name="Tareas" sheetId="3" state="visible" r:id="rId5"/>
    <sheet name="Historias" sheetId="4" state="visible" r:id="rId6"/>
    <sheet name="Eventos" sheetId="5" state="visible" r:id="rId7"/>
    <sheet name="Capacidad" sheetId="6" state="visible" r:id="rId8"/>
    <sheet name="Config" sheetId="7" state="visible" r:id="rId9"/>
  </sheets>
  <definedNames>
    <definedName function="false" hidden="false" name="EstadosAvance" vbProcedure="false">Config!$D$5:$E$9</definedName>
    <definedName function="false" hidden="false" name="EstadosTarea" vbProcedure="false">Config!$D$5:$D$9</definedName>
    <definedName function="false" hidden="false" name="Feriados" vbProcedure="false">Config!$A$5:$A$10</definedName>
    <definedName function="false" hidden="false" name="SprintFin" vbProcedure="false">Resumen!$D$8:$D$13</definedName>
    <definedName function="false" hidden="false" name="SprintInicio" vbProcedure="false">Resumen!$C$8:$C$13</definedName>
    <definedName function="false" hidden="false" name="SprintNombres" vbProcedure="false">Resumen!$B$8:$B$13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<sst xmlns="http://schemas.openxmlformats.org/spreadsheetml/2006/main" count="1947" uniqueCount="493">
  <si>
    <t xml:space="preserve">Planificación de sprints · Plataforma Integrada GGH</t>
  </si>
  <si>
    <t xml:space="preserve">Resumen del avance. Actualice el estado de cada tarea en la hoja Tareas y la aceptación de cada historia en la hoja Historias; el resto se recalcula.</t>
  </si>
  <si>
    <t xml:space="preserve">Avance global</t>
  </si>
  <si>
    <t xml:space="preserve">Story Points terminados</t>
  </si>
  <si>
    <t xml:space="preserve">Historias terminadas</t>
  </si>
  <si>
    <t xml:space="preserve">Sprint actual</t>
  </si>
  <si>
    <t xml:space="preserve">Fecha de hoy</t>
  </si>
  <si>
    <t xml:space="preserve">Sprint</t>
  </si>
  <si>
    <t xml:space="preserve">Inicio</t>
  </si>
  <si>
    <t xml:space="preserve">Término</t>
  </si>
  <si>
    <t xml:space="preserve">Días hábiles</t>
  </si>
  <si>
    <t xml:space="preserve">Tema</t>
  </si>
  <si>
    <t xml:space="preserve">Sprint Goal</t>
  </si>
  <si>
    <t xml:space="preserve">Historias</t>
  </si>
  <si>
    <t xml:space="preserve">SP planificados</t>
  </si>
  <si>
    <t xml:space="preserve">SP terminados</t>
  </si>
  <si>
    <t xml:space="preserve">Horas planificadas</t>
  </si>
  <si>
    <t xml:space="preserve">% avance</t>
  </si>
  <si>
    <t xml:space="preserve">Product Owner</t>
  </si>
  <si>
    <t xml:space="preserve">Scrum Master</t>
  </si>
  <si>
    <t xml:space="preserve">Integración</t>
  </si>
  <si>
    <t xml:space="preserve">Versión</t>
  </si>
  <si>
    <t xml:space="preserve">Estado</t>
  </si>
  <si>
    <t xml:space="preserve">Sprint 1</t>
  </si>
  <si>
    <t xml:space="preserve">Usuarios, roles y permisos</t>
  </si>
  <si>
    <t xml:space="preserve">Habilitar el acceso seguro a la plataforma con usuarios, roles, permisos y contexto de empresa y vendedor, como base para operar los demás módulos.</t>
  </si>
  <si>
    <t xml:space="preserve">HU-001, HU-002, HU-003, HU-004</t>
  </si>
  <si>
    <t xml:space="preserve">Matías Orellana</t>
  </si>
  <si>
    <t xml:space="preserve">Millaray Espósito</t>
  </si>
  <si>
    <t xml:space="preserve">Alexssander López</t>
  </si>
  <si>
    <t xml:space="preserve">v0.1.0</t>
  </si>
  <si>
    <t xml:space="preserve">Sprint 2</t>
  </si>
  <si>
    <t xml:space="preserve">Solicitudes y autorizaciones</t>
  </si>
  <si>
    <t xml:space="preserve">Permitir que un vendedor cree y envíe una solicitud de código con sus respaldos, y que el grupo autorizador la reciba, resuelva y notifique, con seguimiento completo de su estado.</t>
  </si>
  <si>
    <t xml:space="preserve">HU-005, HU-006, HU-007, HU-012</t>
  </si>
  <si>
    <t xml:space="preserve">v0.2.0</t>
  </si>
  <si>
    <t xml:space="preserve">Sprint 3</t>
  </si>
  <si>
    <t xml:space="preserve">Lectura SAP, consultas y cotizaciones</t>
  </si>
  <si>
    <t xml:space="preserve">Conectar la plataforma con SAP Business One en modo lectura para consultar productos, stock y clientes, y crear cotizaciones con el vendedor y la comisión correctos, informando al participante cada cambio de estado.</t>
  </si>
  <si>
    <t xml:space="preserve">HU-015, HU-008, HU-009, HU-013</t>
  </si>
  <si>
    <t xml:space="preserve">v0.3.0</t>
  </si>
  <si>
    <t xml:space="preserve">Sprint 4</t>
  </si>
  <si>
    <t xml:space="preserve">Órdenes de venta e integración SAP</t>
  </si>
  <si>
    <t xml:space="preserve">Completar el flujo comercial desde la cotización aceptada hasta la orden de venta autorizada y enviada al ERP por Service Layer, con registro de resultados y reintentos sin duplicidad.</t>
  </si>
  <si>
    <t xml:space="preserve">HU-010, HU-016, HU-017, HU-011</t>
  </si>
  <si>
    <t xml:space="preserve">v0.4.0</t>
  </si>
  <si>
    <t xml:space="preserve">Sprint 5</t>
  </si>
  <si>
    <t xml:space="preserve">Posventa y trazabilidad</t>
  </si>
  <si>
    <t xml:space="preserve">Registrar, evaluar y autorizar casos de posventa con evidencias y comprobante QR, y ofrecer una consulta de trazabilidad común para todos los procesos.</t>
  </si>
  <si>
    <t xml:space="preserve">HU-018, HU-019, HU-014</t>
  </si>
  <si>
    <t xml:space="preserve">v0.5.0</t>
  </si>
  <si>
    <t xml:space="preserve">Sprint 6</t>
  </si>
  <si>
    <t xml:space="preserve">Cierre de posventa e integración final</t>
  </si>
  <si>
    <t xml:space="preserve">Cerrar el ciclo de posventa con el seguimiento de estados hasta su resolución final y dejar el producto integrado y estabilizado para la validación final.</t>
  </si>
  <si>
    <t xml:space="preserve">HU-020</t>
  </si>
  <si>
    <t xml:space="preserve">v0.6.0</t>
  </si>
  <si>
    <t xml:space="preserve">Total</t>
  </si>
  <si>
    <t xml:space="preserve">Cómo usar este archivo</t>
  </si>
  <si>
    <t xml:space="preserve">1. En la hoja Tareas, cambie el Estado de cada tarea (Por hacer, En curso, En revisión, En pruebas, Terminado). El avance de historias, sprints y la Carta Gantt se actualiza solo.</t>
  </si>
  <si>
    <t xml:space="preserve">2. En la hoja Historias, marque «Aceptada por PO» = Sí cuando el Product Owner acepte la historia en la Sprint Review. Solo entonces cuenta como Terminada.</t>
  </si>
  <si>
    <t xml:space="preserve">3. Si cambian las fechas de un sprint, edite Inicio y Término en esta hoja (celdas azules): las tareas, eventos y barras se mueven automáticamente.</t>
  </si>
  <si>
    <t xml:space="preserve">4. En la Carta Gantt use los botones 1, 2 y 3 del margen izquierdo para ver solo sprints, sprints e historias, o todas las tareas.</t>
  </si>
  <si>
    <t xml:space="preserve">Carta Gantt de sprints</t>
  </si>
  <si>
    <t xml:space="preserve">Barras calculadas desde las fechas de cada tarea. Leyenda de eventos: P = Sprint Planning · F = Refinamiento · C = Congelamiento · R = Review y Retrospective. Gris = feriado; borde rojo = hoy.</t>
  </si>
  <si>
    <t xml:space="preserve">Historia</t>
  </si>
  <si>
    <t xml:space="preserve">Tarea</t>
  </si>
  <si>
    <t xml:space="preserve">Avance</t>
  </si>
  <si>
    <t xml:space="preserve">Evento</t>
  </si>
  <si>
    <t xml:space="preserve">Hito</t>
  </si>
  <si>
    <t xml:space="preserve">Feriado</t>
  </si>
  <si>
    <t xml:space="preserve">Septiembre 2026</t>
  </si>
  <si>
    <t xml:space="preserve">Octubre 2026</t>
  </si>
  <si>
    <t xml:space="preserve">Noviembre 2026</t>
  </si>
  <si>
    <t xml:space="preserve">Diciembre 2026</t>
  </si>
  <si>
    <t xml:space="preserve">Cierre del proyecto</t>
  </si>
  <si>
    <t xml:space="preserve">ID</t>
  </si>
  <si>
    <t xml:space="preserve">Actividad</t>
  </si>
  <si>
    <t xml:space="preserve">Tipo</t>
  </si>
  <si>
    <t xml:space="preserve">Responsable</t>
  </si>
  <si>
    <t xml:space="preserve">Fin</t>
  </si>
  <si>
    <t xml:space="preserve">Días</t>
  </si>
  <si>
    <t xml:space="preserve">S1</t>
  </si>
  <si>
    <t xml:space="preserve">Sprint 1 · Usuarios, roles y permisos</t>
  </si>
  <si>
    <t xml:space="preserve">PO: Matías · SM: Millaray</t>
  </si>
  <si>
    <t xml:space="preserve">Eventos Scrum</t>
  </si>
  <si>
    <t xml:space="preserve">Eventos</t>
  </si>
  <si>
    <t xml:space="preserve">Scrum Team</t>
  </si>
  <si>
    <t xml:space="preserve">HU-001</t>
  </si>
  <si>
    <t xml:space="preserve">Autenticarse en la plataforma</t>
  </si>
  <si>
    <t xml:space="preserve">Matías y Alexssander</t>
  </si>
  <si>
    <t xml:space="preserve">T-1.01</t>
  </si>
  <si>
    <t xml:space="preserve">Configurar el inicio y cierre de sesión con la autenticación de Django y la pantalla de acceso</t>
  </si>
  <si>
    <t xml:space="preserve">Matías</t>
  </si>
  <si>
    <t xml:space="preserve">T-1.02</t>
  </si>
  <si>
    <t xml:space="preserve">Bloquear el acceso de usuarios desactivados y mostrar mensajes de error claros</t>
  </si>
  <si>
    <t xml:space="preserve">T-1.03</t>
  </si>
  <si>
    <t xml:space="preserve">Configurar el hash de contraseñas y la expiración de la sesión por inactividad</t>
  </si>
  <si>
    <t xml:space="preserve">Alexssander</t>
  </si>
  <si>
    <t xml:space="preserve">T-1.04</t>
  </si>
  <si>
    <t xml:space="preserve">Registrar la auditoría de accesos e intentos fallidos</t>
  </si>
  <si>
    <t xml:space="preserve">T-1.05</t>
  </si>
  <si>
    <t xml:space="preserve">Pruebas automatizadas y ejecución de CP-001 a CP-003</t>
  </si>
  <si>
    <t xml:space="preserve">Millaray</t>
  </si>
  <si>
    <t xml:space="preserve">HU-002</t>
  </si>
  <si>
    <t xml:space="preserve">Administrar usuarios y perfiles</t>
  </si>
  <si>
    <t xml:space="preserve">T-1.06</t>
  </si>
  <si>
    <t xml:space="preserve">Modelos de área, cargo, rol y perfil de usuario, con sus migraciones</t>
  </si>
  <si>
    <t xml:space="preserve">T-1.07</t>
  </si>
  <si>
    <t xml:space="preserve">Mantenedor de usuarios con área, cargo y rol obligatorios</t>
  </si>
  <si>
    <t xml:space="preserve">T-1.08</t>
  </si>
  <si>
    <t xml:space="preserve">Desactivación y reactivación de usuarios conservando su historial</t>
  </si>
  <si>
    <t xml:space="preserve">T-1.09</t>
  </si>
  <si>
    <t xml:space="preserve">Restringir la administración de usuarios al administrador, validado en el servidor</t>
  </si>
  <si>
    <t xml:space="preserve">T-1.10</t>
  </si>
  <si>
    <t xml:space="preserve">Pruebas automatizadas y ejecución de CP-004 a CP-006</t>
  </si>
  <si>
    <t xml:space="preserve">HU-003</t>
  </si>
  <si>
    <t xml:space="preserve">Configurar permisos y grupos de autorización</t>
  </si>
  <si>
    <t xml:space="preserve">T-1.11</t>
  </si>
  <si>
    <t xml:space="preserve">Modelo de permisos directos, por área y por cargo, y cálculo de permisos efectivos</t>
  </si>
  <si>
    <t xml:space="preserve">T-1.12</t>
  </si>
  <si>
    <t xml:space="preserve">Validación centralizada de permisos en el servidor para cada vista</t>
  </si>
  <si>
    <t xml:space="preserve">T-1.13</t>
  </si>
  <si>
    <t xml:space="preserve">Grupos autorizadores por tipo de solicitud con al menos un integrante activo</t>
  </si>
  <si>
    <t xml:space="preserve">T-1.14</t>
  </si>
  <si>
    <t xml:space="preserve">Pantallas de administración de permisos y grupos</t>
  </si>
  <si>
    <t xml:space="preserve">T-1.15</t>
  </si>
  <si>
    <t xml:space="preserve">Pruebas automatizadas y ejecución de CP-007 a CP-010</t>
  </si>
  <si>
    <t xml:space="preserve">HU-004</t>
  </si>
  <si>
    <t xml:space="preserve">Configurar empresas, vendedores y comisiones</t>
  </si>
  <si>
    <t xml:space="preserve">T-1.16</t>
  </si>
  <si>
    <t xml:space="preserve">Modelos de SlpCode por empresa y escala de comisión, con sus migraciones</t>
  </si>
  <si>
    <t xml:space="preserve">T-1.17</t>
  </si>
  <si>
    <t xml:space="preserve">Asignación de SlpCode y escala de comisión en el perfil del vendedor</t>
  </si>
  <si>
    <t xml:space="preserve">T-1.18</t>
  </si>
  <si>
    <t xml:space="preserve">Selector de empresa activa en la barra de navegación y colores por empresa</t>
  </si>
  <si>
    <t xml:space="preserve">T-1.19</t>
  </si>
  <si>
    <t xml:space="preserve">Pruebas automatizadas y ejecución de CP-011 a CP-014</t>
  </si>
  <si>
    <t xml:space="preserve">Tareas transversales del sprint</t>
  </si>
  <si>
    <t xml:space="preserve">T-1.20</t>
  </si>
  <si>
    <t xml:space="preserve">Configurar el repositorio privado, las ramas protegidas, el tablero y el archivo .env.example</t>
  </si>
  <si>
    <t xml:space="preserve">T-1.21</t>
  </si>
  <si>
    <t xml:space="preserve">Cargar datos ficticios de demostración: usuarios, áreas, cargos y empresas</t>
  </si>
  <si>
    <t xml:space="preserve">T-1.22</t>
  </si>
  <si>
    <t xml:space="preserve">Integrar develop en main, etiquetar v0.1.0 y preparar la demostración</t>
  </si>
  <si>
    <t xml:space="preserve">T-1.23</t>
  </si>
  <si>
    <t xml:space="preserve">Actualizar la matriz de trazabilidad y el Expediente de Sprint</t>
  </si>
  <si>
    <t xml:space="preserve">S2</t>
  </si>
  <si>
    <t xml:space="preserve">Sprint 2 · Solicitudes y autorizaciones</t>
  </si>
  <si>
    <t xml:space="preserve">PO: Millaray · SM: Alexssander</t>
  </si>
  <si>
    <t xml:space="preserve">HU-005</t>
  </si>
  <si>
    <t xml:space="preserve">Crear y enviar solicitudes de código</t>
  </si>
  <si>
    <t xml:space="preserve">Millaray y Matías</t>
  </si>
  <si>
    <t xml:space="preserve">T-2.01</t>
  </si>
  <si>
    <t xml:space="preserve">Modelos de solicitud, productos solicitados y adjuntos, con estados y migraciones</t>
  </si>
  <si>
    <t xml:space="preserve">T-2.02</t>
  </si>
  <si>
    <t xml:space="preserve">Formulario de solicitud por tipo (creación, activación o modificación) con uno o más productos</t>
  </si>
  <si>
    <t xml:space="preserve">T-2.03</t>
  </si>
  <si>
    <t xml:space="preserve">Validación y almacenamiento de respaldos fuera de la base de datos, según los formatos permitidos</t>
  </si>
  <si>
    <t xml:space="preserve">T-2.04</t>
  </si>
  <si>
    <t xml:space="preserve">Envío de la solicitud a la bandeja del grupo autorizador correspondiente</t>
  </si>
  <si>
    <t xml:space="preserve">T-2.05</t>
  </si>
  <si>
    <t xml:space="preserve">Pruebas automatizadas y ejecución de CP-015 a CP-018</t>
  </si>
  <si>
    <t xml:space="preserve">HU-006</t>
  </si>
  <si>
    <t xml:space="preserve">Aprobar o rechazar solicitudes</t>
  </si>
  <si>
    <t xml:space="preserve">T-2.06</t>
  </si>
  <si>
    <t xml:space="preserve">Bandeja compartida del grupo y acción para tomar la solicitud</t>
  </si>
  <si>
    <t xml:space="preserve">T-2.07</t>
  </si>
  <si>
    <t xml:space="preserve">Aprobación y rechazo con motivo obligatorio; bloqueo de edición después de aprobar</t>
  </si>
  <si>
    <t xml:space="preserve">T-2.08</t>
  </si>
  <si>
    <t xml:space="preserve">Registro de usuario, fecha, hora y comentario de la resolución</t>
  </si>
  <si>
    <t xml:space="preserve">T-2.09</t>
  </si>
  <si>
    <t xml:space="preserve">Pruebas automatizadas y ejecución de CP-019 a CP-022</t>
  </si>
  <si>
    <t xml:space="preserve">HU-007</t>
  </si>
  <si>
    <t xml:space="preserve">Corregir, reenviar y consultar solicitudes</t>
  </si>
  <si>
    <t xml:space="preserve">T-2.10</t>
  </si>
  <si>
    <t xml:space="preserve">Corrección y reenvío por el creador, con retorno a estado Pendiente</t>
  </si>
  <si>
    <t xml:space="preserve">T-2.11</t>
  </si>
  <si>
    <t xml:space="preserve">Vista de seguimiento con estado, responsable, fecha y comentario</t>
  </si>
  <si>
    <t xml:space="preserve">T-2.12</t>
  </si>
  <si>
    <t xml:space="preserve">Filtros y búsqueda por estado, fecha, área y responsable, según permisos</t>
  </si>
  <si>
    <t xml:space="preserve">T-2.13</t>
  </si>
  <si>
    <t xml:space="preserve">Pruebas automatizadas y ejecución de CP-023 a CP-026</t>
  </si>
  <si>
    <t xml:space="preserve">HU-012</t>
  </si>
  <si>
    <t xml:space="preserve">Notificar pendientes y recordatorios</t>
  </si>
  <si>
    <t xml:space="preserve">T-2.14</t>
  </si>
  <si>
    <t xml:space="preserve">Modelo de notificación con destinatario, categoría, emisor, nivel y enlace</t>
  </si>
  <si>
    <t xml:space="preserve">T-2.15</t>
  </si>
  <si>
    <t xml:space="preserve">Notificación a los integrantes del grupo al enviar un proceso</t>
  </si>
  <si>
    <t xml:space="preserve">T-2.16</t>
  </si>
  <si>
    <t xml:space="preserve">Tarea programada de recordatorio para procesos pendientes por más de una hora</t>
  </si>
  <si>
    <t xml:space="preserve">T-2.17</t>
  </si>
  <si>
    <t xml:space="preserve">Campana general en la barra superior con restricción de notificaciones ajenas</t>
  </si>
  <si>
    <t xml:space="preserve">T-2.18</t>
  </si>
  <si>
    <t xml:space="preserve">Pruebas automatizadas y ejecución de CP-043 a CP-046</t>
  </si>
  <si>
    <t xml:space="preserve">T-2.19</t>
  </si>
  <si>
    <t xml:space="preserve">Validar el flujo de solicitudes con usuarios clave antes de la Sprint Review</t>
  </si>
  <si>
    <t xml:space="preserve">T-2.20</t>
  </si>
  <si>
    <t xml:space="preserve">Integrar develop en main, etiquetar v0.2.0 y preparar la demostración</t>
  </si>
  <si>
    <t xml:space="preserve">T-2.21</t>
  </si>
  <si>
    <t xml:space="preserve">S3</t>
  </si>
  <si>
    <t xml:space="preserve">Sprint 3 · Lectura SAP, consultas y cotizaciones</t>
  </si>
  <si>
    <t xml:space="preserve">PO: Alexssander · SM: Matías</t>
  </si>
  <si>
    <t xml:space="preserve">HU-015</t>
  </si>
  <si>
    <t xml:space="preserve">Consultar SAP mediante una API segura</t>
  </si>
  <si>
    <t xml:space="preserve">Alexssander y Matías</t>
  </si>
  <si>
    <t xml:space="preserve">T-3.01</t>
  </si>
  <si>
    <t xml:space="preserve">API de lectura en FastAPI con usuario de solo lectura sobre SAP HANA y respuestas JSON</t>
  </si>
  <si>
    <t xml:space="preserve">T-3.02</t>
  </si>
  <si>
    <t xml:space="preserve">Firma de peticiones entre la plataforma y la API, con rechazo de firmas inválidas</t>
  </si>
  <si>
    <t xml:space="preserve">T-3.03</t>
  </si>
  <si>
    <t xml:space="preserve">Credenciales de conexión en variables de entorno</t>
  </si>
  <si>
    <t xml:space="preserve">T-3.04</t>
  </si>
  <si>
    <t xml:space="preserve">Paginación, tiempo límite, reintentos y servicio simulado con datos ficticios</t>
  </si>
  <si>
    <t xml:space="preserve">T-3.05</t>
  </si>
  <si>
    <t xml:space="preserve">Registro de consultas para medir la carga sobre el ERP</t>
  </si>
  <si>
    <t xml:space="preserve">T-3.06</t>
  </si>
  <si>
    <t xml:space="preserve">Pruebas, medición de tiempos y ejecución de CP-055 a CP-058</t>
  </si>
  <si>
    <t xml:space="preserve">HU-008</t>
  </si>
  <si>
    <t xml:space="preserve">Consultar productos, stock y clientes</t>
  </si>
  <si>
    <t xml:space="preserve">Alexssander y Millaray</t>
  </si>
  <si>
    <t xml:space="preserve">T-3.07</t>
  </si>
  <si>
    <t xml:space="preserve">Cliente de la API en la plataforma para productos, stock y clientes de la empresa activa</t>
  </si>
  <si>
    <t xml:space="preserve">T-3.08</t>
  </si>
  <si>
    <t xml:space="preserve">Pantallas de consulta de productos y stock</t>
  </si>
  <si>
    <t xml:space="preserve">T-3.09</t>
  </si>
  <si>
    <t xml:space="preserve">Consulta de clientes con crédito y bloqueo, según la cartera del vendedor o asistente</t>
  </si>
  <si>
    <t xml:space="preserve">T-3.10</t>
  </si>
  <si>
    <t xml:space="preserve">Indicador visible de cliente bloqueado</t>
  </si>
  <si>
    <t xml:space="preserve">T-3.11</t>
  </si>
  <si>
    <t xml:space="preserve">Pruebas automatizadas y ejecución de CP-027 a CP-030</t>
  </si>
  <si>
    <t xml:space="preserve">HU-009</t>
  </si>
  <si>
    <t xml:space="preserve">Crear y administrar cotizaciones</t>
  </si>
  <si>
    <t xml:space="preserve">Millaray y Alexssander</t>
  </si>
  <si>
    <t xml:space="preserve">T-3.12</t>
  </si>
  <si>
    <t xml:space="preserve">Modelos de cotización y líneas, con sus migraciones</t>
  </si>
  <si>
    <t xml:space="preserve">T-3.13</t>
  </si>
  <si>
    <t xml:space="preserve">Formulario de cotización con validación de cliente y líneas</t>
  </si>
  <si>
    <t xml:space="preserve">T-3.14</t>
  </si>
  <si>
    <t xml:space="preserve">Selección de SlpCode por el asistente y registro de creador y vendedor</t>
  </si>
  <si>
    <t xml:space="preserve">T-3.15</t>
  </si>
  <si>
    <t xml:space="preserve">Cálculo de la comisión con la escala del vendedor o la predeterminada</t>
  </si>
  <si>
    <t xml:space="preserve">T-3.16</t>
  </si>
  <si>
    <t xml:space="preserve">Pruebas automatizadas y ejecución de CP-031 a CP-034</t>
  </si>
  <si>
    <t xml:space="preserve">HU-013</t>
  </si>
  <si>
    <t xml:space="preserve">Informar cambios de estado al solicitante</t>
  </si>
  <si>
    <t xml:space="preserve">T-3.17</t>
  </si>
  <si>
    <t xml:space="preserve">Notificaciones al participante ante aprobaciones, rechazos, observaciones y cambios de estado</t>
  </si>
  <si>
    <t xml:space="preserve">T-3.18</t>
  </si>
  <si>
    <t xml:space="preserve">Campana de autorizaciones de órdenes de venta</t>
  </si>
  <si>
    <t xml:space="preserve">T-3.19</t>
  </si>
  <si>
    <t xml:space="preserve">Página de notificaciones: abrir, marcar como leída, marcar todas y eliminar, con fecha de lectura</t>
  </si>
  <si>
    <t xml:space="preserve">T-3.20</t>
  </si>
  <si>
    <t xml:space="preserve">Pruebas automatizadas y ejecución de CP-047 a CP-050</t>
  </si>
  <si>
    <t xml:space="preserve">T-3.21</t>
  </si>
  <si>
    <t xml:space="preserve">Pruebas de regresión de los módulos de usuarios y solicitudes</t>
  </si>
  <si>
    <t xml:space="preserve">T-3.22</t>
  </si>
  <si>
    <t xml:space="preserve">Validar consultas y cotizaciones con la Jefatura Comercial y los ejecutivos comerciales</t>
  </si>
  <si>
    <t xml:space="preserve">T-3.23</t>
  </si>
  <si>
    <t xml:space="preserve">Integrar develop en main, etiquetar v0.3.0 y preparar la demostración</t>
  </si>
  <si>
    <t xml:space="preserve">T-3.24</t>
  </si>
  <si>
    <t xml:space="preserve">S4</t>
  </si>
  <si>
    <t xml:space="preserve">Sprint 4 · Órdenes de venta e integración SAP</t>
  </si>
  <si>
    <t xml:space="preserve">HU-010</t>
  </si>
  <si>
    <t xml:space="preserve">Emitir la cotización y solicitar la orden de venta</t>
  </si>
  <si>
    <t xml:space="preserve">T-4.01</t>
  </si>
  <si>
    <t xml:space="preserve">Generación de la cotización en formato imprimible o descargable</t>
  </si>
  <si>
    <t xml:space="preserve">T-4.02</t>
  </si>
  <si>
    <t xml:space="preserve">Conversión de la cotización aceptada en solicitud de orden de venta, con su vínculo</t>
  </si>
  <si>
    <t xml:space="preserve">T-4.03</t>
  </si>
  <si>
    <t xml:space="preserve">Validación de cotización abierta y aceptada, y bloqueo por cliente bloqueado</t>
  </si>
  <si>
    <t xml:space="preserve">T-4.04</t>
  </si>
  <si>
    <t xml:space="preserve">Pruebas automatizadas y ejecución de CP-035 a CP-038</t>
  </si>
  <si>
    <t xml:space="preserve">HU-016</t>
  </si>
  <si>
    <t xml:space="preserve">Crear documentos mediante Service Layer</t>
  </si>
  <si>
    <t xml:space="preserve">T-4.05</t>
  </si>
  <si>
    <t xml:space="preserve">Cliente de Service Layer y servicio simulado equivalente</t>
  </si>
  <si>
    <t xml:space="preserve">T-4.06</t>
  </si>
  <si>
    <t xml:space="preserve">Validación de autorización registrada antes de cada envío</t>
  </si>
  <si>
    <t xml:space="preserve">T-4.07</t>
  </si>
  <si>
    <t xml:space="preserve">Conservación inmutable del documento autorizado para su envío</t>
  </si>
  <si>
    <t xml:space="preserve">T-4.08</t>
  </si>
  <si>
    <t xml:space="preserve">Registro del resultado devuelto por Service Layer</t>
  </si>
  <si>
    <t xml:space="preserve">T-4.09</t>
  </si>
  <si>
    <t xml:space="preserve">Pruebas automatizadas y ejecución de CP-059 a CP-062</t>
  </si>
  <si>
    <t xml:space="preserve">HU-017</t>
  </si>
  <si>
    <t xml:space="preserve">Registrar y reintentar operaciones fallidas</t>
  </si>
  <si>
    <t xml:space="preserve">T-4.10</t>
  </si>
  <si>
    <t xml:space="preserve">Registro de operaciones (documento, resultado, identificador y error) y pantalla de consulta</t>
  </si>
  <si>
    <t xml:space="preserve">T-4.11</t>
  </si>
  <si>
    <t xml:space="preserve">Mensajes de error comprensibles para el usuario</t>
  </si>
  <si>
    <t xml:space="preserve">T-4.12</t>
  </si>
  <si>
    <t xml:space="preserve">Reintento seguro que reutiliza el documento autorizado sin duplicar líneas</t>
  </si>
  <si>
    <t xml:space="preserve">T-4.13</t>
  </si>
  <si>
    <t xml:space="preserve">Operaciones atómicas ante errores</t>
  </si>
  <si>
    <t xml:space="preserve">T-4.14</t>
  </si>
  <si>
    <t xml:space="preserve">Pruebas automatizadas y ejecución de CP-063 a CP-066</t>
  </si>
  <si>
    <t xml:space="preserve">HU-011</t>
  </si>
  <si>
    <t xml:space="preserve">Autorizar, enviar y seguir órdenes de venta</t>
  </si>
  <si>
    <t xml:space="preserve">T-4.15</t>
  </si>
  <si>
    <t xml:space="preserve">Regla de límites de autorización y estado pendiente de autorización</t>
  </si>
  <si>
    <t xml:space="preserve">T-4.16</t>
  </si>
  <si>
    <t xml:space="preserve">Bandeja y aprobación del autorizador comercial</t>
  </si>
  <si>
    <t xml:space="preserve">T-4.17</t>
  </si>
  <si>
    <t xml:space="preserve">Envío de la orden autorizada por Service Layer y registro del identificador</t>
  </si>
  <si>
    <t xml:space="preserve">T-4.18</t>
  </si>
  <si>
    <t xml:space="preserve">Consulta del estado, vínculo y trazabilidad del documento</t>
  </si>
  <si>
    <t xml:space="preserve">T-4.19</t>
  </si>
  <si>
    <t xml:space="preserve">Pruebas automatizadas y ejecución de CP-039 a CP-042</t>
  </si>
  <si>
    <t xml:space="preserve">T-4.20</t>
  </si>
  <si>
    <t xml:space="preserve">Validar el flujo comercial completo con la Jefatura Comercial y el Administrador de SAP</t>
  </si>
  <si>
    <t xml:space="preserve">T-4.21</t>
  </si>
  <si>
    <t xml:space="preserve">Integrar develop en main, etiquetar v0.4.0 y preparar la demostración</t>
  </si>
  <si>
    <t xml:space="preserve">T-4.22</t>
  </si>
  <si>
    <t xml:space="preserve">S5</t>
  </si>
  <si>
    <t xml:space="preserve">Sprint 5 · Posventa y trazabilidad</t>
  </si>
  <si>
    <t xml:space="preserve">HU-018</t>
  </si>
  <si>
    <t xml:space="preserve">Registrar un caso de posventa</t>
  </si>
  <si>
    <t xml:space="preserve">T-5.01</t>
  </si>
  <si>
    <t xml:space="preserve">Modelos de caso de posventa, productos y documento de respaldo, con sus migraciones</t>
  </si>
  <si>
    <t xml:space="preserve">T-5.02</t>
  </si>
  <si>
    <t xml:space="preserve">Formulario de registro por tipo de caso, con consulta de cliente y documentos por la API</t>
  </si>
  <si>
    <t xml:space="preserve">T-5.03</t>
  </si>
  <si>
    <t xml:space="preserve">Carga de evidencias con validación y excepción para factura de reserva</t>
  </si>
  <si>
    <t xml:space="preserve">T-5.04</t>
  </si>
  <si>
    <t xml:space="preserve">Acceso a las evidencias restringido a los participantes autorizados</t>
  </si>
  <si>
    <t xml:space="preserve">T-5.05</t>
  </si>
  <si>
    <t xml:space="preserve">Pruebas automatizadas y ejecución de CP-067 a CP-070</t>
  </si>
  <si>
    <t xml:space="preserve">HU-019</t>
  </si>
  <si>
    <t xml:space="preserve">Evaluar, resolver y emitir comprobante QR</t>
  </si>
  <si>
    <t xml:space="preserve">T-5.06</t>
  </si>
  <si>
    <t xml:space="preserve">Evaluación de producto, accesorios, manual y embalaje con los valores definidos</t>
  </si>
  <si>
    <t xml:space="preserve">T-5.07</t>
  </si>
  <si>
    <t xml:space="preserve">Aprobación o rechazo con motivo, corrección y reenvío a Pendiente</t>
  </si>
  <si>
    <t xml:space="preserve">T-5.08</t>
  </si>
  <si>
    <t xml:space="preserve">Generación del comprobante con código QR</t>
  </si>
  <si>
    <t xml:space="preserve">T-5.09</t>
  </si>
  <si>
    <t xml:space="preserve">Descarga del comprobante y marca de QR enviado al cliente</t>
  </si>
  <si>
    <t xml:space="preserve">T-5.10</t>
  </si>
  <si>
    <t xml:space="preserve">Pruebas automatizadas y ejecución de CP-071 a CP-074</t>
  </si>
  <si>
    <t xml:space="preserve">HU-014</t>
  </si>
  <si>
    <t xml:space="preserve">Consultar la trazabilidad de los procesos</t>
  </si>
  <si>
    <t xml:space="preserve">T-5.11</t>
  </si>
  <si>
    <t xml:space="preserve">Historial de estados común para solicitudes, órdenes y casos</t>
  </si>
  <si>
    <t xml:space="preserve">T-5.12</t>
  </si>
  <si>
    <t xml:space="preserve">Pantalla de trazabilidad con estado actual, responsable y secuencia histórica</t>
  </si>
  <si>
    <t xml:space="preserve">T-5.13</t>
  </si>
  <si>
    <t xml:space="preserve">Bloqueo de edición de las respuestas resueltas</t>
  </si>
  <si>
    <t xml:space="preserve">T-5.14</t>
  </si>
  <si>
    <t xml:space="preserve">Visibilidad según participación y rol</t>
  </si>
  <si>
    <t xml:space="preserve">T-5.15</t>
  </si>
  <si>
    <t xml:space="preserve">Pruebas automatizadas y ejecución de CP-051 a CP-054</t>
  </si>
  <si>
    <t xml:space="preserve">T-5.16</t>
  </si>
  <si>
    <t xml:space="preserve">Pruebas de regresión de los módulos anteriores</t>
  </si>
  <si>
    <t xml:space="preserve">T-5.17</t>
  </si>
  <si>
    <t xml:space="preserve">Pruebas no funcionales: tiempos de respuesta, navegadores y restricciones de acceso</t>
  </si>
  <si>
    <t xml:space="preserve">T-5.18</t>
  </si>
  <si>
    <t xml:space="preserve">Validar el registro y la evaluación de casos con la Jefatura de Posventa</t>
  </si>
  <si>
    <t xml:space="preserve">T-5.19</t>
  </si>
  <si>
    <t xml:space="preserve">Integrar develop en main, etiquetar v0.5.0 y preparar la demostración</t>
  </si>
  <si>
    <t xml:space="preserve">T-5.20</t>
  </si>
  <si>
    <t xml:space="preserve">S6</t>
  </si>
  <si>
    <t xml:space="preserve">Sprint 6 · Cierre de posventa e integración final</t>
  </si>
  <si>
    <t xml:space="preserve">Gestionar el avance y cierre de posventa</t>
  </si>
  <si>
    <t xml:space="preserve">T-6.01</t>
  </si>
  <si>
    <t xml:space="preserve">Flujo de estados con guía: QR enviado, recepcionado, ruta de stock o proveedor y cierre</t>
  </si>
  <si>
    <t xml:space="preserve">T-6.02</t>
  </si>
  <si>
    <t xml:space="preserve">Ruta de los casos con factura de reserva</t>
  </si>
  <si>
    <t xml:space="preserve">T-6.03</t>
  </si>
  <si>
    <t xml:space="preserve">Notificaciones y observaciones visibles en cada cambio de estado</t>
  </si>
  <si>
    <t xml:space="preserve">T-6.04</t>
  </si>
  <si>
    <t xml:space="preserve">Cierre exclusivo del autorizador con resolución final</t>
  </si>
  <si>
    <t xml:space="preserve">T-6.05</t>
  </si>
  <si>
    <t xml:space="preserve">Pruebas automatizadas y ejecución de CP-075 a CP-078</t>
  </si>
  <si>
    <t xml:space="preserve">T-6.06</t>
  </si>
  <si>
    <t xml:space="preserve">Integración final y corrección de incidencias abiertas</t>
  </si>
  <si>
    <t xml:space="preserve">T-6.07</t>
  </si>
  <si>
    <t xml:space="preserve">Regresión completa del producto</t>
  </si>
  <si>
    <t xml:space="preserve">T-6.08</t>
  </si>
  <si>
    <t xml:space="preserve">Validar el cierre de casos con la Jefatura de Posventa</t>
  </si>
  <si>
    <t xml:space="preserve">T-6.09</t>
  </si>
  <si>
    <t xml:space="preserve">Integrar develop en main, etiquetar v0.6.0 y preparar la demostración</t>
  </si>
  <si>
    <t xml:space="preserve">T-6.10</t>
  </si>
  <si>
    <t xml:space="preserve">C</t>
  </si>
  <si>
    <t xml:space="preserve">Cierre</t>
  </si>
  <si>
    <t xml:space="preserve">Elaboración de evidencias sanitizadas</t>
  </si>
  <si>
    <t xml:space="preserve">Preparación de la demostración y presentación final</t>
  </si>
  <si>
    <t xml:space="preserve">Fin del período del proyecto</t>
  </si>
  <si>
    <t xml:space="preserve">Tareas del Sprint Backlog</t>
  </si>
  <si>
    <t xml:space="preserve">Lista maestra de tareas de todos los sprints. Actualice la columna Estado; las fechas se calculan desde las fechas del sprint.</t>
  </si>
  <si>
    <t xml:space="preserve">Horas</t>
  </si>
  <si>
    <t xml:space="preserve">Semana</t>
  </si>
  <si>
    <t xml:space="preserve">Horas avanzadas</t>
  </si>
  <si>
    <t xml:space="preserve">Observaciones</t>
  </si>
  <si>
    <t xml:space="preserve">Terminado</t>
  </si>
  <si>
    <t xml:space="preserve">Transversal</t>
  </si>
  <si>
    <t xml:space="preserve">Por hacer</t>
  </si>
  <si>
    <t xml:space="preserve">Historias de usuario por sprint</t>
  </si>
  <si>
    <t xml:space="preserve">Fechas y avance calculados desde la hoja Tareas. Marque «Aceptada por PO» en la Sprint Review.</t>
  </si>
  <si>
    <t xml:space="preserve">Título</t>
  </si>
  <si>
    <t xml:space="preserve">Épica</t>
  </si>
  <si>
    <t xml:space="preserve">SP</t>
  </si>
  <si>
    <t xml:space="preserve">Prioridad</t>
  </si>
  <si>
    <t xml:space="preserve">Dependencias</t>
  </si>
  <si>
    <t xml:space="preserve">Responsables</t>
  </si>
  <si>
    <t xml:space="preserve">Casos de prueba</t>
  </si>
  <si>
    <t xml:space="preserve">Aceptada por PO</t>
  </si>
  <si>
    <t xml:space="preserve">EP-01</t>
  </si>
  <si>
    <t xml:space="preserve">Alta</t>
  </si>
  <si>
    <t xml:space="preserve">Ninguna</t>
  </si>
  <si>
    <t xml:space="preserve">CP-001 a CP-003</t>
  </si>
  <si>
    <t xml:space="preserve">Sí</t>
  </si>
  <si>
    <t xml:space="preserve">CP-004 a CP-006</t>
  </si>
  <si>
    <t xml:space="preserve">CP-007 a CP-010</t>
  </si>
  <si>
    <t xml:space="preserve">HU-002, HU-003</t>
  </si>
  <si>
    <t xml:space="preserve">CP-011 a CP-014</t>
  </si>
  <si>
    <t xml:space="preserve">EP-02</t>
  </si>
  <si>
    <t xml:space="preserve">HU-003, HU-004</t>
  </si>
  <si>
    <t xml:space="preserve">CP-015 a CP-018</t>
  </si>
  <si>
    <t xml:space="preserve">CP-019 a CP-022</t>
  </si>
  <si>
    <t xml:space="preserve">CP-023 a CP-026</t>
  </si>
  <si>
    <t xml:space="preserve">EP-04</t>
  </si>
  <si>
    <t xml:space="preserve">HU-005, HU-006</t>
  </si>
  <si>
    <t xml:space="preserve">CP-043 a CP-046</t>
  </si>
  <si>
    <t xml:space="preserve">EP-05</t>
  </si>
  <si>
    <t xml:space="preserve">CP-055 a CP-058</t>
  </si>
  <si>
    <t xml:space="preserve">EP-03</t>
  </si>
  <si>
    <t xml:space="preserve">HU-004, HU-015</t>
  </si>
  <si>
    <t xml:space="preserve">CP-027 a CP-030</t>
  </si>
  <si>
    <t xml:space="preserve">HU-004, HU-008</t>
  </si>
  <si>
    <t xml:space="preserve">CP-031 a CP-034</t>
  </si>
  <si>
    <t xml:space="preserve">HU-006, HU-012</t>
  </si>
  <si>
    <t xml:space="preserve">CP-047 a CP-050</t>
  </si>
  <si>
    <t xml:space="preserve">CP-035 a CP-038</t>
  </si>
  <si>
    <t xml:space="preserve">No</t>
  </si>
  <si>
    <t xml:space="preserve">CP-059 a CP-062</t>
  </si>
  <si>
    <t xml:space="preserve">CP-063 a CP-066</t>
  </si>
  <si>
    <t xml:space="preserve">HU-010, HU-016, HU-017</t>
  </si>
  <si>
    <t xml:space="preserve">CP-039 a CP-042</t>
  </si>
  <si>
    <t xml:space="preserve">EP-06</t>
  </si>
  <si>
    <t xml:space="preserve">HU-003, HU-004, HU-015</t>
  </si>
  <si>
    <t xml:space="preserve">CP-067 a CP-070</t>
  </si>
  <si>
    <t xml:space="preserve">HU-018, HU-012, HU-013</t>
  </si>
  <si>
    <t xml:space="preserve">CP-071 a CP-074</t>
  </si>
  <si>
    <t xml:space="preserve">HU-006, HU-011, HU-019</t>
  </si>
  <si>
    <t xml:space="preserve">CP-051 a CP-054</t>
  </si>
  <si>
    <t xml:space="preserve">HU-019, HU-014</t>
  </si>
  <si>
    <t xml:space="preserve">CP-075 a CP-078</t>
  </si>
  <si>
    <t xml:space="preserve">Fechas calculadas desde las fechas de cada sprint. El Daily Scrum se realiza de lunes a viernes a las 21:00 (15 min).</t>
  </si>
  <si>
    <t xml:space="preserve">Fecha</t>
  </si>
  <si>
    <t xml:space="preserve">Duración máxima</t>
  </si>
  <si>
    <t xml:space="preserve">Participantes</t>
  </si>
  <si>
    <t xml:space="preserve">Registro</t>
  </si>
  <si>
    <t xml:space="preserve">Realizado</t>
  </si>
  <si>
    <t xml:space="preserve">Sprint Planning</t>
  </si>
  <si>
    <t xml:space="preserve">2 h</t>
  </si>
  <si>
    <t xml:space="preserve">Secciones 1 a 7 del Expediente</t>
  </si>
  <si>
    <t xml:space="preserve">Refinamiento del Product Backlog</t>
  </si>
  <si>
    <t xml:space="preserve">45 min</t>
  </si>
  <si>
    <t xml:space="preserve">Scrum Team y usuarios clave</t>
  </si>
  <si>
    <t xml:space="preserve">Product Backlog actualizado</t>
  </si>
  <si>
    <t xml:space="preserve">Integración y congelamiento</t>
  </si>
  <si>
    <t xml:space="preserve">—</t>
  </si>
  <si>
    <t xml:space="preserve">Developers</t>
  </si>
  <si>
    <t xml:space="preserve">develop estable para la demostración</t>
  </si>
  <si>
    <t xml:space="preserve">Sprint Review</t>
  </si>
  <si>
    <t xml:space="preserve">1 h</t>
  </si>
  <si>
    <t xml:space="preserve">Scrum Team y stakeholders</t>
  </si>
  <si>
    <t xml:space="preserve">Secciones 11 a 13 del Expediente</t>
  </si>
  <si>
    <t xml:space="preserve">Sprint Retrospective</t>
  </si>
  <si>
    <t xml:space="preserve">Secciones 14 y 15 del Expediente</t>
  </si>
  <si>
    <t xml:space="preserve">30 min</t>
  </si>
  <si>
    <t xml:space="preserve">Capacidad por sprint e integrante</t>
  </si>
  <si>
    <t xml:space="preserve">Horas disponibles = dedicación (3 h por día hábil + 3 h el sábado) − eventos Scrum − rol de PO o SM. Comprometido y avanzado se calculan desde Tareas.</t>
  </si>
  <si>
    <t xml:space="preserve">Integrante</t>
  </si>
  <si>
    <t xml:space="preserve">Rol</t>
  </si>
  <si>
    <t xml:space="preserve">Disponible (h)</t>
  </si>
  <si>
    <t xml:space="preserve">Comprometido (h)</t>
  </si>
  <si>
    <t xml:space="preserve">% de uso</t>
  </si>
  <si>
    <t xml:space="preserve">Avanzado (h)</t>
  </si>
  <si>
    <t xml:space="preserve">Configuración</t>
  </si>
  <si>
    <t xml:space="preserve">Listas usadas por las fórmulas. Los valores en azul pueden editarse.</t>
  </si>
  <si>
    <t xml:space="preserve">Descripción</t>
  </si>
  <si>
    <t xml:space="preserve">Estado de tarea</t>
  </si>
  <si>
    <t xml:space="preserve">% de avance</t>
  </si>
  <si>
    <t xml:space="preserve">Fiestas Patrias</t>
  </si>
  <si>
    <t xml:space="preserve">Día de las Glorias del Ejército</t>
  </si>
  <si>
    <t xml:space="preserve">En curso</t>
  </si>
  <si>
    <t xml:space="preserve">Encuentro de Dos Mundos</t>
  </si>
  <si>
    <t xml:space="preserve">En revisión</t>
  </si>
  <si>
    <t xml:space="preserve">Día de las Iglesias Evangélicas</t>
  </si>
  <si>
    <t xml:space="preserve">En pruebas</t>
  </si>
  <si>
    <t xml:space="preserve">Día de Todos los Santos</t>
  </si>
  <si>
    <t xml:space="preserve">Inmaculada Concepción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</si>
</sst>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General"/>
    <numFmt numFmtId="167" formatCode="dd/mm/yyyy"/>
    <numFmt numFmtId="168" formatCode="dd"/>
    <numFmt numFmtId="169" formatCode="dd/mm"/>
    <numFmt numFmtId="170" formatCode="0.0"/>
  </numFmts>
  <fonts count="21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55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C35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7A4A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7F8FA"/>
        <bgColor rgb="FFEEF3F9"/>
      </patternFill>
    </fill>
    <fill>
      <patternFill patternType="solid">
        <fgColor rgb="FF1C3557"/>
        <bgColor rgb="FF333399"/>
      </patternFill>
    </fill>
    <fill>
      <patternFill patternType="solid">
        <fgColor rgb="FFEEF3F9"/>
        <bgColor rgb="FFF7F8FA"/>
      </patternFill>
    </fill>
    <fill>
      <patternFill patternType="solid">
        <fgColor rgb="FF4470B8"/>
        <bgColor rgb="FF4F81BD"/>
      </patternFill>
    </fill>
    <fill>
      <patternFill patternType="solid">
        <fgColor rgb="FFC9D6EA"/>
        <bgColor rgb="FFD9D9D9"/>
      </patternFill>
    </fill>
    <fill>
      <patternFill patternType="solid">
        <fgColor rgb="FF70AD47"/>
        <bgColor rgb="FF878787"/>
      </patternFill>
    </fill>
    <fill>
      <patternFill patternType="solid">
        <fgColor rgb="FFFCE3B0"/>
        <bgColor rgb="FFFFEB9C"/>
      </patternFill>
    </fill>
    <fill>
      <patternFill patternType="solid">
        <fgColor rgb="FFF7A81B"/>
        <bgColor rgb="FFFFCC00"/>
      </patternFill>
    </fill>
    <fill>
      <patternFill patternType="solid">
        <fgColor rgb="FFD9D9D9"/>
        <bgColor rgb="FFC9D6EA"/>
      </patternFill>
    </fill>
    <fill>
      <patternFill patternType="solid">
        <fgColor rgb="FF7F7F7F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hair">
        <color rgb="FFE7E6E6"/>
      </left>
      <right style="hair">
        <color rgb="FFE7E6E6"/>
      </right>
      <top style="hair">
        <color rgb="FFE7E6E6"/>
      </top>
      <bottom style="hair">
        <color rgb="FFE7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3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1C3557"/>
        </patternFill>
      </fill>
    </dxf>
    <dxf>
      <fill>
        <patternFill>
          <bgColor rgb="FF4470B8"/>
        </patternFill>
      </fill>
    </dxf>
    <dxf>
      <fill>
        <patternFill>
          <bgColor rgb="FFC9D6EA"/>
        </patternFill>
      </fill>
    </dxf>
    <dxf>
      <fill>
        <patternFill>
          <bgColor rgb="FF7F7F7F"/>
        </patternFill>
      </fill>
    </dxf>
    <dxf>
      <fill>
        <patternFill>
          <bgColor rgb="FFBFBFBF"/>
        </patternFill>
      </fill>
    </dxf>
    <dxf>
      <fill>
        <patternFill>
          <bgColor rgb="FFF7A81B"/>
        </patternFill>
      </fill>
    </dxf>
    <dxf>
      <fill>
        <patternFill>
          <bgColor rgb="FFFCE3B0"/>
        </patternFill>
      </fill>
    </dxf>
    <dxf>
      <border diagonalUp="false" diagonalDown="false">
        <left style="medium">
          <color rgb="FFC00000"/>
        </left>
        <right style="medium">
          <color rgb="FFC00000"/>
        </right>
        <top/>
        <bottom/>
        <diagonal/>
      </border>
    </dxf>
    <dxf>
      <fill>
        <patternFill patternType="solid">
          <fgColor rgb="FF1C35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7F7F7F"/>
      <rgbColor rgb="FF9999FF"/>
      <rgbColor rgb="FFC0504D"/>
      <rgbColor rgb="FFF7F8FA"/>
      <rgbColor rgb="FFEEF3F9"/>
      <rgbColor rgb="FF660066"/>
      <rgbColor rgb="FFFF8080"/>
      <rgbColor rgb="FF0066CC"/>
      <rgbColor rgb="FFC9D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D9D9D9"/>
      <rgbColor rgb="FFFCE3B0"/>
      <rgbColor rgb="FFCC99FF"/>
      <rgbColor rgb="FFFFC7CE"/>
      <rgbColor rgb="FF4F81BD"/>
      <rgbColor rgb="FF33CCCC"/>
      <rgbColor rgb="FF99CC00"/>
      <rgbColor rgb="FFFFCC00"/>
      <rgbColor rgb="FFF7A81B"/>
      <rgbColor rgb="FFFF6600"/>
      <rgbColor rgb="FF4470B8"/>
      <rgbColor rgb="FF878787"/>
      <rgbColor rgb="FF1C3557"/>
      <rgbColor rgb="FF70AD47"/>
      <rgbColor rgb="FF003300"/>
      <rgbColor rgb="FF333300"/>
      <rgbColor rgb="FF7A4A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Story Points por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Resumen!I7</c:f>
              <c:strCache>
                <c:ptCount val="1"/>
                <c:pt idx="0">
                  <c:v>SP planificados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Resumen!$B$8:$B$13</c:f>
              <c:strCache>
                <c:ptCount val="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</c:strCache>
            </c:strRef>
          </c:cat>
          <c:val>
            <c:numRef>
              <c:f>Resumen!$I$8:$I$13</c:f>
              <c:numCache>
                <c:formatCode>General</c:formatCode>
                <c:ptCount val="6"/>
                <c:pt idx="0">
                  <c:v>29</c:v>
                </c:pt>
                <c:pt idx="1">
                  <c:v>26</c:v>
                </c:pt>
                <c:pt idx="2">
                  <c:v>29</c:v>
                </c:pt>
                <c:pt idx="3">
                  <c:v>29</c:v>
                </c:pt>
                <c:pt idx="4">
                  <c:v>24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Resumen!J7</c:f>
              <c:strCache>
                <c:ptCount val="1"/>
                <c:pt idx="0">
                  <c:v>SP terminados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Resumen!$B$8:$B$13</c:f>
              <c:strCache>
                <c:ptCount val="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</c:strCache>
            </c:strRef>
          </c:cat>
          <c:val>
            <c:numRef>
              <c:f>Resumen!$J$8:$J$13</c:f>
              <c:numCache>
                <c:formatCode>General</c:formatCode>
                <c:ptCount val="6"/>
                <c:pt idx="0">
                  <c:v>29</c:v>
                </c:pt>
                <c:pt idx="1">
                  <c:v>26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5121508"/>
        <c:axId val="59221237"/>
      </c:barChart>
      <c:catAx>
        <c:axId val="25121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21237"/>
        <c:crosses val="autoZero"/>
        <c:auto val="1"/>
        <c:lblAlgn val="ctr"/>
        <c:lblOffset val="100"/>
        <c:noMultiLvlLbl val="0"/>
      </c:catAx>
      <c:valAx>
        <c:axId val="59221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21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18360</xdr:rowOff>
    </xdr:from>
    <xdr:to>
      <xdr:col>6</xdr:col>
      <xdr:colOff>646560</xdr:colOff>
      <xdr:row>33</xdr:row>
      <xdr:rowOff>61560</xdr:rowOff>
    </xdr:to>
    <xdr:graphicFrame>
      <xdr:nvGraphicFramePr>
        <xdr:cNvPr id="0" name="Chart 1"/>
        <xdr:cNvGraphicFramePr/>
      </xdr:nvGraphicFramePr>
      <xdr:xfrm>
        <a:off x="154800" y="80200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Historias" displayName="TablaHistorias" ref="A4:P24" headerRowCount="1" totalsRowCount="0" totalsRowShown="0">
  <autoFilter ref="A4:P24"/>
  <tableColumns count="16">
    <tableColumn id="1" name="ID"/>
    <tableColumn id="2" name="Título"/>
    <tableColumn id="3" name="Épica"/>
    <tableColumn id="4" name="Sprint"/>
    <tableColumn id="5" name="SP"/>
    <tableColumn id="6" name="Prioridad"/>
    <tableColumn id="7" name="Dependencias"/>
    <tableColumn id="8" name="Responsables"/>
    <tableColumn id="9" name="Casos de prueba"/>
    <tableColumn id="10" name="Inicio"/>
    <tableColumn id="11" name="Término"/>
    <tableColumn id="12" name="Horas"/>
    <tableColumn id="13" name="Horas avanzadas"/>
    <tableColumn id="14" name="% avance"/>
    <tableColumn id="15" name="Aceptada por PO"/>
    <tableColumn id="16" name="Estado"/>
  </tableColumns>
</table>
</file>

<file path=xl/tables/table2.xml><?xml version="1.0" encoding="utf-8"?>
<table xmlns="http://schemas.openxmlformats.org/spreadsheetml/2006/main" id="2" name="TablaTareas" displayName="TablaTareas" ref="A4:M124" headerRowCount="1" totalsRowCount="0" totalsRowShown="0">
  <autoFilter ref="A4:M124"/>
  <tableColumns count="13">
    <tableColumn id="1" name="ID"/>
    <tableColumn id="2" name="Sprint"/>
    <tableColumn id="3" name="Historia"/>
    <tableColumn id="4" name="Tarea"/>
    <tableColumn id="5" name="Responsable"/>
    <tableColumn id="6" name="Horas"/>
    <tableColumn id="7" name="Semana"/>
    <tableColumn id="8" name="Inicio"/>
    <tableColumn id="9" name="Término"/>
    <tableColumn id="10" name="Estado"/>
    <tableColumn id="11" name="% avance"/>
    <tableColumn id="12" name="Horas avanzadas"/>
    <tableColumn id="13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1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52"/>
    <col collapsed="false" customWidth="true" hidden="false" outlineLevel="0" max="8" min="8" style="0" width="22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5" min="13" style="0" width="17"/>
    <col collapsed="false" customWidth="true" hidden="false" outlineLevel="0" max="16" min="16" style="0" width="9"/>
    <col collapsed="false" customWidth="true" hidden="false" outlineLevel="0" max="17" min="17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B4" s="3" t="s">
        <v>2</v>
      </c>
      <c r="C4" s="3"/>
      <c r="E4" s="3" t="s">
        <v>3</v>
      </c>
      <c r="F4" s="3"/>
      <c r="G4" s="3" t="s">
        <v>4</v>
      </c>
      <c r="H4" s="3"/>
      <c r="I4" s="3" t="s">
        <v>5</v>
      </c>
      <c r="J4" s="3"/>
      <c r="L4" s="3" t="s">
        <v>6</v>
      </c>
      <c r="M4" s="3"/>
    </row>
    <row r="5" customFormat="false" ht="25.5" hidden="false" customHeight="true" outlineLevel="0" collapsed="false">
      <c r="B5" s="4" t="n">
        <f aca="false">L14</f>
        <v>0.591639871382637</v>
      </c>
      <c r="C5" s="4"/>
      <c r="E5" s="5" t="str">
        <f aca="false">J14&amp;" de "&amp;I14</f>
        <v>84 de 145</v>
      </c>
      <c r="F5" s="5"/>
      <c r="G5" s="5" t="str">
        <f aca="false">COUNTIF(Historias!$P:$P,"Terminada")&amp;" de "&amp;COUNTA(Historias!$A$5:$A$200)</f>
        <v>12 de 20</v>
      </c>
      <c r="H5" s="5"/>
      <c r="I5" s="5" t="str">
        <f aca="true">IFERROR(LOOKUP(2,1/((TODAY()&gt;=C8:C13)*(TODAY()&lt;=D8:D13)),B8:B13),"Entre sprints")</f>
        <v>Entre sprints</v>
      </c>
      <c r="J5" s="5"/>
      <c r="L5" s="6" t="n">
        <f aca="true">TODAY()</f>
        <v>46307</v>
      </c>
      <c r="M5" s="6"/>
    </row>
    <row r="7" customFormat="false" ht="23.85" hidden="false" customHeight="false" outlineLevel="0" collapsed="false"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</row>
    <row r="8" customFormat="false" ht="66" hidden="false" customHeight="true" outlineLevel="0" collapsed="false">
      <c r="B8" s="8" t="s">
        <v>23</v>
      </c>
      <c r="C8" s="9" t="n">
        <v>46265</v>
      </c>
      <c r="D8" s="9" t="n">
        <v>46276</v>
      </c>
      <c r="E8" s="10" t="n">
        <f aca="false">NETWORKDAYS(C8,D8,Feriados)</f>
        <v>10</v>
      </c>
      <c r="F8" s="11" t="s">
        <v>24</v>
      </c>
      <c r="G8" s="11" t="s">
        <v>25</v>
      </c>
      <c r="H8" s="10" t="s">
        <v>26</v>
      </c>
      <c r="I8" s="10" t="n">
        <f aca="false">SUMIFS(Historias!$E:$E,Historias!$D:$D,B8)</f>
        <v>29</v>
      </c>
      <c r="J8" s="10" t="n">
        <f aca="false">SUMIFS(Historias!$E:$E,Historias!$D:$D,B8,Historias!$P:$P,"Terminada")</f>
        <v>29</v>
      </c>
      <c r="K8" s="10" t="n">
        <f aca="false">SUMIFS(Tareas!$F:$F,Tareas!$B:$B,B8)</f>
        <v>69</v>
      </c>
      <c r="L8" s="12" t="n">
        <f aca="false">IFERROR(SUMIFS(Tareas!$L:$L,Tareas!$B:$B,B8)/K8,0)</f>
        <v>1</v>
      </c>
      <c r="M8" s="10" t="s">
        <v>27</v>
      </c>
      <c r="N8" s="10" t="s">
        <v>28</v>
      </c>
      <c r="O8" s="10" t="s">
        <v>29</v>
      </c>
      <c r="P8" s="10" t="s">
        <v>30</v>
      </c>
      <c r="Q8" s="10" t="str">
        <f aca="true">IF(TODAY()&lt;C8,"Planificado",IF(TODAY()&lt;=D8,"En curso",IF(L8&gt;=1,"Cerrado","Cerrado con pendientes")))</f>
        <v>Cerrado</v>
      </c>
    </row>
    <row r="9" customFormat="false" ht="66" hidden="false" customHeight="true" outlineLevel="0" collapsed="false">
      <c r="B9" s="8" t="s">
        <v>31</v>
      </c>
      <c r="C9" s="9" t="n">
        <v>46279</v>
      </c>
      <c r="D9" s="9" t="n">
        <v>46290</v>
      </c>
      <c r="E9" s="10" t="n">
        <f aca="false">NETWORKDAYS(C9,D9,Feriados)</f>
        <v>9</v>
      </c>
      <c r="F9" s="11" t="s">
        <v>32</v>
      </c>
      <c r="G9" s="11" t="s">
        <v>33</v>
      </c>
      <c r="H9" s="10" t="s">
        <v>34</v>
      </c>
      <c r="I9" s="10" t="n">
        <f aca="false">SUMIFS(Historias!$E:$E,Historias!$D:$D,B9)</f>
        <v>26</v>
      </c>
      <c r="J9" s="10" t="n">
        <f aca="false">SUMIFS(Historias!$E:$E,Historias!$D:$D,B9,Historias!$P:$P,"Terminada")</f>
        <v>26</v>
      </c>
      <c r="K9" s="10" t="n">
        <f aca="false">SUMIFS(Tareas!$F:$F,Tareas!$B:$B,B9)</f>
        <v>56</v>
      </c>
      <c r="L9" s="12" t="n">
        <f aca="false">IFERROR(SUMIFS(Tareas!$L:$L,Tareas!$B:$B,B9)/K9,0)</f>
        <v>1</v>
      </c>
      <c r="M9" s="10" t="s">
        <v>28</v>
      </c>
      <c r="N9" s="10" t="s">
        <v>29</v>
      </c>
      <c r="O9" s="10" t="s">
        <v>27</v>
      </c>
      <c r="P9" s="10" t="s">
        <v>35</v>
      </c>
      <c r="Q9" s="10" t="str">
        <f aca="true">IF(TODAY()&lt;C9,"Planificado",IF(TODAY()&lt;=D9,"En curso",IF(L9&gt;=1,"Cerrado","Cerrado con pendientes")))</f>
        <v>Cerrado</v>
      </c>
    </row>
    <row r="10" customFormat="false" ht="66" hidden="false" customHeight="true" outlineLevel="0" collapsed="false">
      <c r="B10" s="8" t="s">
        <v>36</v>
      </c>
      <c r="C10" s="9" t="n">
        <v>46293</v>
      </c>
      <c r="D10" s="9" t="n">
        <v>46304</v>
      </c>
      <c r="E10" s="10" t="n">
        <f aca="false">NETWORKDAYS(C10,D10,Feriados)</f>
        <v>10</v>
      </c>
      <c r="F10" s="11" t="s">
        <v>37</v>
      </c>
      <c r="G10" s="11" t="s">
        <v>38</v>
      </c>
      <c r="H10" s="10" t="s">
        <v>39</v>
      </c>
      <c r="I10" s="10" t="n">
        <f aca="false">SUMIFS(Historias!$E:$E,Historias!$D:$D,B10)</f>
        <v>29</v>
      </c>
      <c r="J10" s="10" t="n">
        <f aca="false">SUMIFS(Historias!$E:$E,Historias!$D:$D,B10,Historias!$P:$P,"Terminada")</f>
        <v>29</v>
      </c>
      <c r="K10" s="10" t="n">
        <f aca="false">SUMIFS(Tareas!$F:$F,Tareas!$B:$B,B10)</f>
        <v>59</v>
      </c>
      <c r="L10" s="12" t="n">
        <f aca="false">IFERROR(SUMIFS(Tareas!$L:$L,Tareas!$B:$B,B10)/K10,0)</f>
        <v>1</v>
      </c>
      <c r="M10" s="10" t="s">
        <v>29</v>
      </c>
      <c r="N10" s="10" t="s">
        <v>27</v>
      </c>
      <c r="O10" s="10" t="s">
        <v>28</v>
      </c>
      <c r="P10" s="10" t="s">
        <v>40</v>
      </c>
      <c r="Q10" s="10" t="str">
        <f aca="true">IF(TODAY()&lt;C10,"Planificado",IF(TODAY()&lt;=D10,"En curso",IF(L10&gt;=1,"Cerrado","Cerrado con pendientes")))</f>
        <v>Cerrado</v>
      </c>
    </row>
    <row r="11" customFormat="false" ht="66" hidden="false" customHeight="true" outlineLevel="0" collapsed="false">
      <c r="B11" s="8" t="s">
        <v>41</v>
      </c>
      <c r="C11" s="9" t="n">
        <v>46308</v>
      </c>
      <c r="D11" s="9" t="n">
        <v>46318</v>
      </c>
      <c r="E11" s="10" t="n">
        <f aca="false">NETWORKDAYS(C11,D11,Feriados)</f>
        <v>9</v>
      </c>
      <c r="F11" s="11" t="s">
        <v>42</v>
      </c>
      <c r="G11" s="11" t="s">
        <v>43</v>
      </c>
      <c r="H11" s="10" t="s">
        <v>44</v>
      </c>
      <c r="I11" s="10" t="n">
        <f aca="false">SUMIFS(Historias!$E:$E,Historias!$D:$D,B11)</f>
        <v>29</v>
      </c>
      <c r="J11" s="10" t="n">
        <f aca="false">SUMIFS(Historias!$E:$E,Historias!$D:$D,B11,Historias!$P:$P,"Terminada")</f>
        <v>0</v>
      </c>
      <c r="K11" s="10" t="n">
        <f aca="false">SUMIFS(Tareas!$F:$F,Tareas!$B:$B,B11)</f>
        <v>55</v>
      </c>
      <c r="L11" s="12" t="n">
        <f aca="false">IFERROR(SUMIFS(Tareas!$L:$L,Tareas!$B:$B,B11)/K11,0)</f>
        <v>0</v>
      </c>
      <c r="M11" s="10" t="s">
        <v>27</v>
      </c>
      <c r="N11" s="10" t="s">
        <v>28</v>
      </c>
      <c r="O11" s="10" t="s">
        <v>29</v>
      </c>
      <c r="P11" s="10" t="s">
        <v>45</v>
      </c>
      <c r="Q11" s="10" t="str">
        <f aca="true">IF(TODAY()&lt;C11,"Planificado",IF(TODAY()&lt;=D11,"En curso",IF(L11&gt;=1,"Cerrado","Cerrado con pendientes")))</f>
        <v>Planificado</v>
      </c>
    </row>
    <row r="12" customFormat="false" ht="66" hidden="false" customHeight="true" outlineLevel="0" collapsed="false">
      <c r="B12" s="8" t="s">
        <v>46</v>
      </c>
      <c r="C12" s="9" t="n">
        <v>46321</v>
      </c>
      <c r="D12" s="9" t="n">
        <v>46332</v>
      </c>
      <c r="E12" s="10" t="n">
        <f aca="false">NETWORKDAYS(C12,D12,Feriados)</f>
        <v>10</v>
      </c>
      <c r="F12" s="11" t="s">
        <v>47</v>
      </c>
      <c r="G12" s="11" t="s">
        <v>48</v>
      </c>
      <c r="H12" s="10" t="s">
        <v>49</v>
      </c>
      <c r="I12" s="10" t="n">
        <f aca="false">SUMIFS(Historias!$E:$E,Historias!$D:$D,B12)</f>
        <v>24</v>
      </c>
      <c r="J12" s="10" t="n">
        <f aca="false">SUMIFS(Historias!$E:$E,Historias!$D:$D,B12,Historias!$P:$P,"Terminada")</f>
        <v>0</v>
      </c>
      <c r="K12" s="10" t="n">
        <f aca="false">SUMIFS(Tareas!$F:$F,Tareas!$B:$B,B12)</f>
        <v>51</v>
      </c>
      <c r="L12" s="12" t="n">
        <f aca="false">IFERROR(SUMIFS(Tareas!$L:$L,Tareas!$B:$B,B12)/K12,0)</f>
        <v>0</v>
      </c>
      <c r="M12" s="10" t="s">
        <v>28</v>
      </c>
      <c r="N12" s="10" t="s">
        <v>29</v>
      </c>
      <c r="O12" s="10" t="s">
        <v>27</v>
      </c>
      <c r="P12" s="10" t="s">
        <v>50</v>
      </c>
      <c r="Q12" s="10" t="str">
        <f aca="true">IF(TODAY()&lt;C12,"Planificado",IF(TODAY()&lt;=D12,"En curso",IF(L12&gt;=1,"Cerrado","Cerrado con pendientes")))</f>
        <v>Planificado</v>
      </c>
    </row>
    <row r="13" customFormat="false" ht="66" hidden="false" customHeight="true" outlineLevel="0" collapsed="false">
      <c r="B13" s="8" t="s">
        <v>51</v>
      </c>
      <c r="C13" s="9" t="n">
        <v>46335</v>
      </c>
      <c r="D13" s="9" t="n">
        <v>46339</v>
      </c>
      <c r="E13" s="10" t="n">
        <f aca="false">NETWORKDAYS(C13,D13,Feriados)</f>
        <v>5</v>
      </c>
      <c r="F13" s="11" t="s">
        <v>52</v>
      </c>
      <c r="G13" s="11" t="s">
        <v>53</v>
      </c>
      <c r="H13" s="10" t="s">
        <v>54</v>
      </c>
      <c r="I13" s="10" t="n">
        <f aca="false">SUMIFS(Historias!$E:$E,Historias!$D:$D,B13)</f>
        <v>8</v>
      </c>
      <c r="J13" s="10" t="n">
        <f aca="false">SUMIFS(Historias!$E:$E,Historias!$D:$D,B13,Historias!$P:$P,"Terminada")</f>
        <v>0</v>
      </c>
      <c r="K13" s="10" t="n">
        <f aca="false">SUMIFS(Tareas!$F:$F,Tareas!$B:$B,B13)</f>
        <v>21</v>
      </c>
      <c r="L13" s="12" t="n">
        <f aca="false">IFERROR(SUMIFS(Tareas!$L:$L,Tareas!$B:$B,B13)/K13,0)</f>
        <v>0</v>
      </c>
      <c r="M13" s="10" t="s">
        <v>29</v>
      </c>
      <c r="N13" s="10" t="s">
        <v>27</v>
      </c>
      <c r="O13" s="10" t="s">
        <v>28</v>
      </c>
      <c r="P13" s="10" t="s">
        <v>55</v>
      </c>
      <c r="Q13" s="10" t="str">
        <f aca="true">IF(TODAY()&lt;C13,"Planificado",IF(TODAY()&lt;=D13,"En curso",IF(L13&gt;=1,"Cerrado","Cerrado con pendientes")))</f>
        <v>Planificado</v>
      </c>
    </row>
    <row r="14" customFormat="false" ht="15" hidden="false" customHeight="false" outlineLevel="0" collapsed="false">
      <c r="B14" s="13" t="s">
        <v>56</v>
      </c>
      <c r="C14" s="14"/>
      <c r="D14" s="14"/>
      <c r="E14" s="14"/>
      <c r="F14" s="14"/>
      <c r="G14" s="14"/>
      <c r="H14" s="14"/>
      <c r="I14" s="8" t="n">
        <f aca="false">SUM(I8:I13)</f>
        <v>145</v>
      </c>
      <c r="J14" s="8" t="n">
        <f aca="false">SUM(J8:J13)</f>
        <v>84</v>
      </c>
      <c r="K14" s="8" t="n">
        <f aca="false">SUM(K8:K13)</f>
        <v>311</v>
      </c>
      <c r="L14" s="15" t="n">
        <f aca="false">IFERROR(SUMPRODUCT(K8:K13,L8:L13)/K14,0)</f>
        <v>0.591639871382637</v>
      </c>
      <c r="M14" s="14"/>
      <c r="N14" s="14"/>
      <c r="O14" s="14"/>
      <c r="P14" s="14"/>
      <c r="Q14" s="14"/>
    </row>
    <row r="16" customFormat="false" ht="15" hidden="false" customHeight="false" outlineLevel="0" collapsed="false">
      <c r="B16" s="16" t="s">
        <v>57</v>
      </c>
    </row>
    <row r="17" customFormat="false" ht="15" hidden="false" customHeight="false" outlineLevel="0" collapsed="false">
      <c r="B17" s="17" t="s">
        <v>58</v>
      </c>
    </row>
    <row r="18" customFormat="false" ht="15" hidden="false" customHeight="false" outlineLevel="0" collapsed="false">
      <c r="B18" s="17" t="s">
        <v>59</v>
      </c>
    </row>
    <row r="19" customFormat="false" ht="15" hidden="false" customHeight="false" outlineLevel="0" collapsed="false">
      <c r="B19" s="17" t="s">
        <v>60</v>
      </c>
    </row>
    <row r="20" customFormat="false" ht="15" hidden="false" customHeight="false" outlineLevel="0" collapsed="false">
      <c r="B20" s="17" t="s">
        <v>61</v>
      </c>
    </row>
  </sheetData>
  <mergeCells count="10">
    <mergeCell ref="B4:C4"/>
    <mergeCell ref="E4:F4"/>
    <mergeCell ref="G4:H4"/>
    <mergeCell ref="I4:J4"/>
    <mergeCell ref="L4:M4"/>
    <mergeCell ref="B5:C5"/>
    <mergeCell ref="E5:F5"/>
    <mergeCell ref="G5:H5"/>
    <mergeCell ref="I5:J5"/>
    <mergeCell ref="L5:M5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F1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6171875" defaultRowHeight="15" zeroHeight="false" outlineLevelRow="2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7"/>
    <col collapsed="false" customWidth="true" hidden="false" outlineLevel="0" max="7" min="7" style="0" width="5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84" min="10" style="0" width="3.2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3" customFormat="false" ht="15" hidden="false" customHeight="false" outlineLevel="0" collapsed="false">
      <c r="J3" s="18"/>
      <c r="K3" s="19" t="s">
        <v>7</v>
      </c>
      <c r="N3" s="20"/>
      <c r="O3" s="19" t="s">
        <v>64</v>
      </c>
      <c r="R3" s="21"/>
      <c r="S3" s="19" t="s">
        <v>65</v>
      </c>
      <c r="V3" s="22"/>
      <c r="W3" s="19" t="s">
        <v>66</v>
      </c>
      <c r="Z3" s="23"/>
      <c r="AA3" s="19" t="s">
        <v>67</v>
      </c>
      <c r="AD3" s="24"/>
      <c r="AE3" s="19" t="s">
        <v>68</v>
      </c>
      <c r="AH3" s="25"/>
      <c r="AI3" s="19" t="s">
        <v>69</v>
      </c>
    </row>
    <row r="4" customFormat="false" ht="15" hidden="false" customHeight="true" outlineLevel="0" collapsed="false">
      <c r="J4" s="26"/>
      <c r="K4" s="27" t="s">
        <v>70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 t="s">
        <v>71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 t="s">
        <v>72</v>
      </c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 t="s">
        <v>73</v>
      </c>
      <c r="BY4" s="27"/>
      <c r="BZ4" s="27"/>
      <c r="CA4" s="27"/>
      <c r="CB4" s="27"/>
      <c r="CC4" s="27"/>
      <c r="CD4" s="27"/>
      <c r="CE4" s="27"/>
      <c r="CF4" s="27"/>
    </row>
    <row r="5" customFormat="false" ht="15" hidden="false" customHeight="true" outlineLevel="0" collapsed="false">
      <c r="J5" s="28" t="s">
        <v>23</v>
      </c>
      <c r="K5" s="28"/>
      <c r="L5" s="28"/>
      <c r="M5" s="28"/>
      <c r="N5" s="28"/>
      <c r="O5" s="28"/>
      <c r="P5" s="28"/>
      <c r="Q5" s="28"/>
      <c r="R5" s="28"/>
      <c r="S5" s="28"/>
      <c r="T5" s="29" t="s">
        <v>31</v>
      </c>
      <c r="U5" s="29"/>
      <c r="V5" s="29"/>
      <c r="W5" s="29"/>
      <c r="X5" s="29"/>
      <c r="Y5" s="29"/>
      <c r="Z5" s="29"/>
      <c r="AA5" s="29"/>
      <c r="AB5" s="29"/>
      <c r="AC5" s="29"/>
      <c r="AD5" s="28" t="s">
        <v>36</v>
      </c>
      <c r="AE5" s="28"/>
      <c r="AF5" s="28"/>
      <c r="AG5" s="28"/>
      <c r="AH5" s="28"/>
      <c r="AI5" s="28"/>
      <c r="AJ5" s="28"/>
      <c r="AK5" s="28"/>
      <c r="AL5" s="28"/>
      <c r="AM5" s="28"/>
      <c r="AO5" s="29" t="s">
        <v>41</v>
      </c>
      <c r="AP5" s="29"/>
      <c r="AQ5" s="29"/>
      <c r="AR5" s="29"/>
      <c r="AS5" s="29"/>
      <c r="AT5" s="29"/>
      <c r="AU5" s="29"/>
      <c r="AV5" s="29"/>
      <c r="AW5" s="29"/>
      <c r="AX5" s="28" t="s">
        <v>46</v>
      </c>
      <c r="AY5" s="28"/>
      <c r="AZ5" s="28"/>
      <c r="BA5" s="28"/>
      <c r="BB5" s="28"/>
      <c r="BC5" s="28"/>
      <c r="BD5" s="28"/>
      <c r="BE5" s="28"/>
      <c r="BF5" s="28"/>
      <c r="BG5" s="28"/>
      <c r="BH5" s="29" t="s">
        <v>51</v>
      </c>
      <c r="BI5" s="29"/>
      <c r="BJ5" s="29"/>
      <c r="BK5" s="29"/>
      <c r="BL5" s="29"/>
      <c r="BM5" s="30" t="s">
        <v>74</v>
      </c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</row>
    <row r="6" customFormat="false" ht="15" hidden="false" customHeight="false" outlineLevel="0" collapsed="false">
      <c r="A6" s="7" t="s">
        <v>75</v>
      </c>
      <c r="B6" s="7" t="s">
        <v>76</v>
      </c>
      <c r="C6" s="7" t="s">
        <v>77</v>
      </c>
      <c r="D6" s="7" t="s">
        <v>78</v>
      </c>
      <c r="E6" s="7" t="s">
        <v>8</v>
      </c>
      <c r="F6" s="7" t="s">
        <v>79</v>
      </c>
      <c r="G6" s="7" t="s">
        <v>80</v>
      </c>
      <c r="H6" s="7" t="s">
        <v>17</v>
      </c>
      <c r="I6" s="7" t="s">
        <v>22</v>
      </c>
      <c r="J6" s="31" t="n">
        <v>46265</v>
      </c>
      <c r="K6" s="31" t="n">
        <v>46266</v>
      </c>
      <c r="L6" s="31" t="n">
        <v>46267</v>
      </c>
      <c r="M6" s="31" t="n">
        <v>46268</v>
      </c>
      <c r="N6" s="31" t="n">
        <v>46269</v>
      </c>
      <c r="O6" s="31" t="n">
        <v>46272</v>
      </c>
      <c r="P6" s="31" t="n">
        <v>46273</v>
      </c>
      <c r="Q6" s="31" t="n">
        <v>46274</v>
      </c>
      <c r="R6" s="31" t="n">
        <v>46275</v>
      </c>
      <c r="S6" s="31" t="n">
        <v>46276</v>
      </c>
      <c r="T6" s="31" t="n">
        <v>46279</v>
      </c>
      <c r="U6" s="31" t="n">
        <v>46280</v>
      </c>
      <c r="V6" s="31" t="n">
        <v>46281</v>
      </c>
      <c r="W6" s="31" t="n">
        <v>46282</v>
      </c>
      <c r="X6" s="31" t="n">
        <v>46283</v>
      </c>
      <c r="Y6" s="31" t="n">
        <v>46286</v>
      </c>
      <c r="Z6" s="31" t="n">
        <v>46287</v>
      </c>
      <c r="AA6" s="31" t="n">
        <v>46288</v>
      </c>
      <c r="AB6" s="31" t="n">
        <v>46289</v>
      </c>
      <c r="AC6" s="31" t="n">
        <v>46290</v>
      </c>
      <c r="AD6" s="31" t="n">
        <v>46293</v>
      </c>
      <c r="AE6" s="31" t="n">
        <v>46294</v>
      </c>
      <c r="AF6" s="31" t="n">
        <v>46295</v>
      </c>
      <c r="AG6" s="31" t="n">
        <v>46296</v>
      </c>
      <c r="AH6" s="31" t="n">
        <v>46297</v>
      </c>
      <c r="AI6" s="31" t="n">
        <v>46300</v>
      </c>
      <c r="AJ6" s="31" t="n">
        <v>46301</v>
      </c>
      <c r="AK6" s="31" t="n">
        <v>46302</v>
      </c>
      <c r="AL6" s="31" t="n">
        <v>46303</v>
      </c>
      <c r="AM6" s="31" t="n">
        <v>46304</v>
      </c>
      <c r="AN6" s="31" t="n">
        <v>46307</v>
      </c>
      <c r="AO6" s="31" t="n">
        <v>46308</v>
      </c>
      <c r="AP6" s="31" t="n">
        <v>46309</v>
      </c>
      <c r="AQ6" s="31" t="n">
        <v>46310</v>
      </c>
      <c r="AR6" s="31" t="n">
        <v>46311</v>
      </c>
      <c r="AS6" s="31" t="n">
        <v>46314</v>
      </c>
      <c r="AT6" s="31" t="n">
        <v>46315</v>
      </c>
      <c r="AU6" s="31" t="n">
        <v>46316</v>
      </c>
      <c r="AV6" s="31" t="n">
        <v>46317</v>
      </c>
      <c r="AW6" s="31" t="n">
        <v>46318</v>
      </c>
      <c r="AX6" s="31" t="n">
        <v>46321</v>
      </c>
      <c r="AY6" s="31" t="n">
        <v>46322</v>
      </c>
      <c r="AZ6" s="31" t="n">
        <v>46323</v>
      </c>
      <c r="BA6" s="31" t="n">
        <v>46324</v>
      </c>
      <c r="BB6" s="31" t="n">
        <v>46325</v>
      </c>
      <c r="BC6" s="31" t="n">
        <v>46328</v>
      </c>
      <c r="BD6" s="31" t="n">
        <v>46329</v>
      </c>
      <c r="BE6" s="31" t="n">
        <v>46330</v>
      </c>
      <c r="BF6" s="31" t="n">
        <v>46331</v>
      </c>
      <c r="BG6" s="31" t="n">
        <v>46332</v>
      </c>
      <c r="BH6" s="31" t="n">
        <v>46335</v>
      </c>
      <c r="BI6" s="31" t="n">
        <v>46336</v>
      </c>
      <c r="BJ6" s="31" t="n">
        <v>46337</v>
      </c>
      <c r="BK6" s="31" t="n">
        <v>46338</v>
      </c>
      <c r="BL6" s="31" t="n">
        <v>46339</v>
      </c>
      <c r="BM6" s="31" t="n">
        <v>46342</v>
      </c>
      <c r="BN6" s="31" t="n">
        <v>46343</v>
      </c>
      <c r="BO6" s="31" t="n">
        <v>46344</v>
      </c>
      <c r="BP6" s="31" t="n">
        <v>46345</v>
      </c>
      <c r="BQ6" s="31" t="n">
        <v>46346</v>
      </c>
      <c r="BR6" s="31" t="n">
        <v>46349</v>
      </c>
      <c r="BS6" s="31" t="n">
        <v>46350</v>
      </c>
      <c r="BT6" s="31" t="n">
        <v>46351</v>
      </c>
      <c r="BU6" s="31" t="n">
        <v>46352</v>
      </c>
      <c r="BV6" s="31" t="n">
        <v>46353</v>
      </c>
      <c r="BW6" s="31" t="n">
        <v>46356</v>
      </c>
      <c r="BX6" s="31" t="n">
        <v>46357</v>
      </c>
      <c r="BY6" s="31" t="n">
        <v>46358</v>
      </c>
      <c r="BZ6" s="31" t="n">
        <v>46359</v>
      </c>
      <c r="CA6" s="31" t="n">
        <v>46360</v>
      </c>
      <c r="CB6" s="31" t="n">
        <v>46363</v>
      </c>
      <c r="CC6" s="31" t="n">
        <v>46364</v>
      </c>
      <c r="CD6" s="31" t="n">
        <v>46365</v>
      </c>
      <c r="CE6" s="31" t="n">
        <v>46366</v>
      </c>
      <c r="CF6" s="31" t="n">
        <v>46367</v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2"/>
      <c r="H7" s="32"/>
      <c r="I7" s="32"/>
      <c r="J7" s="33" t="str">
        <f aca="false">MID("LMMJV",WEEKDAY(J6,2),1)</f>
        <v>L</v>
      </c>
      <c r="K7" s="33" t="str">
        <f aca="false">MID("LMMJV",WEEKDAY(K6,2),1)</f>
        <v>M</v>
      </c>
      <c r="L7" s="33" t="str">
        <f aca="false">MID("LMMJV",WEEKDAY(L6,2),1)</f>
        <v>M</v>
      </c>
      <c r="M7" s="33" t="str">
        <f aca="false">MID("LMMJV",WEEKDAY(M6,2),1)</f>
        <v>J</v>
      </c>
      <c r="N7" s="33" t="str">
        <f aca="false">MID("LMMJV",WEEKDAY(N6,2),1)</f>
        <v>V</v>
      </c>
      <c r="O7" s="33" t="str">
        <f aca="false">MID("LMMJV",WEEKDAY(O6,2),1)</f>
        <v>L</v>
      </c>
      <c r="P7" s="33" t="str">
        <f aca="false">MID("LMMJV",WEEKDAY(P6,2),1)</f>
        <v>M</v>
      </c>
      <c r="Q7" s="33" t="str">
        <f aca="false">MID("LMMJV",WEEKDAY(Q6,2),1)</f>
        <v>M</v>
      </c>
      <c r="R7" s="33" t="str">
        <f aca="false">MID("LMMJV",WEEKDAY(R6,2),1)</f>
        <v>J</v>
      </c>
      <c r="S7" s="33" t="str">
        <f aca="false">MID("LMMJV",WEEKDAY(S6,2),1)</f>
        <v>V</v>
      </c>
      <c r="T7" s="33" t="str">
        <f aca="false">MID("LMMJV",WEEKDAY(T6,2),1)</f>
        <v>L</v>
      </c>
      <c r="U7" s="33" t="str">
        <f aca="false">MID("LMMJV",WEEKDAY(U6,2),1)</f>
        <v>M</v>
      </c>
      <c r="V7" s="33" t="str">
        <f aca="false">MID("LMMJV",WEEKDAY(V6,2),1)</f>
        <v>M</v>
      </c>
      <c r="W7" s="33" t="str">
        <f aca="false">MID("LMMJV",WEEKDAY(W6,2),1)</f>
        <v>J</v>
      </c>
      <c r="X7" s="33" t="str">
        <f aca="false">MID("LMMJV",WEEKDAY(X6,2),1)</f>
        <v>V</v>
      </c>
      <c r="Y7" s="33" t="str">
        <f aca="false">MID("LMMJV",WEEKDAY(Y6,2),1)</f>
        <v>L</v>
      </c>
      <c r="Z7" s="33" t="str">
        <f aca="false">MID("LMMJV",WEEKDAY(Z6,2),1)</f>
        <v>M</v>
      </c>
      <c r="AA7" s="33" t="str">
        <f aca="false">MID("LMMJV",WEEKDAY(AA6,2),1)</f>
        <v>M</v>
      </c>
      <c r="AB7" s="33" t="str">
        <f aca="false">MID("LMMJV",WEEKDAY(AB6,2),1)</f>
        <v>J</v>
      </c>
      <c r="AC7" s="33" t="str">
        <f aca="false">MID("LMMJV",WEEKDAY(AC6,2),1)</f>
        <v>V</v>
      </c>
      <c r="AD7" s="33" t="str">
        <f aca="false">MID("LMMJV",WEEKDAY(AD6,2),1)</f>
        <v>L</v>
      </c>
      <c r="AE7" s="33" t="str">
        <f aca="false">MID("LMMJV",WEEKDAY(AE6,2),1)</f>
        <v>M</v>
      </c>
      <c r="AF7" s="33" t="str">
        <f aca="false">MID("LMMJV",WEEKDAY(AF6,2),1)</f>
        <v>M</v>
      </c>
      <c r="AG7" s="33" t="str">
        <f aca="false">MID("LMMJV",WEEKDAY(AG6,2),1)</f>
        <v>J</v>
      </c>
      <c r="AH7" s="33" t="str">
        <f aca="false">MID("LMMJV",WEEKDAY(AH6,2),1)</f>
        <v>V</v>
      </c>
      <c r="AI7" s="33" t="str">
        <f aca="false">MID("LMMJV",WEEKDAY(AI6,2),1)</f>
        <v>L</v>
      </c>
      <c r="AJ7" s="33" t="str">
        <f aca="false">MID("LMMJV",WEEKDAY(AJ6,2),1)</f>
        <v>M</v>
      </c>
      <c r="AK7" s="33" t="str">
        <f aca="false">MID("LMMJV",WEEKDAY(AK6,2),1)</f>
        <v>M</v>
      </c>
      <c r="AL7" s="33" t="str">
        <f aca="false">MID("LMMJV",WEEKDAY(AL6,2),1)</f>
        <v>J</v>
      </c>
      <c r="AM7" s="33" t="str">
        <f aca="false">MID("LMMJV",WEEKDAY(AM6,2),1)</f>
        <v>V</v>
      </c>
      <c r="AN7" s="33" t="str">
        <f aca="false">MID("LMMJV",WEEKDAY(AN6,2),1)</f>
        <v>L</v>
      </c>
      <c r="AO7" s="33" t="str">
        <f aca="false">MID("LMMJV",WEEKDAY(AO6,2),1)</f>
        <v>M</v>
      </c>
      <c r="AP7" s="33" t="str">
        <f aca="false">MID("LMMJV",WEEKDAY(AP6,2),1)</f>
        <v>M</v>
      </c>
      <c r="AQ7" s="33" t="str">
        <f aca="false">MID("LMMJV",WEEKDAY(AQ6,2),1)</f>
        <v>J</v>
      </c>
      <c r="AR7" s="33" t="str">
        <f aca="false">MID("LMMJV",WEEKDAY(AR6,2),1)</f>
        <v>V</v>
      </c>
      <c r="AS7" s="33" t="str">
        <f aca="false">MID("LMMJV",WEEKDAY(AS6,2),1)</f>
        <v>L</v>
      </c>
      <c r="AT7" s="33" t="str">
        <f aca="false">MID("LMMJV",WEEKDAY(AT6,2),1)</f>
        <v>M</v>
      </c>
      <c r="AU7" s="33" t="str">
        <f aca="false">MID("LMMJV",WEEKDAY(AU6,2),1)</f>
        <v>M</v>
      </c>
      <c r="AV7" s="33" t="str">
        <f aca="false">MID("LMMJV",WEEKDAY(AV6,2),1)</f>
        <v>J</v>
      </c>
      <c r="AW7" s="33" t="str">
        <f aca="false">MID("LMMJV",WEEKDAY(AW6,2),1)</f>
        <v>V</v>
      </c>
      <c r="AX7" s="33" t="str">
        <f aca="false">MID("LMMJV",WEEKDAY(AX6,2),1)</f>
        <v>L</v>
      </c>
      <c r="AY7" s="33" t="str">
        <f aca="false">MID("LMMJV",WEEKDAY(AY6,2),1)</f>
        <v>M</v>
      </c>
      <c r="AZ7" s="33" t="str">
        <f aca="false">MID("LMMJV",WEEKDAY(AZ6,2),1)</f>
        <v>M</v>
      </c>
      <c r="BA7" s="33" t="str">
        <f aca="false">MID("LMMJV",WEEKDAY(BA6,2),1)</f>
        <v>J</v>
      </c>
      <c r="BB7" s="33" t="str">
        <f aca="false">MID("LMMJV",WEEKDAY(BB6,2),1)</f>
        <v>V</v>
      </c>
      <c r="BC7" s="33" t="str">
        <f aca="false">MID("LMMJV",WEEKDAY(BC6,2),1)</f>
        <v>L</v>
      </c>
      <c r="BD7" s="33" t="str">
        <f aca="false">MID("LMMJV",WEEKDAY(BD6,2),1)</f>
        <v>M</v>
      </c>
      <c r="BE7" s="33" t="str">
        <f aca="false">MID("LMMJV",WEEKDAY(BE6,2),1)</f>
        <v>M</v>
      </c>
      <c r="BF7" s="33" t="str">
        <f aca="false">MID("LMMJV",WEEKDAY(BF6,2),1)</f>
        <v>J</v>
      </c>
      <c r="BG7" s="33" t="str">
        <f aca="false">MID("LMMJV",WEEKDAY(BG6,2),1)</f>
        <v>V</v>
      </c>
      <c r="BH7" s="33" t="str">
        <f aca="false">MID("LMMJV",WEEKDAY(BH6,2),1)</f>
        <v>L</v>
      </c>
      <c r="BI7" s="33" t="str">
        <f aca="false">MID("LMMJV",WEEKDAY(BI6,2),1)</f>
        <v>M</v>
      </c>
      <c r="BJ7" s="33" t="str">
        <f aca="false">MID("LMMJV",WEEKDAY(BJ6,2),1)</f>
        <v>M</v>
      </c>
      <c r="BK7" s="33" t="str">
        <f aca="false">MID("LMMJV",WEEKDAY(BK6,2),1)</f>
        <v>J</v>
      </c>
      <c r="BL7" s="33" t="str">
        <f aca="false">MID("LMMJV",WEEKDAY(BL6,2),1)</f>
        <v>V</v>
      </c>
      <c r="BM7" s="33" t="str">
        <f aca="false">MID("LMMJV",WEEKDAY(BM6,2),1)</f>
        <v>L</v>
      </c>
      <c r="BN7" s="33" t="str">
        <f aca="false">MID("LMMJV",WEEKDAY(BN6,2),1)</f>
        <v>M</v>
      </c>
      <c r="BO7" s="33" t="str">
        <f aca="false">MID("LMMJV",WEEKDAY(BO6,2),1)</f>
        <v>M</v>
      </c>
      <c r="BP7" s="33" t="str">
        <f aca="false">MID("LMMJV",WEEKDAY(BP6,2),1)</f>
        <v>J</v>
      </c>
      <c r="BQ7" s="33" t="str">
        <f aca="false">MID("LMMJV",WEEKDAY(BQ6,2),1)</f>
        <v>V</v>
      </c>
      <c r="BR7" s="33" t="str">
        <f aca="false">MID("LMMJV",WEEKDAY(BR6,2),1)</f>
        <v>L</v>
      </c>
      <c r="BS7" s="33" t="str">
        <f aca="false">MID("LMMJV",WEEKDAY(BS6,2),1)</f>
        <v>M</v>
      </c>
      <c r="BT7" s="33" t="str">
        <f aca="false">MID("LMMJV",WEEKDAY(BT6,2),1)</f>
        <v>M</v>
      </c>
      <c r="BU7" s="33" t="str">
        <f aca="false">MID("LMMJV",WEEKDAY(BU6,2),1)</f>
        <v>J</v>
      </c>
      <c r="BV7" s="33" t="str">
        <f aca="false">MID("LMMJV",WEEKDAY(BV6,2),1)</f>
        <v>V</v>
      </c>
      <c r="BW7" s="33" t="str">
        <f aca="false">MID("LMMJV",WEEKDAY(BW6,2),1)</f>
        <v>L</v>
      </c>
      <c r="BX7" s="33" t="str">
        <f aca="false">MID("LMMJV",WEEKDAY(BX6,2),1)</f>
        <v>M</v>
      </c>
      <c r="BY7" s="33" t="str">
        <f aca="false">MID("LMMJV",WEEKDAY(BY6,2),1)</f>
        <v>M</v>
      </c>
      <c r="BZ7" s="33" t="str">
        <f aca="false">MID("LMMJV",WEEKDAY(BZ6,2),1)</f>
        <v>J</v>
      </c>
      <c r="CA7" s="33" t="str">
        <f aca="false">MID("LMMJV",WEEKDAY(CA6,2),1)</f>
        <v>V</v>
      </c>
      <c r="CB7" s="33" t="str">
        <f aca="false">MID("LMMJV",WEEKDAY(CB6,2),1)</f>
        <v>L</v>
      </c>
      <c r="CC7" s="33" t="str">
        <f aca="false">MID("LMMJV",WEEKDAY(CC6,2),1)</f>
        <v>M</v>
      </c>
      <c r="CD7" s="33" t="str">
        <f aca="false">MID("LMMJV",WEEKDAY(CD6,2),1)</f>
        <v>M</v>
      </c>
      <c r="CE7" s="33" t="str">
        <f aca="false">MID("LMMJV",WEEKDAY(CE6,2),1)</f>
        <v>J</v>
      </c>
      <c r="CF7" s="33" t="str">
        <f aca="false">MID("LMMJV",WEEKDAY(CF6,2),1)</f>
        <v>V</v>
      </c>
    </row>
    <row r="8" customFormat="false" ht="15" hidden="false" customHeight="false" outlineLevel="0" collapsed="false">
      <c r="A8" s="8" t="s">
        <v>81</v>
      </c>
      <c r="B8" s="34" t="s">
        <v>82</v>
      </c>
      <c r="C8" s="8" t="s">
        <v>7</v>
      </c>
      <c r="D8" s="8" t="s">
        <v>83</v>
      </c>
      <c r="E8" s="35" t="n">
        <f aca="false">Resumen!C8</f>
        <v>46265</v>
      </c>
      <c r="F8" s="35" t="n">
        <f aca="false">Resumen!D8</f>
        <v>46276</v>
      </c>
      <c r="G8" s="8" t="n">
        <f aca="false">NETWORKDAYS(E8,F8,Feriados)</f>
        <v>10</v>
      </c>
      <c r="H8" s="15" t="n">
        <f aca="false">Resumen!L8</f>
        <v>1</v>
      </c>
      <c r="I8" s="8" t="str">
        <f aca="false">Resumen!Q8</f>
        <v>Cerrado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</row>
    <row r="9" customFormat="false" ht="15" hidden="false" customHeight="false" outlineLevel="1" collapsed="false">
      <c r="A9" s="37"/>
      <c r="B9" s="38" t="s">
        <v>84</v>
      </c>
      <c r="C9" s="37" t="s">
        <v>85</v>
      </c>
      <c r="D9" s="37" t="s">
        <v>86</v>
      </c>
      <c r="E9" s="39"/>
      <c r="F9" s="39"/>
      <c r="G9" s="37"/>
      <c r="H9" s="40"/>
      <c r="I9" s="37"/>
      <c r="J9" s="41" t="str">
        <f aca="false">IF(J$6=Eventos!$C$6,"F",IF(J$6=Eventos!$C$5,"P",IF(J$6=Eventos!$C$7,"C",IF(J$6=Eventos!$C$8,"R",""))))</f>
        <v>P</v>
      </c>
      <c r="K9" s="41" t="str">
        <f aca="false">IF(K$6=Eventos!$C$6,"F",IF(K$6=Eventos!$C$5,"P",IF(K$6=Eventos!$C$7,"C",IF(K$6=Eventos!$C$8,"R",""))))</f>
        <v/>
      </c>
      <c r="L9" s="41" t="str">
        <f aca="false">IF(L$6=Eventos!$C$6,"F",IF(L$6=Eventos!$C$5,"P",IF(L$6=Eventos!$C$7,"C",IF(L$6=Eventos!$C$8,"R",""))))</f>
        <v/>
      </c>
      <c r="M9" s="41" t="str">
        <f aca="false">IF(M$6=Eventos!$C$6,"F",IF(M$6=Eventos!$C$5,"P",IF(M$6=Eventos!$C$7,"C",IF(M$6=Eventos!$C$8,"R",""))))</f>
        <v/>
      </c>
      <c r="N9" s="41" t="str">
        <f aca="false">IF(N$6=Eventos!$C$6,"F",IF(N$6=Eventos!$C$5,"P",IF(N$6=Eventos!$C$7,"C",IF(N$6=Eventos!$C$8,"R",""))))</f>
        <v/>
      </c>
      <c r="O9" s="41" t="str">
        <f aca="false">IF(O$6=Eventos!$C$6,"F",IF(O$6=Eventos!$C$5,"P",IF(O$6=Eventos!$C$7,"C",IF(O$6=Eventos!$C$8,"R",""))))</f>
        <v>F</v>
      </c>
      <c r="P9" s="41" t="str">
        <f aca="false">IF(P$6=Eventos!$C$6,"F",IF(P$6=Eventos!$C$5,"P",IF(P$6=Eventos!$C$7,"C",IF(P$6=Eventos!$C$8,"R",""))))</f>
        <v/>
      </c>
      <c r="Q9" s="41" t="str">
        <f aca="false">IF(Q$6=Eventos!$C$6,"F",IF(Q$6=Eventos!$C$5,"P",IF(Q$6=Eventos!$C$7,"C",IF(Q$6=Eventos!$C$8,"R",""))))</f>
        <v/>
      </c>
      <c r="R9" s="41" t="str">
        <f aca="false">IF(R$6=Eventos!$C$6,"F",IF(R$6=Eventos!$C$5,"P",IF(R$6=Eventos!$C$7,"C",IF(R$6=Eventos!$C$8,"R",""))))</f>
        <v>C</v>
      </c>
      <c r="S9" s="41" t="str">
        <f aca="false">IF(S$6=Eventos!$C$6,"F",IF(S$6=Eventos!$C$5,"P",IF(S$6=Eventos!$C$7,"C",IF(S$6=Eventos!$C$8,"R",""))))</f>
        <v>R</v>
      </c>
      <c r="T9" s="41" t="str">
        <f aca="false">IF(T$6=Eventos!$C$6,"F",IF(T$6=Eventos!$C$5,"P",IF(T$6=Eventos!$C$7,"C",IF(T$6=Eventos!$C$8,"R",""))))</f>
        <v/>
      </c>
      <c r="U9" s="41" t="str">
        <f aca="false">IF(U$6=Eventos!$C$6,"F",IF(U$6=Eventos!$C$5,"P",IF(U$6=Eventos!$C$7,"C",IF(U$6=Eventos!$C$8,"R",""))))</f>
        <v/>
      </c>
      <c r="V9" s="41" t="str">
        <f aca="false">IF(V$6=Eventos!$C$6,"F",IF(V$6=Eventos!$C$5,"P",IF(V$6=Eventos!$C$7,"C",IF(V$6=Eventos!$C$8,"R",""))))</f>
        <v/>
      </c>
      <c r="W9" s="41" t="str">
        <f aca="false">IF(W$6=Eventos!$C$6,"F",IF(W$6=Eventos!$C$5,"P",IF(W$6=Eventos!$C$7,"C",IF(W$6=Eventos!$C$8,"R",""))))</f>
        <v/>
      </c>
      <c r="X9" s="41" t="str">
        <f aca="false">IF(X$6=Eventos!$C$6,"F",IF(X$6=Eventos!$C$5,"P",IF(X$6=Eventos!$C$7,"C",IF(X$6=Eventos!$C$8,"R",""))))</f>
        <v/>
      </c>
      <c r="Y9" s="41" t="str">
        <f aca="false">IF(Y$6=Eventos!$C$6,"F",IF(Y$6=Eventos!$C$5,"P",IF(Y$6=Eventos!$C$7,"C",IF(Y$6=Eventos!$C$8,"R",""))))</f>
        <v/>
      </c>
      <c r="Z9" s="41" t="str">
        <f aca="false">IF(Z$6=Eventos!$C$6,"F",IF(Z$6=Eventos!$C$5,"P",IF(Z$6=Eventos!$C$7,"C",IF(Z$6=Eventos!$C$8,"R",""))))</f>
        <v/>
      </c>
      <c r="AA9" s="41" t="str">
        <f aca="false">IF(AA$6=Eventos!$C$6,"F",IF(AA$6=Eventos!$C$5,"P",IF(AA$6=Eventos!$C$7,"C",IF(AA$6=Eventos!$C$8,"R",""))))</f>
        <v/>
      </c>
      <c r="AB9" s="41" t="str">
        <f aca="false">IF(AB$6=Eventos!$C$6,"F",IF(AB$6=Eventos!$C$5,"P",IF(AB$6=Eventos!$C$7,"C",IF(AB$6=Eventos!$C$8,"R",""))))</f>
        <v/>
      </c>
      <c r="AC9" s="41" t="str">
        <f aca="false">IF(AC$6=Eventos!$C$6,"F",IF(AC$6=Eventos!$C$5,"P",IF(AC$6=Eventos!$C$7,"C",IF(AC$6=Eventos!$C$8,"R",""))))</f>
        <v/>
      </c>
      <c r="AD9" s="41" t="str">
        <f aca="false">IF(AD$6=Eventos!$C$6,"F",IF(AD$6=Eventos!$C$5,"P",IF(AD$6=Eventos!$C$7,"C",IF(AD$6=Eventos!$C$8,"R",""))))</f>
        <v/>
      </c>
      <c r="AE9" s="41" t="str">
        <f aca="false">IF(AE$6=Eventos!$C$6,"F",IF(AE$6=Eventos!$C$5,"P",IF(AE$6=Eventos!$C$7,"C",IF(AE$6=Eventos!$C$8,"R",""))))</f>
        <v/>
      </c>
      <c r="AF9" s="41" t="str">
        <f aca="false">IF(AF$6=Eventos!$C$6,"F",IF(AF$6=Eventos!$C$5,"P",IF(AF$6=Eventos!$C$7,"C",IF(AF$6=Eventos!$C$8,"R",""))))</f>
        <v/>
      </c>
      <c r="AG9" s="41" t="str">
        <f aca="false">IF(AG$6=Eventos!$C$6,"F",IF(AG$6=Eventos!$C$5,"P",IF(AG$6=Eventos!$C$7,"C",IF(AG$6=Eventos!$C$8,"R",""))))</f>
        <v/>
      </c>
      <c r="AH9" s="41" t="str">
        <f aca="false">IF(AH$6=Eventos!$C$6,"F",IF(AH$6=Eventos!$C$5,"P",IF(AH$6=Eventos!$C$7,"C",IF(AH$6=Eventos!$C$8,"R",""))))</f>
        <v/>
      </c>
      <c r="AI9" s="41" t="str">
        <f aca="false">IF(AI$6=Eventos!$C$6,"F",IF(AI$6=Eventos!$C$5,"P",IF(AI$6=Eventos!$C$7,"C",IF(AI$6=Eventos!$C$8,"R",""))))</f>
        <v/>
      </c>
      <c r="AJ9" s="41" t="str">
        <f aca="false">IF(AJ$6=Eventos!$C$6,"F",IF(AJ$6=Eventos!$C$5,"P",IF(AJ$6=Eventos!$C$7,"C",IF(AJ$6=Eventos!$C$8,"R",""))))</f>
        <v/>
      </c>
      <c r="AK9" s="41" t="str">
        <f aca="false">IF(AK$6=Eventos!$C$6,"F",IF(AK$6=Eventos!$C$5,"P",IF(AK$6=Eventos!$C$7,"C",IF(AK$6=Eventos!$C$8,"R",""))))</f>
        <v/>
      </c>
      <c r="AL9" s="41" t="str">
        <f aca="false">IF(AL$6=Eventos!$C$6,"F",IF(AL$6=Eventos!$C$5,"P",IF(AL$6=Eventos!$C$7,"C",IF(AL$6=Eventos!$C$8,"R",""))))</f>
        <v/>
      </c>
      <c r="AM9" s="41" t="str">
        <f aca="false">IF(AM$6=Eventos!$C$6,"F",IF(AM$6=Eventos!$C$5,"P",IF(AM$6=Eventos!$C$7,"C",IF(AM$6=Eventos!$C$8,"R",""))))</f>
        <v/>
      </c>
      <c r="AN9" s="41" t="str">
        <f aca="false">IF(AN$6=Eventos!$C$6,"F",IF(AN$6=Eventos!$C$5,"P",IF(AN$6=Eventos!$C$7,"C",IF(AN$6=Eventos!$C$8,"R",""))))</f>
        <v/>
      </c>
      <c r="AO9" s="41" t="str">
        <f aca="false">IF(AO$6=Eventos!$C$6,"F",IF(AO$6=Eventos!$C$5,"P",IF(AO$6=Eventos!$C$7,"C",IF(AO$6=Eventos!$C$8,"R",""))))</f>
        <v/>
      </c>
      <c r="AP9" s="41" t="str">
        <f aca="false">IF(AP$6=Eventos!$C$6,"F",IF(AP$6=Eventos!$C$5,"P",IF(AP$6=Eventos!$C$7,"C",IF(AP$6=Eventos!$C$8,"R",""))))</f>
        <v/>
      </c>
      <c r="AQ9" s="41" t="str">
        <f aca="false">IF(AQ$6=Eventos!$C$6,"F",IF(AQ$6=Eventos!$C$5,"P",IF(AQ$6=Eventos!$C$7,"C",IF(AQ$6=Eventos!$C$8,"R",""))))</f>
        <v/>
      </c>
      <c r="AR9" s="41" t="str">
        <f aca="false">IF(AR$6=Eventos!$C$6,"F",IF(AR$6=Eventos!$C$5,"P",IF(AR$6=Eventos!$C$7,"C",IF(AR$6=Eventos!$C$8,"R",""))))</f>
        <v/>
      </c>
      <c r="AS9" s="41" t="str">
        <f aca="false">IF(AS$6=Eventos!$C$6,"F",IF(AS$6=Eventos!$C$5,"P",IF(AS$6=Eventos!$C$7,"C",IF(AS$6=Eventos!$C$8,"R",""))))</f>
        <v/>
      </c>
      <c r="AT9" s="41" t="str">
        <f aca="false">IF(AT$6=Eventos!$C$6,"F",IF(AT$6=Eventos!$C$5,"P",IF(AT$6=Eventos!$C$7,"C",IF(AT$6=Eventos!$C$8,"R",""))))</f>
        <v/>
      </c>
      <c r="AU9" s="41" t="str">
        <f aca="false">IF(AU$6=Eventos!$C$6,"F",IF(AU$6=Eventos!$C$5,"P",IF(AU$6=Eventos!$C$7,"C",IF(AU$6=Eventos!$C$8,"R",""))))</f>
        <v/>
      </c>
      <c r="AV9" s="41" t="str">
        <f aca="false">IF(AV$6=Eventos!$C$6,"F",IF(AV$6=Eventos!$C$5,"P",IF(AV$6=Eventos!$C$7,"C",IF(AV$6=Eventos!$C$8,"R",""))))</f>
        <v/>
      </c>
      <c r="AW9" s="41" t="str">
        <f aca="false">IF(AW$6=Eventos!$C$6,"F",IF(AW$6=Eventos!$C$5,"P",IF(AW$6=Eventos!$C$7,"C",IF(AW$6=Eventos!$C$8,"R",""))))</f>
        <v/>
      </c>
      <c r="AX9" s="41" t="str">
        <f aca="false">IF(AX$6=Eventos!$C$6,"F",IF(AX$6=Eventos!$C$5,"P",IF(AX$6=Eventos!$C$7,"C",IF(AX$6=Eventos!$C$8,"R",""))))</f>
        <v/>
      </c>
      <c r="AY9" s="41" t="str">
        <f aca="false">IF(AY$6=Eventos!$C$6,"F",IF(AY$6=Eventos!$C$5,"P",IF(AY$6=Eventos!$C$7,"C",IF(AY$6=Eventos!$C$8,"R",""))))</f>
        <v/>
      </c>
      <c r="AZ9" s="41" t="str">
        <f aca="false">IF(AZ$6=Eventos!$C$6,"F",IF(AZ$6=Eventos!$C$5,"P",IF(AZ$6=Eventos!$C$7,"C",IF(AZ$6=Eventos!$C$8,"R",""))))</f>
        <v/>
      </c>
      <c r="BA9" s="41" t="str">
        <f aca="false">IF(BA$6=Eventos!$C$6,"F",IF(BA$6=Eventos!$C$5,"P",IF(BA$6=Eventos!$C$7,"C",IF(BA$6=Eventos!$C$8,"R",""))))</f>
        <v/>
      </c>
      <c r="BB9" s="41" t="str">
        <f aca="false">IF(BB$6=Eventos!$C$6,"F",IF(BB$6=Eventos!$C$5,"P",IF(BB$6=Eventos!$C$7,"C",IF(BB$6=Eventos!$C$8,"R",""))))</f>
        <v/>
      </c>
      <c r="BC9" s="41" t="str">
        <f aca="false">IF(BC$6=Eventos!$C$6,"F",IF(BC$6=Eventos!$C$5,"P",IF(BC$6=Eventos!$C$7,"C",IF(BC$6=Eventos!$C$8,"R",""))))</f>
        <v/>
      </c>
      <c r="BD9" s="41" t="str">
        <f aca="false">IF(BD$6=Eventos!$C$6,"F",IF(BD$6=Eventos!$C$5,"P",IF(BD$6=Eventos!$C$7,"C",IF(BD$6=Eventos!$C$8,"R",""))))</f>
        <v/>
      </c>
      <c r="BE9" s="41" t="str">
        <f aca="false">IF(BE$6=Eventos!$C$6,"F",IF(BE$6=Eventos!$C$5,"P",IF(BE$6=Eventos!$C$7,"C",IF(BE$6=Eventos!$C$8,"R",""))))</f>
        <v/>
      </c>
      <c r="BF9" s="41" t="str">
        <f aca="false">IF(BF$6=Eventos!$C$6,"F",IF(BF$6=Eventos!$C$5,"P",IF(BF$6=Eventos!$C$7,"C",IF(BF$6=Eventos!$C$8,"R",""))))</f>
        <v/>
      </c>
      <c r="BG9" s="41" t="str">
        <f aca="false">IF(BG$6=Eventos!$C$6,"F",IF(BG$6=Eventos!$C$5,"P",IF(BG$6=Eventos!$C$7,"C",IF(BG$6=Eventos!$C$8,"R",""))))</f>
        <v/>
      </c>
      <c r="BH9" s="41" t="str">
        <f aca="false">IF(BH$6=Eventos!$C$6,"F",IF(BH$6=Eventos!$C$5,"P",IF(BH$6=Eventos!$C$7,"C",IF(BH$6=Eventos!$C$8,"R",""))))</f>
        <v/>
      </c>
      <c r="BI9" s="41" t="str">
        <f aca="false">IF(BI$6=Eventos!$C$6,"F",IF(BI$6=Eventos!$C$5,"P",IF(BI$6=Eventos!$C$7,"C",IF(BI$6=Eventos!$C$8,"R",""))))</f>
        <v/>
      </c>
      <c r="BJ9" s="41" t="str">
        <f aca="false">IF(BJ$6=Eventos!$C$6,"F",IF(BJ$6=Eventos!$C$5,"P",IF(BJ$6=Eventos!$C$7,"C",IF(BJ$6=Eventos!$C$8,"R",""))))</f>
        <v/>
      </c>
      <c r="BK9" s="41" t="str">
        <f aca="false">IF(BK$6=Eventos!$C$6,"F",IF(BK$6=Eventos!$C$5,"P",IF(BK$6=Eventos!$C$7,"C",IF(BK$6=Eventos!$C$8,"R",""))))</f>
        <v/>
      </c>
      <c r="BL9" s="41" t="str">
        <f aca="false">IF(BL$6=Eventos!$C$6,"F",IF(BL$6=Eventos!$C$5,"P",IF(BL$6=Eventos!$C$7,"C",IF(BL$6=Eventos!$C$8,"R",""))))</f>
        <v/>
      </c>
      <c r="BM9" s="41" t="str">
        <f aca="false">IF(BM$6=Eventos!$C$6,"F",IF(BM$6=Eventos!$C$5,"P",IF(BM$6=Eventos!$C$7,"C",IF(BM$6=Eventos!$C$8,"R",""))))</f>
        <v/>
      </c>
      <c r="BN9" s="41" t="str">
        <f aca="false">IF(BN$6=Eventos!$C$6,"F",IF(BN$6=Eventos!$C$5,"P",IF(BN$6=Eventos!$C$7,"C",IF(BN$6=Eventos!$C$8,"R",""))))</f>
        <v/>
      </c>
      <c r="BO9" s="41" t="str">
        <f aca="false">IF(BO$6=Eventos!$C$6,"F",IF(BO$6=Eventos!$C$5,"P",IF(BO$6=Eventos!$C$7,"C",IF(BO$6=Eventos!$C$8,"R",""))))</f>
        <v/>
      </c>
      <c r="BP9" s="41" t="str">
        <f aca="false">IF(BP$6=Eventos!$C$6,"F",IF(BP$6=Eventos!$C$5,"P",IF(BP$6=Eventos!$C$7,"C",IF(BP$6=Eventos!$C$8,"R",""))))</f>
        <v/>
      </c>
      <c r="BQ9" s="41" t="str">
        <f aca="false">IF(BQ$6=Eventos!$C$6,"F",IF(BQ$6=Eventos!$C$5,"P",IF(BQ$6=Eventos!$C$7,"C",IF(BQ$6=Eventos!$C$8,"R",""))))</f>
        <v/>
      </c>
      <c r="BR9" s="41" t="str">
        <f aca="false">IF(BR$6=Eventos!$C$6,"F",IF(BR$6=Eventos!$C$5,"P",IF(BR$6=Eventos!$C$7,"C",IF(BR$6=Eventos!$C$8,"R",""))))</f>
        <v/>
      </c>
      <c r="BS9" s="41" t="str">
        <f aca="false">IF(BS$6=Eventos!$C$6,"F",IF(BS$6=Eventos!$C$5,"P",IF(BS$6=Eventos!$C$7,"C",IF(BS$6=Eventos!$C$8,"R",""))))</f>
        <v/>
      </c>
      <c r="BT9" s="41" t="str">
        <f aca="false">IF(BT$6=Eventos!$C$6,"F",IF(BT$6=Eventos!$C$5,"P",IF(BT$6=Eventos!$C$7,"C",IF(BT$6=Eventos!$C$8,"R",""))))</f>
        <v/>
      </c>
      <c r="BU9" s="41" t="str">
        <f aca="false">IF(BU$6=Eventos!$C$6,"F",IF(BU$6=Eventos!$C$5,"P",IF(BU$6=Eventos!$C$7,"C",IF(BU$6=Eventos!$C$8,"R",""))))</f>
        <v/>
      </c>
      <c r="BV9" s="41" t="str">
        <f aca="false">IF(BV$6=Eventos!$C$6,"F",IF(BV$6=Eventos!$C$5,"P",IF(BV$6=Eventos!$C$7,"C",IF(BV$6=Eventos!$C$8,"R",""))))</f>
        <v/>
      </c>
      <c r="BW9" s="41" t="str">
        <f aca="false">IF(BW$6=Eventos!$C$6,"F",IF(BW$6=Eventos!$C$5,"P",IF(BW$6=Eventos!$C$7,"C",IF(BW$6=Eventos!$C$8,"R",""))))</f>
        <v/>
      </c>
      <c r="BX9" s="41" t="str">
        <f aca="false">IF(BX$6=Eventos!$C$6,"F",IF(BX$6=Eventos!$C$5,"P",IF(BX$6=Eventos!$C$7,"C",IF(BX$6=Eventos!$C$8,"R",""))))</f>
        <v/>
      </c>
      <c r="BY9" s="41" t="str">
        <f aca="false">IF(BY$6=Eventos!$C$6,"F",IF(BY$6=Eventos!$C$5,"P",IF(BY$6=Eventos!$C$7,"C",IF(BY$6=Eventos!$C$8,"R",""))))</f>
        <v/>
      </c>
      <c r="BZ9" s="41" t="str">
        <f aca="false">IF(BZ$6=Eventos!$C$6,"F",IF(BZ$6=Eventos!$C$5,"P",IF(BZ$6=Eventos!$C$7,"C",IF(BZ$6=Eventos!$C$8,"R",""))))</f>
        <v/>
      </c>
      <c r="CA9" s="41" t="str">
        <f aca="false">IF(CA$6=Eventos!$C$6,"F",IF(CA$6=Eventos!$C$5,"P",IF(CA$6=Eventos!$C$7,"C",IF(CA$6=Eventos!$C$8,"R",""))))</f>
        <v/>
      </c>
      <c r="CB9" s="41" t="str">
        <f aca="false">IF(CB$6=Eventos!$C$6,"F",IF(CB$6=Eventos!$C$5,"P",IF(CB$6=Eventos!$C$7,"C",IF(CB$6=Eventos!$C$8,"R",""))))</f>
        <v/>
      </c>
      <c r="CC9" s="41" t="str">
        <f aca="false">IF(CC$6=Eventos!$C$6,"F",IF(CC$6=Eventos!$C$5,"P",IF(CC$6=Eventos!$C$7,"C",IF(CC$6=Eventos!$C$8,"R",""))))</f>
        <v/>
      </c>
      <c r="CD9" s="41" t="str">
        <f aca="false">IF(CD$6=Eventos!$C$6,"F",IF(CD$6=Eventos!$C$5,"P",IF(CD$6=Eventos!$C$7,"C",IF(CD$6=Eventos!$C$8,"R",""))))</f>
        <v/>
      </c>
      <c r="CE9" s="41" t="str">
        <f aca="false">IF(CE$6=Eventos!$C$6,"F",IF(CE$6=Eventos!$C$5,"P",IF(CE$6=Eventos!$C$7,"C",IF(CE$6=Eventos!$C$8,"R",""))))</f>
        <v/>
      </c>
      <c r="CF9" s="41" t="str">
        <f aca="false">IF(CF$6=Eventos!$C$6,"F",IF(CF$6=Eventos!$C$5,"P",IF(CF$6=Eventos!$C$7,"C",IF(CF$6=Eventos!$C$8,"R",""))))</f>
        <v/>
      </c>
    </row>
    <row r="10" customFormat="false" ht="15" hidden="false" customHeight="false" outlineLevel="1" collapsed="false">
      <c r="A10" s="10" t="s">
        <v>87</v>
      </c>
      <c r="B10" s="42" t="s">
        <v>88</v>
      </c>
      <c r="C10" s="10" t="s">
        <v>64</v>
      </c>
      <c r="D10" s="10" t="s">
        <v>89</v>
      </c>
      <c r="E10" s="43" t="n">
        <f aca="false">Historias!J5</f>
        <v>46265</v>
      </c>
      <c r="F10" s="43" t="n">
        <f aca="false">Historias!K5</f>
        <v>46269</v>
      </c>
      <c r="G10" s="10" t="n">
        <f aca="false">NETWORKDAYS(E10,F10,Feriados)</f>
        <v>5</v>
      </c>
      <c r="H10" s="12" t="n">
        <f aca="false">Historias!N5</f>
        <v>1</v>
      </c>
      <c r="I10" s="10" t="str">
        <f aca="false">Historias!P5</f>
        <v>Terminada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</row>
    <row r="11" customFormat="false" ht="15" hidden="true" customHeight="false" outlineLevel="2" collapsed="false">
      <c r="A11" s="44" t="s">
        <v>90</v>
      </c>
      <c r="B11" s="45" t="s">
        <v>91</v>
      </c>
      <c r="C11" s="44" t="s">
        <v>65</v>
      </c>
      <c r="D11" s="44" t="s">
        <v>92</v>
      </c>
      <c r="E11" s="46" t="n">
        <f aca="false">Tareas!H5</f>
        <v>46265</v>
      </c>
      <c r="F11" s="46" t="n">
        <f aca="false">Tareas!I5</f>
        <v>46269</v>
      </c>
      <c r="G11" s="44" t="n">
        <f aca="false">NETWORKDAYS(E11,F11,Feriados)</f>
        <v>5</v>
      </c>
      <c r="H11" s="47" t="n">
        <f aca="false">Tareas!K5</f>
        <v>1</v>
      </c>
      <c r="I11" s="44" t="str">
        <f aca="false">Tareas!J5</f>
        <v>Terminado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</row>
    <row r="12" customFormat="false" ht="15" hidden="true" customHeight="false" outlineLevel="2" collapsed="false">
      <c r="A12" s="44" t="s">
        <v>93</v>
      </c>
      <c r="B12" s="45" t="s">
        <v>94</v>
      </c>
      <c r="C12" s="44" t="s">
        <v>65</v>
      </c>
      <c r="D12" s="44" t="s">
        <v>92</v>
      </c>
      <c r="E12" s="46" t="n">
        <f aca="false">Tareas!H6</f>
        <v>46265</v>
      </c>
      <c r="F12" s="46" t="n">
        <f aca="false">Tareas!I6</f>
        <v>46269</v>
      </c>
      <c r="G12" s="44" t="n">
        <f aca="false">NETWORKDAYS(E12,F12,Feriados)</f>
        <v>5</v>
      </c>
      <c r="H12" s="47" t="n">
        <f aca="false">Tareas!K6</f>
        <v>1</v>
      </c>
      <c r="I12" s="44" t="str">
        <f aca="false">Tareas!J6</f>
        <v>Terminado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</row>
    <row r="13" customFormat="false" ht="15" hidden="true" customHeight="false" outlineLevel="2" collapsed="false">
      <c r="A13" s="44" t="s">
        <v>95</v>
      </c>
      <c r="B13" s="45" t="s">
        <v>96</v>
      </c>
      <c r="C13" s="44" t="s">
        <v>65</v>
      </c>
      <c r="D13" s="44" t="s">
        <v>97</v>
      </c>
      <c r="E13" s="46" t="n">
        <f aca="false">Tareas!H7</f>
        <v>46265</v>
      </c>
      <c r="F13" s="46" t="n">
        <f aca="false">Tareas!I7</f>
        <v>46269</v>
      </c>
      <c r="G13" s="44" t="n">
        <f aca="false">NETWORKDAYS(E13,F13,Feriados)</f>
        <v>5</v>
      </c>
      <c r="H13" s="47" t="n">
        <f aca="false">Tareas!K7</f>
        <v>1</v>
      </c>
      <c r="I13" s="44" t="str">
        <f aca="false">Tareas!J7</f>
        <v>Terminado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</row>
    <row r="14" customFormat="false" ht="15" hidden="true" customHeight="false" outlineLevel="2" collapsed="false">
      <c r="A14" s="44" t="s">
        <v>98</v>
      </c>
      <c r="B14" s="45" t="s">
        <v>99</v>
      </c>
      <c r="C14" s="44" t="s">
        <v>65</v>
      </c>
      <c r="D14" s="44" t="s">
        <v>97</v>
      </c>
      <c r="E14" s="46" t="n">
        <f aca="false">Tareas!H8</f>
        <v>46265</v>
      </c>
      <c r="F14" s="46" t="n">
        <f aca="false">Tareas!I8</f>
        <v>46269</v>
      </c>
      <c r="G14" s="44" t="n">
        <f aca="false">NETWORKDAYS(E14,F14,Feriados)</f>
        <v>5</v>
      </c>
      <c r="H14" s="47" t="n">
        <f aca="false">Tareas!K8</f>
        <v>1</v>
      </c>
      <c r="I14" s="44" t="str">
        <f aca="false">Tareas!J8</f>
        <v>Terminado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</row>
    <row r="15" customFormat="false" ht="15" hidden="true" customHeight="false" outlineLevel="2" collapsed="false">
      <c r="A15" s="44" t="s">
        <v>100</v>
      </c>
      <c r="B15" s="45" t="s">
        <v>101</v>
      </c>
      <c r="C15" s="44" t="s">
        <v>65</v>
      </c>
      <c r="D15" s="44" t="s">
        <v>102</v>
      </c>
      <c r="E15" s="46" t="n">
        <f aca="false">Tareas!H9</f>
        <v>46265</v>
      </c>
      <c r="F15" s="46" t="n">
        <f aca="false">Tareas!I9</f>
        <v>46269</v>
      </c>
      <c r="G15" s="44" t="n">
        <f aca="false">NETWORKDAYS(E15,F15,Feriados)</f>
        <v>5</v>
      </c>
      <c r="H15" s="47" t="n">
        <f aca="false">Tareas!K9</f>
        <v>1</v>
      </c>
      <c r="I15" s="44" t="str">
        <f aca="false">Tareas!J9</f>
        <v>Terminado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</row>
    <row r="16" customFormat="false" ht="15" hidden="false" customHeight="false" outlineLevel="1" collapsed="false">
      <c r="A16" s="10" t="s">
        <v>103</v>
      </c>
      <c r="B16" s="42" t="s">
        <v>104</v>
      </c>
      <c r="C16" s="10" t="s">
        <v>64</v>
      </c>
      <c r="D16" s="10" t="s">
        <v>89</v>
      </c>
      <c r="E16" s="43" t="n">
        <f aca="false">Historias!J6</f>
        <v>46265</v>
      </c>
      <c r="F16" s="43" t="n">
        <f aca="false">Historias!K6</f>
        <v>46269</v>
      </c>
      <c r="G16" s="10" t="n">
        <f aca="false">NETWORKDAYS(E16,F16,Feriados)</f>
        <v>5</v>
      </c>
      <c r="H16" s="12" t="n">
        <f aca="false">Historias!N6</f>
        <v>1</v>
      </c>
      <c r="I16" s="10" t="str">
        <f aca="false">Historias!P6</f>
        <v>Terminada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</row>
    <row r="17" customFormat="false" ht="15" hidden="true" customHeight="false" outlineLevel="2" collapsed="false">
      <c r="A17" s="44" t="s">
        <v>105</v>
      </c>
      <c r="B17" s="45" t="s">
        <v>106</v>
      </c>
      <c r="C17" s="44" t="s">
        <v>65</v>
      </c>
      <c r="D17" s="44" t="s">
        <v>97</v>
      </c>
      <c r="E17" s="46" t="n">
        <f aca="false">Tareas!H10</f>
        <v>46265</v>
      </c>
      <c r="F17" s="46" t="n">
        <f aca="false">Tareas!I10</f>
        <v>46269</v>
      </c>
      <c r="G17" s="44" t="n">
        <f aca="false">NETWORKDAYS(E17,F17,Feriados)</f>
        <v>5</v>
      </c>
      <c r="H17" s="47" t="n">
        <f aca="false">Tareas!K10</f>
        <v>1</v>
      </c>
      <c r="I17" s="44" t="str">
        <f aca="false">Tareas!J10</f>
        <v>Terminado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</row>
    <row r="18" customFormat="false" ht="15" hidden="true" customHeight="false" outlineLevel="2" collapsed="false">
      <c r="A18" s="44" t="s">
        <v>107</v>
      </c>
      <c r="B18" s="45" t="s">
        <v>108</v>
      </c>
      <c r="C18" s="44" t="s">
        <v>65</v>
      </c>
      <c r="D18" s="44" t="s">
        <v>92</v>
      </c>
      <c r="E18" s="46" t="n">
        <f aca="false">Tareas!H11</f>
        <v>46265</v>
      </c>
      <c r="F18" s="46" t="n">
        <f aca="false">Tareas!I11</f>
        <v>46269</v>
      </c>
      <c r="G18" s="44" t="n">
        <f aca="false">NETWORKDAYS(E18,F18,Feriados)</f>
        <v>5</v>
      </c>
      <c r="H18" s="47" t="n">
        <f aca="false">Tareas!K11</f>
        <v>1</v>
      </c>
      <c r="I18" s="44" t="str">
        <f aca="false">Tareas!J11</f>
        <v>Terminado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</row>
    <row r="19" customFormat="false" ht="15" hidden="true" customHeight="false" outlineLevel="2" collapsed="false">
      <c r="A19" s="44" t="s">
        <v>109</v>
      </c>
      <c r="B19" s="45" t="s">
        <v>110</v>
      </c>
      <c r="C19" s="44" t="s">
        <v>65</v>
      </c>
      <c r="D19" s="44" t="s">
        <v>92</v>
      </c>
      <c r="E19" s="46" t="n">
        <f aca="false">Tareas!H12</f>
        <v>46265</v>
      </c>
      <c r="F19" s="46" t="n">
        <f aca="false">Tareas!I12</f>
        <v>46269</v>
      </c>
      <c r="G19" s="44" t="n">
        <f aca="false">NETWORKDAYS(E19,F19,Feriados)</f>
        <v>5</v>
      </c>
      <c r="H19" s="47" t="n">
        <f aca="false">Tareas!K12</f>
        <v>1</v>
      </c>
      <c r="I19" s="44" t="str">
        <f aca="false">Tareas!J12</f>
        <v>Terminado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</row>
    <row r="20" customFormat="false" ht="15" hidden="true" customHeight="false" outlineLevel="2" collapsed="false">
      <c r="A20" s="44" t="s">
        <v>111</v>
      </c>
      <c r="B20" s="45" t="s">
        <v>112</v>
      </c>
      <c r="C20" s="44" t="s">
        <v>65</v>
      </c>
      <c r="D20" s="44" t="s">
        <v>97</v>
      </c>
      <c r="E20" s="46" t="n">
        <f aca="false">Tareas!H13</f>
        <v>46265</v>
      </c>
      <c r="F20" s="46" t="n">
        <f aca="false">Tareas!I13</f>
        <v>46269</v>
      </c>
      <c r="G20" s="44" t="n">
        <f aca="false">NETWORKDAYS(E20,F20,Feriados)</f>
        <v>5</v>
      </c>
      <c r="H20" s="47" t="n">
        <f aca="false">Tareas!K13</f>
        <v>1</v>
      </c>
      <c r="I20" s="44" t="str">
        <f aca="false">Tareas!J13</f>
        <v>Terminado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</row>
    <row r="21" customFormat="false" ht="15" hidden="true" customHeight="false" outlineLevel="2" collapsed="false">
      <c r="A21" s="44" t="s">
        <v>113</v>
      </c>
      <c r="B21" s="45" t="s">
        <v>114</v>
      </c>
      <c r="C21" s="44" t="s">
        <v>65</v>
      </c>
      <c r="D21" s="44" t="s">
        <v>102</v>
      </c>
      <c r="E21" s="46" t="n">
        <f aca="false">Tareas!H14</f>
        <v>46265</v>
      </c>
      <c r="F21" s="46" t="n">
        <f aca="false">Tareas!I14</f>
        <v>46269</v>
      </c>
      <c r="G21" s="44" t="n">
        <f aca="false">NETWORKDAYS(E21,F21,Feriados)</f>
        <v>5</v>
      </c>
      <c r="H21" s="47" t="n">
        <f aca="false">Tareas!K14</f>
        <v>1</v>
      </c>
      <c r="I21" s="44" t="str">
        <f aca="false">Tareas!J14</f>
        <v>Terminado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</row>
    <row r="22" customFormat="false" ht="15" hidden="false" customHeight="false" outlineLevel="1" collapsed="false">
      <c r="A22" s="10" t="s">
        <v>115</v>
      </c>
      <c r="B22" s="42" t="s">
        <v>116</v>
      </c>
      <c r="C22" s="10" t="s">
        <v>64</v>
      </c>
      <c r="D22" s="10" t="s">
        <v>89</v>
      </c>
      <c r="E22" s="43" t="n">
        <f aca="false">Historias!J7</f>
        <v>46272</v>
      </c>
      <c r="F22" s="43" t="n">
        <f aca="false">Historias!K7</f>
        <v>46276</v>
      </c>
      <c r="G22" s="10" t="n">
        <f aca="false">NETWORKDAYS(E22,F22,Feriados)</f>
        <v>5</v>
      </c>
      <c r="H22" s="12" t="n">
        <f aca="false">Historias!N7</f>
        <v>1</v>
      </c>
      <c r="I22" s="10" t="str">
        <f aca="false">Historias!P7</f>
        <v>Terminada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</row>
    <row r="23" customFormat="false" ht="15" hidden="true" customHeight="false" outlineLevel="2" collapsed="false">
      <c r="A23" s="44" t="s">
        <v>117</v>
      </c>
      <c r="B23" s="45" t="s">
        <v>118</v>
      </c>
      <c r="C23" s="44" t="s">
        <v>65</v>
      </c>
      <c r="D23" s="44" t="s">
        <v>97</v>
      </c>
      <c r="E23" s="46" t="n">
        <f aca="false">Tareas!H15</f>
        <v>46272</v>
      </c>
      <c r="F23" s="46" t="n">
        <f aca="false">Tareas!I15</f>
        <v>46276</v>
      </c>
      <c r="G23" s="44" t="n">
        <f aca="false">NETWORKDAYS(E23,F23,Feriados)</f>
        <v>5</v>
      </c>
      <c r="H23" s="47" t="n">
        <f aca="false">Tareas!K15</f>
        <v>1</v>
      </c>
      <c r="I23" s="44" t="str">
        <f aca="false">Tareas!J15</f>
        <v>Terminado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</row>
    <row r="24" customFormat="false" ht="15" hidden="true" customHeight="false" outlineLevel="2" collapsed="false">
      <c r="A24" s="44" t="s">
        <v>119</v>
      </c>
      <c r="B24" s="45" t="s">
        <v>120</v>
      </c>
      <c r="C24" s="44" t="s">
        <v>65</v>
      </c>
      <c r="D24" s="44" t="s">
        <v>92</v>
      </c>
      <c r="E24" s="46" t="n">
        <f aca="false">Tareas!H16</f>
        <v>46272</v>
      </c>
      <c r="F24" s="46" t="n">
        <f aca="false">Tareas!I16</f>
        <v>46276</v>
      </c>
      <c r="G24" s="44" t="n">
        <f aca="false">NETWORKDAYS(E24,F24,Feriados)</f>
        <v>5</v>
      </c>
      <c r="H24" s="47" t="n">
        <f aca="false">Tareas!K16</f>
        <v>1</v>
      </c>
      <c r="I24" s="44" t="str">
        <f aca="false">Tareas!J16</f>
        <v>Terminado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</row>
    <row r="25" customFormat="false" ht="15" hidden="true" customHeight="false" outlineLevel="2" collapsed="false">
      <c r="A25" s="44" t="s">
        <v>121</v>
      </c>
      <c r="B25" s="45" t="s">
        <v>122</v>
      </c>
      <c r="C25" s="44" t="s">
        <v>65</v>
      </c>
      <c r="D25" s="44" t="s">
        <v>92</v>
      </c>
      <c r="E25" s="46" t="n">
        <f aca="false">Tareas!H17</f>
        <v>46272</v>
      </c>
      <c r="F25" s="46" t="n">
        <f aca="false">Tareas!I17</f>
        <v>46276</v>
      </c>
      <c r="G25" s="44" t="n">
        <f aca="false">NETWORKDAYS(E25,F25,Feriados)</f>
        <v>5</v>
      </c>
      <c r="H25" s="47" t="n">
        <f aca="false">Tareas!K17</f>
        <v>1</v>
      </c>
      <c r="I25" s="44" t="str">
        <f aca="false">Tareas!J17</f>
        <v>Terminado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</row>
    <row r="26" customFormat="false" ht="15" hidden="true" customHeight="false" outlineLevel="2" collapsed="false">
      <c r="A26" s="44" t="s">
        <v>123</v>
      </c>
      <c r="B26" s="45" t="s">
        <v>124</v>
      </c>
      <c r="C26" s="44" t="s">
        <v>65</v>
      </c>
      <c r="D26" s="44" t="s">
        <v>102</v>
      </c>
      <c r="E26" s="46" t="n">
        <f aca="false">Tareas!H18</f>
        <v>46272</v>
      </c>
      <c r="F26" s="46" t="n">
        <f aca="false">Tareas!I18</f>
        <v>46276</v>
      </c>
      <c r="G26" s="44" t="n">
        <f aca="false">NETWORKDAYS(E26,F26,Feriados)</f>
        <v>5</v>
      </c>
      <c r="H26" s="47" t="n">
        <f aca="false">Tareas!K18</f>
        <v>1</v>
      </c>
      <c r="I26" s="44" t="str">
        <f aca="false">Tareas!J18</f>
        <v>Terminado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</row>
    <row r="27" customFormat="false" ht="15" hidden="true" customHeight="false" outlineLevel="2" collapsed="false">
      <c r="A27" s="44" t="s">
        <v>125</v>
      </c>
      <c r="B27" s="45" t="s">
        <v>126</v>
      </c>
      <c r="C27" s="44" t="s">
        <v>65</v>
      </c>
      <c r="D27" s="44" t="s">
        <v>102</v>
      </c>
      <c r="E27" s="46" t="n">
        <f aca="false">Tareas!H19</f>
        <v>46272</v>
      </c>
      <c r="F27" s="46" t="n">
        <f aca="false">Tareas!I19</f>
        <v>46276</v>
      </c>
      <c r="G27" s="44" t="n">
        <f aca="false">NETWORKDAYS(E27,F27,Feriados)</f>
        <v>5</v>
      </c>
      <c r="H27" s="47" t="n">
        <f aca="false">Tareas!K19</f>
        <v>1</v>
      </c>
      <c r="I27" s="44" t="str">
        <f aca="false">Tareas!J19</f>
        <v>Terminado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</row>
    <row r="28" customFormat="false" ht="15" hidden="false" customHeight="false" outlineLevel="1" collapsed="false">
      <c r="A28" s="10" t="s">
        <v>127</v>
      </c>
      <c r="B28" s="42" t="s">
        <v>128</v>
      </c>
      <c r="C28" s="10" t="s">
        <v>64</v>
      </c>
      <c r="D28" s="10" t="s">
        <v>89</v>
      </c>
      <c r="E28" s="43" t="n">
        <f aca="false">Historias!J8</f>
        <v>46272</v>
      </c>
      <c r="F28" s="43" t="n">
        <f aca="false">Historias!K8</f>
        <v>46276</v>
      </c>
      <c r="G28" s="10" t="n">
        <f aca="false">NETWORKDAYS(E28,F28,Feriados)</f>
        <v>5</v>
      </c>
      <c r="H28" s="12" t="n">
        <f aca="false">Historias!N8</f>
        <v>1</v>
      </c>
      <c r="I28" s="10" t="str">
        <f aca="false">Historias!P8</f>
        <v>Terminada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</row>
    <row r="29" customFormat="false" ht="15" hidden="true" customHeight="false" outlineLevel="2" collapsed="false">
      <c r="A29" s="44" t="s">
        <v>129</v>
      </c>
      <c r="B29" s="45" t="s">
        <v>130</v>
      </c>
      <c r="C29" s="44" t="s">
        <v>65</v>
      </c>
      <c r="D29" s="44" t="s">
        <v>97</v>
      </c>
      <c r="E29" s="46" t="n">
        <f aca="false">Tareas!H20</f>
        <v>46272</v>
      </c>
      <c r="F29" s="46" t="n">
        <f aca="false">Tareas!I20</f>
        <v>46276</v>
      </c>
      <c r="G29" s="44" t="n">
        <f aca="false">NETWORKDAYS(E29,F29,Feriados)</f>
        <v>5</v>
      </c>
      <c r="H29" s="47" t="n">
        <f aca="false">Tareas!K20</f>
        <v>1</v>
      </c>
      <c r="I29" s="44" t="str">
        <f aca="false">Tareas!J20</f>
        <v>Terminado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</row>
    <row r="30" customFormat="false" ht="15" hidden="true" customHeight="false" outlineLevel="2" collapsed="false">
      <c r="A30" s="44" t="s">
        <v>131</v>
      </c>
      <c r="B30" s="45" t="s">
        <v>132</v>
      </c>
      <c r="C30" s="44" t="s">
        <v>65</v>
      </c>
      <c r="D30" s="44" t="s">
        <v>92</v>
      </c>
      <c r="E30" s="46" t="n">
        <f aca="false">Tareas!H21</f>
        <v>46272</v>
      </c>
      <c r="F30" s="46" t="n">
        <f aca="false">Tareas!I21</f>
        <v>46276</v>
      </c>
      <c r="G30" s="44" t="n">
        <f aca="false">NETWORKDAYS(E30,F30,Feriados)</f>
        <v>5</v>
      </c>
      <c r="H30" s="47" t="n">
        <f aca="false">Tareas!K21</f>
        <v>1</v>
      </c>
      <c r="I30" s="44" t="str">
        <f aca="false">Tareas!J21</f>
        <v>Terminado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</row>
    <row r="31" customFormat="false" ht="15" hidden="true" customHeight="false" outlineLevel="2" collapsed="false">
      <c r="A31" s="44" t="s">
        <v>133</v>
      </c>
      <c r="B31" s="45" t="s">
        <v>134</v>
      </c>
      <c r="C31" s="44" t="s">
        <v>65</v>
      </c>
      <c r="D31" s="44" t="s">
        <v>102</v>
      </c>
      <c r="E31" s="46" t="n">
        <f aca="false">Tareas!H22</f>
        <v>46272</v>
      </c>
      <c r="F31" s="46" t="n">
        <f aca="false">Tareas!I22</f>
        <v>46276</v>
      </c>
      <c r="G31" s="44" t="n">
        <f aca="false">NETWORKDAYS(E31,F31,Feriados)</f>
        <v>5</v>
      </c>
      <c r="H31" s="47" t="n">
        <f aca="false">Tareas!K22</f>
        <v>1</v>
      </c>
      <c r="I31" s="44" t="str">
        <f aca="false">Tareas!J22</f>
        <v>Terminado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</row>
    <row r="32" customFormat="false" ht="15" hidden="true" customHeight="false" outlineLevel="2" collapsed="false">
      <c r="A32" s="44" t="s">
        <v>135</v>
      </c>
      <c r="B32" s="45" t="s">
        <v>136</v>
      </c>
      <c r="C32" s="44" t="s">
        <v>65</v>
      </c>
      <c r="D32" s="44" t="s">
        <v>97</v>
      </c>
      <c r="E32" s="46" t="n">
        <f aca="false">Tareas!H23</f>
        <v>46272</v>
      </c>
      <c r="F32" s="46" t="n">
        <f aca="false">Tareas!I23</f>
        <v>46276</v>
      </c>
      <c r="G32" s="44" t="n">
        <f aca="false">NETWORKDAYS(E32,F32,Feriados)</f>
        <v>5</v>
      </c>
      <c r="H32" s="47" t="n">
        <f aca="false">Tareas!K23</f>
        <v>1</v>
      </c>
      <c r="I32" s="44" t="str">
        <f aca="false">Tareas!J23</f>
        <v>Terminado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</row>
    <row r="33" customFormat="false" ht="15" hidden="false" customHeight="false" outlineLevel="1" collapsed="false">
      <c r="A33" s="10"/>
      <c r="B33" s="42" t="s">
        <v>137</v>
      </c>
      <c r="C33" s="10" t="s">
        <v>64</v>
      </c>
      <c r="D33" s="10" t="s">
        <v>86</v>
      </c>
      <c r="E33" s="43" t="n">
        <f aca="false">_xlfn.MINIFS(Tareas!$H:$H,Tareas!$B:$B,"Sprint 1",Tareas!$C:$C,"Transversal")</f>
        <v>46265</v>
      </c>
      <c r="F33" s="43" t="n">
        <f aca="false">_xlfn.MAXIFS(Tareas!$I:$I,Tareas!$B:$B,"Sprint 1",Tareas!$C:$C,"Transversal")</f>
        <v>46276</v>
      </c>
      <c r="G33" s="10" t="n">
        <f aca="false">NETWORKDAYS(E33,F33,Feriados)</f>
        <v>10</v>
      </c>
      <c r="H33" s="12" t="n">
        <f aca="false">IFERROR(SUMIFS(Tareas!$L:$L,Tareas!$B:$B,"Sprint 1",Tareas!$C:$C,"Transversal")/SUMIFS(Tareas!$F:$F,Tareas!$B:$B,"Sprint 1",Tareas!$C:$C,"Transversal"),0)</f>
        <v>1</v>
      </c>
      <c r="I33" s="1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</row>
    <row r="34" customFormat="false" ht="15" hidden="true" customHeight="false" outlineLevel="2" collapsed="false">
      <c r="A34" s="44" t="s">
        <v>138</v>
      </c>
      <c r="B34" s="45" t="s">
        <v>139</v>
      </c>
      <c r="C34" s="44" t="s">
        <v>65</v>
      </c>
      <c r="D34" s="44" t="s">
        <v>97</v>
      </c>
      <c r="E34" s="46" t="n">
        <f aca="false">Tareas!H24</f>
        <v>46265</v>
      </c>
      <c r="F34" s="46" t="n">
        <f aca="false">Tareas!I24</f>
        <v>46269</v>
      </c>
      <c r="G34" s="44" t="n">
        <f aca="false">NETWORKDAYS(E34,F34,Feriados)</f>
        <v>5</v>
      </c>
      <c r="H34" s="47" t="n">
        <f aca="false">Tareas!K24</f>
        <v>1</v>
      </c>
      <c r="I34" s="44" t="str">
        <f aca="false">Tareas!J24</f>
        <v>Terminado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</row>
    <row r="35" customFormat="false" ht="15" hidden="true" customHeight="false" outlineLevel="2" collapsed="false">
      <c r="A35" s="44" t="s">
        <v>140</v>
      </c>
      <c r="B35" s="45" t="s">
        <v>141</v>
      </c>
      <c r="C35" s="44" t="s">
        <v>65</v>
      </c>
      <c r="D35" s="44" t="s">
        <v>102</v>
      </c>
      <c r="E35" s="46" t="n">
        <f aca="false">Tareas!H25</f>
        <v>46265</v>
      </c>
      <c r="F35" s="46" t="n">
        <f aca="false">Tareas!I25</f>
        <v>46269</v>
      </c>
      <c r="G35" s="44" t="n">
        <f aca="false">NETWORKDAYS(E35,F35,Feriados)</f>
        <v>5</v>
      </c>
      <c r="H35" s="47" t="n">
        <f aca="false">Tareas!K25</f>
        <v>1</v>
      </c>
      <c r="I35" s="44" t="str">
        <f aca="false">Tareas!J25</f>
        <v>Terminado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</row>
    <row r="36" customFormat="false" ht="15" hidden="true" customHeight="false" outlineLevel="2" collapsed="false">
      <c r="A36" s="44" t="s">
        <v>142</v>
      </c>
      <c r="B36" s="45" t="s">
        <v>143</v>
      </c>
      <c r="C36" s="44" t="s">
        <v>65</v>
      </c>
      <c r="D36" s="44" t="s">
        <v>97</v>
      </c>
      <c r="E36" s="46" t="n">
        <f aca="false">Tareas!H26</f>
        <v>46272</v>
      </c>
      <c r="F36" s="46" t="n">
        <f aca="false">Tareas!I26</f>
        <v>46276</v>
      </c>
      <c r="G36" s="44" t="n">
        <f aca="false">NETWORKDAYS(E36,F36,Feriados)</f>
        <v>5</v>
      </c>
      <c r="H36" s="47" t="n">
        <f aca="false">Tareas!K26</f>
        <v>1</v>
      </c>
      <c r="I36" s="44" t="str">
        <f aca="false">Tareas!J26</f>
        <v>Terminado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</row>
    <row r="37" customFormat="false" ht="15" hidden="true" customHeight="false" outlineLevel="2" collapsed="false">
      <c r="A37" s="44" t="s">
        <v>144</v>
      </c>
      <c r="B37" s="45" t="s">
        <v>145</v>
      </c>
      <c r="C37" s="44" t="s">
        <v>65</v>
      </c>
      <c r="D37" s="44" t="s">
        <v>102</v>
      </c>
      <c r="E37" s="46" t="n">
        <f aca="false">Tareas!H27</f>
        <v>46272</v>
      </c>
      <c r="F37" s="46" t="n">
        <f aca="false">Tareas!I27</f>
        <v>46276</v>
      </c>
      <c r="G37" s="44" t="n">
        <f aca="false">NETWORKDAYS(E37,F37,Feriados)</f>
        <v>5</v>
      </c>
      <c r="H37" s="47" t="n">
        <f aca="false">Tareas!K27</f>
        <v>1</v>
      </c>
      <c r="I37" s="44" t="str">
        <f aca="false">Tareas!J27</f>
        <v>Terminado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</row>
    <row r="38" customFormat="false" ht="23.85" hidden="false" customHeight="false" outlineLevel="0" collapsed="false">
      <c r="A38" s="8" t="s">
        <v>146</v>
      </c>
      <c r="B38" s="34" t="s">
        <v>147</v>
      </c>
      <c r="C38" s="8" t="s">
        <v>7</v>
      </c>
      <c r="D38" s="8" t="s">
        <v>148</v>
      </c>
      <c r="E38" s="35" t="n">
        <f aca="false">Resumen!C9</f>
        <v>46279</v>
      </c>
      <c r="F38" s="35" t="n">
        <f aca="false">Resumen!D9</f>
        <v>46290</v>
      </c>
      <c r="G38" s="8" t="n">
        <f aca="false">NETWORKDAYS(E38,F38,Feriados)</f>
        <v>9</v>
      </c>
      <c r="H38" s="15" t="n">
        <f aca="false">Resumen!L9</f>
        <v>1</v>
      </c>
      <c r="I38" s="8" t="str">
        <f aca="false">Resumen!Q9</f>
        <v>Cerrado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</row>
    <row r="39" customFormat="false" ht="15" hidden="false" customHeight="false" outlineLevel="1" collapsed="false">
      <c r="A39" s="37"/>
      <c r="B39" s="38" t="s">
        <v>84</v>
      </c>
      <c r="C39" s="37" t="s">
        <v>85</v>
      </c>
      <c r="D39" s="37" t="s">
        <v>86</v>
      </c>
      <c r="E39" s="39"/>
      <c r="F39" s="39"/>
      <c r="G39" s="37"/>
      <c r="H39" s="40"/>
      <c r="I39" s="37"/>
      <c r="J39" s="41" t="str">
        <f aca="false">IF(J$6=Eventos!$C$11,"F",IF(J$6=Eventos!$C$10,"P",IF(J$6=Eventos!$C$12,"C",IF(J$6=Eventos!$C$13,"R",""))))</f>
        <v/>
      </c>
      <c r="K39" s="41" t="str">
        <f aca="false">IF(K$6=Eventos!$C$11,"F",IF(K$6=Eventos!$C$10,"P",IF(K$6=Eventos!$C$12,"C",IF(K$6=Eventos!$C$13,"R",""))))</f>
        <v/>
      </c>
      <c r="L39" s="41" t="str">
        <f aca="false">IF(L$6=Eventos!$C$11,"F",IF(L$6=Eventos!$C$10,"P",IF(L$6=Eventos!$C$12,"C",IF(L$6=Eventos!$C$13,"R",""))))</f>
        <v/>
      </c>
      <c r="M39" s="41" t="str">
        <f aca="false">IF(M$6=Eventos!$C$11,"F",IF(M$6=Eventos!$C$10,"P",IF(M$6=Eventos!$C$12,"C",IF(M$6=Eventos!$C$13,"R",""))))</f>
        <v/>
      </c>
      <c r="N39" s="41" t="str">
        <f aca="false">IF(N$6=Eventos!$C$11,"F",IF(N$6=Eventos!$C$10,"P",IF(N$6=Eventos!$C$12,"C",IF(N$6=Eventos!$C$13,"R",""))))</f>
        <v/>
      </c>
      <c r="O39" s="41" t="str">
        <f aca="false">IF(O$6=Eventos!$C$11,"F",IF(O$6=Eventos!$C$10,"P",IF(O$6=Eventos!$C$12,"C",IF(O$6=Eventos!$C$13,"R",""))))</f>
        <v/>
      </c>
      <c r="P39" s="41" t="str">
        <f aca="false">IF(P$6=Eventos!$C$11,"F",IF(P$6=Eventos!$C$10,"P",IF(P$6=Eventos!$C$12,"C",IF(P$6=Eventos!$C$13,"R",""))))</f>
        <v/>
      </c>
      <c r="Q39" s="41" t="str">
        <f aca="false">IF(Q$6=Eventos!$C$11,"F",IF(Q$6=Eventos!$C$10,"P",IF(Q$6=Eventos!$C$12,"C",IF(Q$6=Eventos!$C$13,"R",""))))</f>
        <v/>
      </c>
      <c r="R39" s="41" t="str">
        <f aca="false">IF(R$6=Eventos!$C$11,"F",IF(R$6=Eventos!$C$10,"P",IF(R$6=Eventos!$C$12,"C",IF(R$6=Eventos!$C$13,"R",""))))</f>
        <v/>
      </c>
      <c r="S39" s="41" t="str">
        <f aca="false">IF(S$6=Eventos!$C$11,"F",IF(S$6=Eventos!$C$10,"P",IF(S$6=Eventos!$C$12,"C",IF(S$6=Eventos!$C$13,"R",""))))</f>
        <v/>
      </c>
      <c r="T39" s="41" t="str">
        <f aca="false">IF(T$6=Eventos!$C$11,"F",IF(T$6=Eventos!$C$10,"P",IF(T$6=Eventos!$C$12,"C",IF(T$6=Eventos!$C$13,"R",""))))</f>
        <v>P</v>
      </c>
      <c r="U39" s="41" t="str">
        <f aca="false">IF(U$6=Eventos!$C$11,"F",IF(U$6=Eventos!$C$10,"P",IF(U$6=Eventos!$C$12,"C",IF(U$6=Eventos!$C$13,"R",""))))</f>
        <v/>
      </c>
      <c r="V39" s="41" t="str">
        <f aca="false">IF(V$6=Eventos!$C$11,"F",IF(V$6=Eventos!$C$10,"P",IF(V$6=Eventos!$C$12,"C",IF(V$6=Eventos!$C$13,"R",""))))</f>
        <v/>
      </c>
      <c r="W39" s="41" t="str">
        <f aca="false">IF(W$6=Eventos!$C$11,"F",IF(W$6=Eventos!$C$10,"P",IF(W$6=Eventos!$C$12,"C",IF(W$6=Eventos!$C$13,"R",""))))</f>
        <v/>
      </c>
      <c r="X39" s="41" t="str">
        <f aca="false">IF(X$6=Eventos!$C$11,"F",IF(X$6=Eventos!$C$10,"P",IF(X$6=Eventos!$C$12,"C",IF(X$6=Eventos!$C$13,"R",""))))</f>
        <v/>
      </c>
      <c r="Y39" s="41" t="str">
        <f aca="false">IF(Y$6=Eventos!$C$11,"F",IF(Y$6=Eventos!$C$10,"P",IF(Y$6=Eventos!$C$12,"C",IF(Y$6=Eventos!$C$13,"R",""))))</f>
        <v>F</v>
      </c>
      <c r="Z39" s="41" t="str">
        <f aca="false">IF(Z$6=Eventos!$C$11,"F",IF(Z$6=Eventos!$C$10,"P",IF(Z$6=Eventos!$C$12,"C",IF(Z$6=Eventos!$C$13,"R",""))))</f>
        <v/>
      </c>
      <c r="AA39" s="41" t="str">
        <f aca="false">IF(AA$6=Eventos!$C$11,"F",IF(AA$6=Eventos!$C$10,"P",IF(AA$6=Eventos!$C$12,"C",IF(AA$6=Eventos!$C$13,"R",""))))</f>
        <v/>
      </c>
      <c r="AB39" s="41" t="str">
        <f aca="false">IF(AB$6=Eventos!$C$11,"F",IF(AB$6=Eventos!$C$10,"P",IF(AB$6=Eventos!$C$12,"C",IF(AB$6=Eventos!$C$13,"R",""))))</f>
        <v>C</v>
      </c>
      <c r="AC39" s="41" t="str">
        <f aca="false">IF(AC$6=Eventos!$C$11,"F",IF(AC$6=Eventos!$C$10,"P",IF(AC$6=Eventos!$C$12,"C",IF(AC$6=Eventos!$C$13,"R",""))))</f>
        <v>R</v>
      </c>
      <c r="AD39" s="41" t="str">
        <f aca="false">IF(AD$6=Eventos!$C$11,"F",IF(AD$6=Eventos!$C$10,"P",IF(AD$6=Eventos!$C$12,"C",IF(AD$6=Eventos!$C$13,"R",""))))</f>
        <v/>
      </c>
      <c r="AE39" s="41" t="str">
        <f aca="false">IF(AE$6=Eventos!$C$11,"F",IF(AE$6=Eventos!$C$10,"P",IF(AE$6=Eventos!$C$12,"C",IF(AE$6=Eventos!$C$13,"R",""))))</f>
        <v/>
      </c>
      <c r="AF39" s="41" t="str">
        <f aca="false">IF(AF$6=Eventos!$C$11,"F",IF(AF$6=Eventos!$C$10,"P",IF(AF$6=Eventos!$C$12,"C",IF(AF$6=Eventos!$C$13,"R",""))))</f>
        <v/>
      </c>
      <c r="AG39" s="41" t="str">
        <f aca="false">IF(AG$6=Eventos!$C$11,"F",IF(AG$6=Eventos!$C$10,"P",IF(AG$6=Eventos!$C$12,"C",IF(AG$6=Eventos!$C$13,"R",""))))</f>
        <v/>
      </c>
      <c r="AH39" s="41" t="str">
        <f aca="false">IF(AH$6=Eventos!$C$11,"F",IF(AH$6=Eventos!$C$10,"P",IF(AH$6=Eventos!$C$12,"C",IF(AH$6=Eventos!$C$13,"R",""))))</f>
        <v/>
      </c>
      <c r="AI39" s="41" t="str">
        <f aca="false">IF(AI$6=Eventos!$C$11,"F",IF(AI$6=Eventos!$C$10,"P",IF(AI$6=Eventos!$C$12,"C",IF(AI$6=Eventos!$C$13,"R",""))))</f>
        <v/>
      </c>
      <c r="AJ39" s="41" t="str">
        <f aca="false">IF(AJ$6=Eventos!$C$11,"F",IF(AJ$6=Eventos!$C$10,"P",IF(AJ$6=Eventos!$C$12,"C",IF(AJ$6=Eventos!$C$13,"R",""))))</f>
        <v/>
      </c>
      <c r="AK39" s="41" t="str">
        <f aca="false">IF(AK$6=Eventos!$C$11,"F",IF(AK$6=Eventos!$C$10,"P",IF(AK$6=Eventos!$C$12,"C",IF(AK$6=Eventos!$C$13,"R",""))))</f>
        <v/>
      </c>
      <c r="AL39" s="41" t="str">
        <f aca="false">IF(AL$6=Eventos!$C$11,"F",IF(AL$6=Eventos!$C$10,"P",IF(AL$6=Eventos!$C$12,"C",IF(AL$6=Eventos!$C$13,"R",""))))</f>
        <v/>
      </c>
      <c r="AM39" s="41" t="str">
        <f aca="false">IF(AM$6=Eventos!$C$11,"F",IF(AM$6=Eventos!$C$10,"P",IF(AM$6=Eventos!$C$12,"C",IF(AM$6=Eventos!$C$13,"R",""))))</f>
        <v/>
      </c>
      <c r="AN39" s="41" t="str">
        <f aca="false">IF(AN$6=Eventos!$C$11,"F",IF(AN$6=Eventos!$C$10,"P",IF(AN$6=Eventos!$C$12,"C",IF(AN$6=Eventos!$C$13,"R",""))))</f>
        <v/>
      </c>
      <c r="AO39" s="41" t="str">
        <f aca="false">IF(AO$6=Eventos!$C$11,"F",IF(AO$6=Eventos!$C$10,"P",IF(AO$6=Eventos!$C$12,"C",IF(AO$6=Eventos!$C$13,"R",""))))</f>
        <v/>
      </c>
      <c r="AP39" s="41" t="str">
        <f aca="false">IF(AP$6=Eventos!$C$11,"F",IF(AP$6=Eventos!$C$10,"P",IF(AP$6=Eventos!$C$12,"C",IF(AP$6=Eventos!$C$13,"R",""))))</f>
        <v/>
      </c>
      <c r="AQ39" s="41" t="str">
        <f aca="false">IF(AQ$6=Eventos!$C$11,"F",IF(AQ$6=Eventos!$C$10,"P",IF(AQ$6=Eventos!$C$12,"C",IF(AQ$6=Eventos!$C$13,"R",""))))</f>
        <v/>
      </c>
      <c r="AR39" s="41" t="str">
        <f aca="false">IF(AR$6=Eventos!$C$11,"F",IF(AR$6=Eventos!$C$10,"P",IF(AR$6=Eventos!$C$12,"C",IF(AR$6=Eventos!$C$13,"R",""))))</f>
        <v/>
      </c>
      <c r="AS39" s="41" t="str">
        <f aca="false">IF(AS$6=Eventos!$C$11,"F",IF(AS$6=Eventos!$C$10,"P",IF(AS$6=Eventos!$C$12,"C",IF(AS$6=Eventos!$C$13,"R",""))))</f>
        <v/>
      </c>
      <c r="AT39" s="41" t="str">
        <f aca="false">IF(AT$6=Eventos!$C$11,"F",IF(AT$6=Eventos!$C$10,"P",IF(AT$6=Eventos!$C$12,"C",IF(AT$6=Eventos!$C$13,"R",""))))</f>
        <v/>
      </c>
      <c r="AU39" s="41" t="str">
        <f aca="false">IF(AU$6=Eventos!$C$11,"F",IF(AU$6=Eventos!$C$10,"P",IF(AU$6=Eventos!$C$12,"C",IF(AU$6=Eventos!$C$13,"R",""))))</f>
        <v/>
      </c>
      <c r="AV39" s="41" t="str">
        <f aca="false">IF(AV$6=Eventos!$C$11,"F",IF(AV$6=Eventos!$C$10,"P",IF(AV$6=Eventos!$C$12,"C",IF(AV$6=Eventos!$C$13,"R",""))))</f>
        <v/>
      </c>
      <c r="AW39" s="41" t="str">
        <f aca="false">IF(AW$6=Eventos!$C$11,"F",IF(AW$6=Eventos!$C$10,"P",IF(AW$6=Eventos!$C$12,"C",IF(AW$6=Eventos!$C$13,"R",""))))</f>
        <v/>
      </c>
      <c r="AX39" s="41" t="str">
        <f aca="false">IF(AX$6=Eventos!$C$11,"F",IF(AX$6=Eventos!$C$10,"P",IF(AX$6=Eventos!$C$12,"C",IF(AX$6=Eventos!$C$13,"R",""))))</f>
        <v/>
      </c>
      <c r="AY39" s="41" t="str">
        <f aca="false">IF(AY$6=Eventos!$C$11,"F",IF(AY$6=Eventos!$C$10,"P",IF(AY$6=Eventos!$C$12,"C",IF(AY$6=Eventos!$C$13,"R",""))))</f>
        <v/>
      </c>
      <c r="AZ39" s="41" t="str">
        <f aca="false">IF(AZ$6=Eventos!$C$11,"F",IF(AZ$6=Eventos!$C$10,"P",IF(AZ$6=Eventos!$C$12,"C",IF(AZ$6=Eventos!$C$13,"R",""))))</f>
        <v/>
      </c>
      <c r="BA39" s="41" t="str">
        <f aca="false">IF(BA$6=Eventos!$C$11,"F",IF(BA$6=Eventos!$C$10,"P",IF(BA$6=Eventos!$C$12,"C",IF(BA$6=Eventos!$C$13,"R",""))))</f>
        <v/>
      </c>
      <c r="BB39" s="41" t="str">
        <f aca="false">IF(BB$6=Eventos!$C$11,"F",IF(BB$6=Eventos!$C$10,"P",IF(BB$6=Eventos!$C$12,"C",IF(BB$6=Eventos!$C$13,"R",""))))</f>
        <v/>
      </c>
      <c r="BC39" s="41" t="str">
        <f aca="false">IF(BC$6=Eventos!$C$11,"F",IF(BC$6=Eventos!$C$10,"P",IF(BC$6=Eventos!$C$12,"C",IF(BC$6=Eventos!$C$13,"R",""))))</f>
        <v/>
      </c>
      <c r="BD39" s="41" t="str">
        <f aca="false">IF(BD$6=Eventos!$C$11,"F",IF(BD$6=Eventos!$C$10,"P",IF(BD$6=Eventos!$C$12,"C",IF(BD$6=Eventos!$C$13,"R",""))))</f>
        <v/>
      </c>
      <c r="BE39" s="41" t="str">
        <f aca="false">IF(BE$6=Eventos!$C$11,"F",IF(BE$6=Eventos!$C$10,"P",IF(BE$6=Eventos!$C$12,"C",IF(BE$6=Eventos!$C$13,"R",""))))</f>
        <v/>
      </c>
      <c r="BF39" s="41" t="str">
        <f aca="false">IF(BF$6=Eventos!$C$11,"F",IF(BF$6=Eventos!$C$10,"P",IF(BF$6=Eventos!$C$12,"C",IF(BF$6=Eventos!$C$13,"R",""))))</f>
        <v/>
      </c>
      <c r="BG39" s="41" t="str">
        <f aca="false">IF(BG$6=Eventos!$C$11,"F",IF(BG$6=Eventos!$C$10,"P",IF(BG$6=Eventos!$C$12,"C",IF(BG$6=Eventos!$C$13,"R",""))))</f>
        <v/>
      </c>
      <c r="BH39" s="41" t="str">
        <f aca="false">IF(BH$6=Eventos!$C$11,"F",IF(BH$6=Eventos!$C$10,"P",IF(BH$6=Eventos!$C$12,"C",IF(BH$6=Eventos!$C$13,"R",""))))</f>
        <v/>
      </c>
      <c r="BI39" s="41" t="str">
        <f aca="false">IF(BI$6=Eventos!$C$11,"F",IF(BI$6=Eventos!$C$10,"P",IF(BI$6=Eventos!$C$12,"C",IF(BI$6=Eventos!$C$13,"R",""))))</f>
        <v/>
      </c>
      <c r="BJ39" s="41" t="str">
        <f aca="false">IF(BJ$6=Eventos!$C$11,"F",IF(BJ$6=Eventos!$C$10,"P",IF(BJ$6=Eventos!$C$12,"C",IF(BJ$6=Eventos!$C$13,"R",""))))</f>
        <v/>
      </c>
      <c r="BK39" s="41" t="str">
        <f aca="false">IF(BK$6=Eventos!$C$11,"F",IF(BK$6=Eventos!$C$10,"P",IF(BK$6=Eventos!$C$12,"C",IF(BK$6=Eventos!$C$13,"R",""))))</f>
        <v/>
      </c>
      <c r="BL39" s="41" t="str">
        <f aca="false">IF(BL$6=Eventos!$C$11,"F",IF(BL$6=Eventos!$C$10,"P",IF(BL$6=Eventos!$C$12,"C",IF(BL$6=Eventos!$C$13,"R",""))))</f>
        <v/>
      </c>
      <c r="BM39" s="41" t="str">
        <f aca="false">IF(BM$6=Eventos!$C$11,"F",IF(BM$6=Eventos!$C$10,"P",IF(BM$6=Eventos!$C$12,"C",IF(BM$6=Eventos!$C$13,"R",""))))</f>
        <v/>
      </c>
      <c r="BN39" s="41" t="str">
        <f aca="false">IF(BN$6=Eventos!$C$11,"F",IF(BN$6=Eventos!$C$10,"P",IF(BN$6=Eventos!$C$12,"C",IF(BN$6=Eventos!$C$13,"R",""))))</f>
        <v/>
      </c>
      <c r="BO39" s="41" t="str">
        <f aca="false">IF(BO$6=Eventos!$C$11,"F",IF(BO$6=Eventos!$C$10,"P",IF(BO$6=Eventos!$C$12,"C",IF(BO$6=Eventos!$C$13,"R",""))))</f>
        <v/>
      </c>
      <c r="BP39" s="41" t="str">
        <f aca="false">IF(BP$6=Eventos!$C$11,"F",IF(BP$6=Eventos!$C$10,"P",IF(BP$6=Eventos!$C$12,"C",IF(BP$6=Eventos!$C$13,"R",""))))</f>
        <v/>
      </c>
      <c r="BQ39" s="41" t="str">
        <f aca="false">IF(BQ$6=Eventos!$C$11,"F",IF(BQ$6=Eventos!$C$10,"P",IF(BQ$6=Eventos!$C$12,"C",IF(BQ$6=Eventos!$C$13,"R",""))))</f>
        <v/>
      </c>
      <c r="BR39" s="41" t="str">
        <f aca="false">IF(BR$6=Eventos!$C$11,"F",IF(BR$6=Eventos!$C$10,"P",IF(BR$6=Eventos!$C$12,"C",IF(BR$6=Eventos!$C$13,"R",""))))</f>
        <v/>
      </c>
      <c r="BS39" s="41" t="str">
        <f aca="false">IF(BS$6=Eventos!$C$11,"F",IF(BS$6=Eventos!$C$10,"P",IF(BS$6=Eventos!$C$12,"C",IF(BS$6=Eventos!$C$13,"R",""))))</f>
        <v/>
      </c>
      <c r="BT39" s="41" t="str">
        <f aca="false">IF(BT$6=Eventos!$C$11,"F",IF(BT$6=Eventos!$C$10,"P",IF(BT$6=Eventos!$C$12,"C",IF(BT$6=Eventos!$C$13,"R",""))))</f>
        <v/>
      </c>
      <c r="BU39" s="41" t="str">
        <f aca="false">IF(BU$6=Eventos!$C$11,"F",IF(BU$6=Eventos!$C$10,"P",IF(BU$6=Eventos!$C$12,"C",IF(BU$6=Eventos!$C$13,"R",""))))</f>
        <v/>
      </c>
      <c r="BV39" s="41" t="str">
        <f aca="false">IF(BV$6=Eventos!$C$11,"F",IF(BV$6=Eventos!$C$10,"P",IF(BV$6=Eventos!$C$12,"C",IF(BV$6=Eventos!$C$13,"R",""))))</f>
        <v/>
      </c>
      <c r="BW39" s="41" t="str">
        <f aca="false">IF(BW$6=Eventos!$C$11,"F",IF(BW$6=Eventos!$C$10,"P",IF(BW$6=Eventos!$C$12,"C",IF(BW$6=Eventos!$C$13,"R",""))))</f>
        <v/>
      </c>
      <c r="BX39" s="41" t="str">
        <f aca="false">IF(BX$6=Eventos!$C$11,"F",IF(BX$6=Eventos!$C$10,"P",IF(BX$6=Eventos!$C$12,"C",IF(BX$6=Eventos!$C$13,"R",""))))</f>
        <v/>
      </c>
      <c r="BY39" s="41" t="str">
        <f aca="false">IF(BY$6=Eventos!$C$11,"F",IF(BY$6=Eventos!$C$10,"P",IF(BY$6=Eventos!$C$12,"C",IF(BY$6=Eventos!$C$13,"R",""))))</f>
        <v/>
      </c>
      <c r="BZ39" s="41" t="str">
        <f aca="false">IF(BZ$6=Eventos!$C$11,"F",IF(BZ$6=Eventos!$C$10,"P",IF(BZ$6=Eventos!$C$12,"C",IF(BZ$6=Eventos!$C$13,"R",""))))</f>
        <v/>
      </c>
      <c r="CA39" s="41" t="str">
        <f aca="false">IF(CA$6=Eventos!$C$11,"F",IF(CA$6=Eventos!$C$10,"P",IF(CA$6=Eventos!$C$12,"C",IF(CA$6=Eventos!$C$13,"R",""))))</f>
        <v/>
      </c>
      <c r="CB39" s="41" t="str">
        <f aca="false">IF(CB$6=Eventos!$C$11,"F",IF(CB$6=Eventos!$C$10,"P",IF(CB$6=Eventos!$C$12,"C",IF(CB$6=Eventos!$C$13,"R",""))))</f>
        <v/>
      </c>
      <c r="CC39" s="41" t="str">
        <f aca="false">IF(CC$6=Eventos!$C$11,"F",IF(CC$6=Eventos!$C$10,"P",IF(CC$6=Eventos!$C$12,"C",IF(CC$6=Eventos!$C$13,"R",""))))</f>
        <v/>
      </c>
      <c r="CD39" s="41" t="str">
        <f aca="false">IF(CD$6=Eventos!$C$11,"F",IF(CD$6=Eventos!$C$10,"P",IF(CD$6=Eventos!$C$12,"C",IF(CD$6=Eventos!$C$13,"R",""))))</f>
        <v/>
      </c>
      <c r="CE39" s="41" t="str">
        <f aca="false">IF(CE$6=Eventos!$C$11,"F",IF(CE$6=Eventos!$C$10,"P",IF(CE$6=Eventos!$C$12,"C",IF(CE$6=Eventos!$C$13,"R",""))))</f>
        <v/>
      </c>
      <c r="CF39" s="41" t="str">
        <f aca="false">IF(CF$6=Eventos!$C$11,"F",IF(CF$6=Eventos!$C$10,"P",IF(CF$6=Eventos!$C$12,"C",IF(CF$6=Eventos!$C$13,"R",""))))</f>
        <v/>
      </c>
    </row>
    <row r="40" customFormat="false" ht="15" hidden="false" customHeight="false" outlineLevel="1" collapsed="false">
      <c r="A40" s="10" t="s">
        <v>149</v>
      </c>
      <c r="B40" s="42" t="s">
        <v>150</v>
      </c>
      <c r="C40" s="10" t="s">
        <v>64</v>
      </c>
      <c r="D40" s="10" t="s">
        <v>151</v>
      </c>
      <c r="E40" s="43" t="n">
        <f aca="false">Historias!J9</f>
        <v>46279</v>
      </c>
      <c r="F40" s="43" t="n">
        <f aca="false">Historias!K9</f>
        <v>46283</v>
      </c>
      <c r="G40" s="10" t="n">
        <f aca="false">NETWORKDAYS(E40,F40,Feriados)</f>
        <v>4</v>
      </c>
      <c r="H40" s="12" t="n">
        <f aca="false">Historias!N9</f>
        <v>1</v>
      </c>
      <c r="I40" s="10" t="str">
        <f aca="false">Historias!P9</f>
        <v>Terminada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</row>
    <row r="41" customFormat="false" ht="15" hidden="true" customHeight="false" outlineLevel="2" collapsed="false">
      <c r="A41" s="44" t="s">
        <v>152</v>
      </c>
      <c r="B41" s="45" t="s">
        <v>153</v>
      </c>
      <c r="C41" s="44" t="s">
        <v>65</v>
      </c>
      <c r="D41" s="44" t="s">
        <v>92</v>
      </c>
      <c r="E41" s="46" t="n">
        <f aca="false">Tareas!H28</f>
        <v>46279</v>
      </c>
      <c r="F41" s="46" t="n">
        <f aca="false">Tareas!I28</f>
        <v>46283</v>
      </c>
      <c r="G41" s="44" t="n">
        <f aca="false">NETWORKDAYS(E41,F41,Feriados)</f>
        <v>4</v>
      </c>
      <c r="H41" s="47" t="n">
        <f aca="false">Tareas!K28</f>
        <v>1</v>
      </c>
      <c r="I41" s="44" t="str">
        <f aca="false">Tareas!J28</f>
        <v>Terminado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</row>
    <row r="42" customFormat="false" ht="15" hidden="true" customHeight="false" outlineLevel="2" collapsed="false">
      <c r="A42" s="44" t="s">
        <v>154</v>
      </c>
      <c r="B42" s="45" t="s">
        <v>155</v>
      </c>
      <c r="C42" s="44" t="s">
        <v>65</v>
      </c>
      <c r="D42" s="44" t="s">
        <v>102</v>
      </c>
      <c r="E42" s="46" t="n">
        <f aca="false">Tareas!H29</f>
        <v>46279</v>
      </c>
      <c r="F42" s="46" t="n">
        <f aca="false">Tareas!I29</f>
        <v>46283</v>
      </c>
      <c r="G42" s="44" t="n">
        <f aca="false">NETWORKDAYS(E42,F42,Feriados)</f>
        <v>4</v>
      </c>
      <c r="H42" s="47" t="n">
        <f aca="false">Tareas!K29</f>
        <v>1</v>
      </c>
      <c r="I42" s="44" t="str">
        <f aca="false">Tareas!J29</f>
        <v>Terminado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</row>
    <row r="43" customFormat="false" ht="15" hidden="true" customHeight="false" outlineLevel="2" collapsed="false">
      <c r="A43" s="44" t="s">
        <v>156</v>
      </c>
      <c r="B43" s="45" t="s">
        <v>157</v>
      </c>
      <c r="C43" s="44" t="s">
        <v>65</v>
      </c>
      <c r="D43" s="44" t="s">
        <v>92</v>
      </c>
      <c r="E43" s="46" t="n">
        <f aca="false">Tareas!H30</f>
        <v>46279</v>
      </c>
      <c r="F43" s="46" t="n">
        <f aca="false">Tareas!I30</f>
        <v>46283</v>
      </c>
      <c r="G43" s="44" t="n">
        <f aca="false">NETWORKDAYS(E43,F43,Feriados)</f>
        <v>4</v>
      </c>
      <c r="H43" s="47" t="n">
        <f aca="false">Tareas!K30</f>
        <v>1</v>
      </c>
      <c r="I43" s="44" t="str">
        <f aca="false">Tareas!J30</f>
        <v>Terminado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</row>
    <row r="44" customFormat="false" ht="15" hidden="true" customHeight="false" outlineLevel="2" collapsed="false">
      <c r="A44" s="44" t="s">
        <v>158</v>
      </c>
      <c r="B44" s="45" t="s">
        <v>159</v>
      </c>
      <c r="C44" s="44" t="s">
        <v>65</v>
      </c>
      <c r="D44" s="44" t="s">
        <v>92</v>
      </c>
      <c r="E44" s="46" t="n">
        <f aca="false">Tareas!H31</f>
        <v>46279</v>
      </c>
      <c r="F44" s="46" t="n">
        <f aca="false">Tareas!I31</f>
        <v>46283</v>
      </c>
      <c r="G44" s="44" t="n">
        <f aca="false">NETWORKDAYS(E44,F44,Feriados)</f>
        <v>4</v>
      </c>
      <c r="H44" s="47" t="n">
        <f aca="false">Tareas!K31</f>
        <v>1</v>
      </c>
      <c r="I44" s="44" t="str">
        <f aca="false">Tareas!J31</f>
        <v>Terminado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</row>
    <row r="45" customFormat="false" ht="15" hidden="true" customHeight="false" outlineLevel="2" collapsed="false">
      <c r="A45" s="44" t="s">
        <v>160</v>
      </c>
      <c r="B45" s="45" t="s">
        <v>161</v>
      </c>
      <c r="C45" s="44" t="s">
        <v>65</v>
      </c>
      <c r="D45" s="44" t="s">
        <v>97</v>
      </c>
      <c r="E45" s="46" t="n">
        <f aca="false">Tareas!H32</f>
        <v>46279</v>
      </c>
      <c r="F45" s="46" t="n">
        <f aca="false">Tareas!I32</f>
        <v>46283</v>
      </c>
      <c r="G45" s="44" t="n">
        <f aca="false">NETWORKDAYS(E45,F45,Feriados)</f>
        <v>4</v>
      </c>
      <c r="H45" s="47" t="n">
        <f aca="false">Tareas!K32</f>
        <v>1</v>
      </c>
      <c r="I45" s="44" t="str">
        <f aca="false">Tareas!J32</f>
        <v>Terminado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</row>
    <row r="46" customFormat="false" ht="15" hidden="false" customHeight="false" outlineLevel="1" collapsed="false">
      <c r="A46" s="10" t="s">
        <v>162</v>
      </c>
      <c r="B46" s="42" t="s">
        <v>163</v>
      </c>
      <c r="C46" s="10" t="s">
        <v>64</v>
      </c>
      <c r="D46" s="10" t="s">
        <v>151</v>
      </c>
      <c r="E46" s="43" t="n">
        <f aca="false">Historias!J10</f>
        <v>46279</v>
      </c>
      <c r="F46" s="43" t="n">
        <f aca="false">Historias!K10</f>
        <v>46283</v>
      </c>
      <c r="G46" s="10" t="n">
        <f aca="false">NETWORKDAYS(E46,F46,Feriados)</f>
        <v>4</v>
      </c>
      <c r="H46" s="12" t="n">
        <f aca="false">Historias!N10</f>
        <v>1</v>
      </c>
      <c r="I46" s="10" t="str">
        <f aca="false">Historias!P10</f>
        <v>Terminada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</row>
    <row r="47" customFormat="false" ht="15" hidden="true" customHeight="false" outlineLevel="2" collapsed="false">
      <c r="A47" s="44" t="s">
        <v>164</v>
      </c>
      <c r="B47" s="45" t="s">
        <v>165</v>
      </c>
      <c r="C47" s="44" t="s">
        <v>65</v>
      </c>
      <c r="D47" s="44" t="s">
        <v>102</v>
      </c>
      <c r="E47" s="46" t="n">
        <f aca="false">Tareas!H33</f>
        <v>46279</v>
      </c>
      <c r="F47" s="46" t="n">
        <f aca="false">Tareas!I33</f>
        <v>46283</v>
      </c>
      <c r="G47" s="44" t="n">
        <f aca="false">NETWORKDAYS(E47,F47,Feriados)</f>
        <v>4</v>
      </c>
      <c r="H47" s="47" t="n">
        <f aca="false">Tareas!K33</f>
        <v>1</v>
      </c>
      <c r="I47" s="44" t="str">
        <f aca="false">Tareas!J33</f>
        <v>Terminado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</row>
    <row r="48" customFormat="false" ht="15" hidden="true" customHeight="false" outlineLevel="2" collapsed="false">
      <c r="A48" s="44" t="s">
        <v>166</v>
      </c>
      <c r="B48" s="45" t="s">
        <v>167</v>
      </c>
      <c r="C48" s="44" t="s">
        <v>65</v>
      </c>
      <c r="D48" s="44" t="s">
        <v>92</v>
      </c>
      <c r="E48" s="46" t="n">
        <f aca="false">Tareas!H34</f>
        <v>46279</v>
      </c>
      <c r="F48" s="46" t="n">
        <f aca="false">Tareas!I34</f>
        <v>46283</v>
      </c>
      <c r="G48" s="44" t="n">
        <f aca="false">NETWORKDAYS(E48,F48,Feriados)</f>
        <v>4</v>
      </c>
      <c r="H48" s="47" t="n">
        <f aca="false">Tareas!K34</f>
        <v>1</v>
      </c>
      <c r="I48" s="44" t="str">
        <f aca="false">Tareas!J34</f>
        <v>Terminado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</row>
    <row r="49" customFormat="false" ht="15" hidden="true" customHeight="false" outlineLevel="2" collapsed="false">
      <c r="A49" s="44" t="s">
        <v>168</v>
      </c>
      <c r="B49" s="45" t="s">
        <v>169</v>
      </c>
      <c r="C49" s="44" t="s">
        <v>65</v>
      </c>
      <c r="D49" s="44" t="s">
        <v>97</v>
      </c>
      <c r="E49" s="46" t="n">
        <f aca="false">Tareas!H35</f>
        <v>46279</v>
      </c>
      <c r="F49" s="46" t="n">
        <f aca="false">Tareas!I35</f>
        <v>46283</v>
      </c>
      <c r="G49" s="44" t="n">
        <f aca="false">NETWORKDAYS(E49,F49,Feriados)</f>
        <v>4</v>
      </c>
      <c r="H49" s="47" t="n">
        <f aca="false">Tareas!K35</f>
        <v>1</v>
      </c>
      <c r="I49" s="44" t="str">
        <f aca="false">Tareas!J35</f>
        <v>Terminado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</row>
    <row r="50" customFormat="false" ht="15" hidden="true" customHeight="false" outlineLevel="2" collapsed="false">
      <c r="A50" s="44" t="s">
        <v>170</v>
      </c>
      <c r="B50" s="45" t="s">
        <v>171</v>
      </c>
      <c r="C50" s="44" t="s">
        <v>65</v>
      </c>
      <c r="D50" s="44" t="s">
        <v>97</v>
      </c>
      <c r="E50" s="46" t="n">
        <f aca="false">Tareas!H36</f>
        <v>46279</v>
      </c>
      <c r="F50" s="46" t="n">
        <f aca="false">Tareas!I36</f>
        <v>46283</v>
      </c>
      <c r="G50" s="44" t="n">
        <f aca="false">NETWORKDAYS(E50,F50,Feriados)</f>
        <v>4</v>
      </c>
      <c r="H50" s="47" t="n">
        <f aca="false">Tareas!K36</f>
        <v>1</v>
      </c>
      <c r="I50" s="44" t="str">
        <f aca="false">Tareas!J36</f>
        <v>Terminado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</row>
    <row r="51" customFormat="false" ht="15" hidden="false" customHeight="false" outlineLevel="1" collapsed="false">
      <c r="A51" s="10" t="s">
        <v>172</v>
      </c>
      <c r="B51" s="42" t="s">
        <v>173</v>
      </c>
      <c r="C51" s="10" t="s">
        <v>64</v>
      </c>
      <c r="D51" s="10" t="s">
        <v>151</v>
      </c>
      <c r="E51" s="43" t="n">
        <f aca="false">Historias!J11</f>
        <v>46286</v>
      </c>
      <c r="F51" s="43" t="n">
        <f aca="false">Historias!K11</f>
        <v>46290</v>
      </c>
      <c r="G51" s="10" t="n">
        <f aca="false">NETWORKDAYS(E51,F51,Feriados)</f>
        <v>5</v>
      </c>
      <c r="H51" s="12" t="n">
        <f aca="false">Historias!N11</f>
        <v>1</v>
      </c>
      <c r="I51" s="10" t="str">
        <f aca="false">Historias!P11</f>
        <v>Terminada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</row>
    <row r="52" customFormat="false" ht="15" hidden="true" customHeight="false" outlineLevel="2" collapsed="false">
      <c r="A52" s="44" t="s">
        <v>174</v>
      </c>
      <c r="B52" s="45" t="s">
        <v>175</v>
      </c>
      <c r="C52" s="44" t="s">
        <v>65</v>
      </c>
      <c r="D52" s="44" t="s">
        <v>92</v>
      </c>
      <c r="E52" s="46" t="n">
        <f aca="false">Tareas!H37</f>
        <v>46286</v>
      </c>
      <c r="F52" s="46" t="n">
        <f aca="false">Tareas!I37</f>
        <v>46290</v>
      </c>
      <c r="G52" s="44" t="n">
        <f aca="false">NETWORKDAYS(E52,F52,Feriados)</f>
        <v>5</v>
      </c>
      <c r="H52" s="47" t="n">
        <f aca="false">Tareas!K37</f>
        <v>1</v>
      </c>
      <c r="I52" s="44" t="str">
        <f aca="false">Tareas!J37</f>
        <v>Terminado</v>
      </c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</row>
    <row r="53" customFormat="false" ht="15" hidden="true" customHeight="false" outlineLevel="2" collapsed="false">
      <c r="A53" s="44" t="s">
        <v>176</v>
      </c>
      <c r="B53" s="45" t="s">
        <v>177</v>
      </c>
      <c r="C53" s="44" t="s">
        <v>65</v>
      </c>
      <c r="D53" s="44" t="s">
        <v>102</v>
      </c>
      <c r="E53" s="46" t="n">
        <f aca="false">Tareas!H38</f>
        <v>46286</v>
      </c>
      <c r="F53" s="46" t="n">
        <f aca="false">Tareas!I38</f>
        <v>46290</v>
      </c>
      <c r="G53" s="44" t="n">
        <f aca="false">NETWORKDAYS(E53,F53,Feriados)</f>
        <v>5</v>
      </c>
      <c r="H53" s="47" t="n">
        <f aca="false">Tareas!K38</f>
        <v>1</v>
      </c>
      <c r="I53" s="44" t="str">
        <f aca="false">Tareas!J38</f>
        <v>Terminado</v>
      </c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</row>
    <row r="54" customFormat="false" ht="15" hidden="true" customHeight="false" outlineLevel="2" collapsed="false">
      <c r="A54" s="44" t="s">
        <v>178</v>
      </c>
      <c r="B54" s="45" t="s">
        <v>179</v>
      </c>
      <c r="C54" s="44" t="s">
        <v>65</v>
      </c>
      <c r="D54" s="44" t="s">
        <v>102</v>
      </c>
      <c r="E54" s="46" t="n">
        <f aca="false">Tareas!H39</f>
        <v>46286</v>
      </c>
      <c r="F54" s="46" t="n">
        <f aca="false">Tareas!I39</f>
        <v>46290</v>
      </c>
      <c r="G54" s="44" t="n">
        <f aca="false">NETWORKDAYS(E54,F54,Feriados)</f>
        <v>5</v>
      </c>
      <c r="H54" s="47" t="n">
        <f aca="false">Tareas!K39</f>
        <v>1</v>
      </c>
      <c r="I54" s="44" t="str">
        <f aca="false">Tareas!J39</f>
        <v>Terminado</v>
      </c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</row>
    <row r="55" customFormat="false" ht="15" hidden="true" customHeight="false" outlineLevel="2" collapsed="false">
      <c r="A55" s="44" t="s">
        <v>180</v>
      </c>
      <c r="B55" s="45" t="s">
        <v>181</v>
      </c>
      <c r="C55" s="44" t="s">
        <v>65</v>
      </c>
      <c r="D55" s="44" t="s">
        <v>97</v>
      </c>
      <c r="E55" s="46" t="n">
        <f aca="false">Tareas!H40</f>
        <v>46286</v>
      </c>
      <c r="F55" s="46" t="n">
        <f aca="false">Tareas!I40</f>
        <v>46290</v>
      </c>
      <c r="G55" s="44" t="n">
        <f aca="false">NETWORKDAYS(E55,F55,Feriados)</f>
        <v>5</v>
      </c>
      <c r="H55" s="47" t="n">
        <f aca="false">Tareas!K40</f>
        <v>1</v>
      </c>
      <c r="I55" s="44" t="str">
        <f aca="false">Tareas!J40</f>
        <v>Terminado</v>
      </c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</row>
    <row r="56" customFormat="false" ht="15" hidden="false" customHeight="false" outlineLevel="1" collapsed="false">
      <c r="A56" s="10" t="s">
        <v>182</v>
      </c>
      <c r="B56" s="42" t="s">
        <v>183</v>
      </c>
      <c r="C56" s="10" t="s">
        <v>64</v>
      </c>
      <c r="D56" s="10" t="s">
        <v>151</v>
      </c>
      <c r="E56" s="43" t="n">
        <f aca="false">Historias!J12</f>
        <v>46286</v>
      </c>
      <c r="F56" s="43" t="n">
        <f aca="false">Historias!K12</f>
        <v>46290</v>
      </c>
      <c r="G56" s="10" t="n">
        <f aca="false">NETWORKDAYS(E56,F56,Feriados)</f>
        <v>5</v>
      </c>
      <c r="H56" s="12" t="n">
        <f aca="false">Historias!N12</f>
        <v>1</v>
      </c>
      <c r="I56" s="10" t="str">
        <f aca="false">Historias!P12</f>
        <v>Terminada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</row>
    <row r="57" customFormat="false" ht="15" hidden="true" customHeight="false" outlineLevel="2" collapsed="false">
      <c r="A57" s="44" t="s">
        <v>184</v>
      </c>
      <c r="B57" s="45" t="s">
        <v>185</v>
      </c>
      <c r="C57" s="44" t="s">
        <v>65</v>
      </c>
      <c r="D57" s="44" t="s">
        <v>97</v>
      </c>
      <c r="E57" s="46" t="n">
        <f aca="false">Tareas!H41</f>
        <v>46286</v>
      </c>
      <c r="F57" s="46" t="n">
        <f aca="false">Tareas!I41</f>
        <v>46290</v>
      </c>
      <c r="G57" s="44" t="n">
        <f aca="false">NETWORKDAYS(E57,F57,Feriados)</f>
        <v>5</v>
      </c>
      <c r="H57" s="47" t="n">
        <f aca="false">Tareas!K41</f>
        <v>1</v>
      </c>
      <c r="I57" s="44" t="str">
        <f aca="false">Tareas!J41</f>
        <v>Terminado</v>
      </c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</row>
    <row r="58" customFormat="false" ht="15" hidden="true" customHeight="false" outlineLevel="2" collapsed="false">
      <c r="A58" s="44" t="s">
        <v>186</v>
      </c>
      <c r="B58" s="45" t="s">
        <v>187</v>
      </c>
      <c r="C58" s="44" t="s">
        <v>65</v>
      </c>
      <c r="D58" s="44" t="s">
        <v>97</v>
      </c>
      <c r="E58" s="46" t="n">
        <f aca="false">Tareas!H42</f>
        <v>46286</v>
      </c>
      <c r="F58" s="46" t="n">
        <f aca="false">Tareas!I42</f>
        <v>46290</v>
      </c>
      <c r="G58" s="44" t="n">
        <f aca="false">NETWORKDAYS(E58,F58,Feriados)</f>
        <v>5</v>
      </c>
      <c r="H58" s="47" t="n">
        <f aca="false">Tareas!K42</f>
        <v>1</v>
      </c>
      <c r="I58" s="44" t="str">
        <f aca="false">Tareas!J42</f>
        <v>Terminado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</row>
    <row r="59" customFormat="false" ht="15" hidden="true" customHeight="false" outlineLevel="2" collapsed="false">
      <c r="A59" s="44" t="s">
        <v>188</v>
      </c>
      <c r="B59" s="45" t="s">
        <v>189</v>
      </c>
      <c r="C59" s="44" t="s">
        <v>65</v>
      </c>
      <c r="D59" s="44" t="s">
        <v>92</v>
      </c>
      <c r="E59" s="46" t="n">
        <f aca="false">Tareas!H43</f>
        <v>46286</v>
      </c>
      <c r="F59" s="46" t="n">
        <f aca="false">Tareas!I43</f>
        <v>46290</v>
      </c>
      <c r="G59" s="44" t="n">
        <f aca="false">NETWORKDAYS(E59,F59,Feriados)</f>
        <v>5</v>
      </c>
      <c r="H59" s="47" t="n">
        <f aca="false">Tareas!K43</f>
        <v>1</v>
      </c>
      <c r="I59" s="44" t="str">
        <f aca="false">Tareas!J43</f>
        <v>Terminado</v>
      </c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</row>
    <row r="60" customFormat="false" ht="15" hidden="true" customHeight="false" outlineLevel="2" collapsed="false">
      <c r="A60" s="44" t="s">
        <v>190</v>
      </c>
      <c r="B60" s="45" t="s">
        <v>191</v>
      </c>
      <c r="C60" s="44" t="s">
        <v>65</v>
      </c>
      <c r="D60" s="44" t="s">
        <v>102</v>
      </c>
      <c r="E60" s="46" t="n">
        <f aca="false">Tareas!H44</f>
        <v>46286</v>
      </c>
      <c r="F60" s="46" t="n">
        <f aca="false">Tareas!I44</f>
        <v>46290</v>
      </c>
      <c r="G60" s="44" t="n">
        <f aca="false">NETWORKDAYS(E60,F60,Feriados)</f>
        <v>5</v>
      </c>
      <c r="H60" s="47" t="n">
        <f aca="false">Tareas!K44</f>
        <v>1</v>
      </c>
      <c r="I60" s="44" t="str">
        <f aca="false">Tareas!J44</f>
        <v>Terminado</v>
      </c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</row>
    <row r="61" customFormat="false" ht="15" hidden="true" customHeight="false" outlineLevel="2" collapsed="false">
      <c r="A61" s="44" t="s">
        <v>192</v>
      </c>
      <c r="B61" s="45" t="s">
        <v>193</v>
      </c>
      <c r="C61" s="44" t="s">
        <v>65</v>
      </c>
      <c r="D61" s="44" t="s">
        <v>92</v>
      </c>
      <c r="E61" s="46" t="n">
        <f aca="false">Tareas!H45</f>
        <v>46286</v>
      </c>
      <c r="F61" s="46" t="n">
        <f aca="false">Tareas!I45</f>
        <v>46290</v>
      </c>
      <c r="G61" s="44" t="n">
        <f aca="false">NETWORKDAYS(E61,F61,Feriados)</f>
        <v>5</v>
      </c>
      <c r="H61" s="47" t="n">
        <f aca="false">Tareas!K45</f>
        <v>1</v>
      </c>
      <c r="I61" s="44" t="str">
        <f aca="false">Tareas!J45</f>
        <v>Terminado</v>
      </c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</row>
    <row r="62" customFormat="false" ht="15" hidden="false" customHeight="false" outlineLevel="1" collapsed="false">
      <c r="A62" s="10"/>
      <c r="B62" s="42" t="s">
        <v>137</v>
      </c>
      <c r="C62" s="10" t="s">
        <v>64</v>
      </c>
      <c r="D62" s="10" t="s">
        <v>86</v>
      </c>
      <c r="E62" s="43" t="n">
        <f aca="false">_xlfn.MINIFS(Tareas!$H:$H,Tareas!$B:$B,"Sprint 2",Tareas!$C:$C,"Transversal")</f>
        <v>46286</v>
      </c>
      <c r="F62" s="43" t="n">
        <f aca="false">_xlfn.MAXIFS(Tareas!$I:$I,Tareas!$B:$B,"Sprint 2",Tareas!$C:$C,"Transversal")</f>
        <v>46290</v>
      </c>
      <c r="G62" s="10" t="n">
        <f aca="false">NETWORKDAYS(E62,F62,Feriados)</f>
        <v>5</v>
      </c>
      <c r="H62" s="12" t="n">
        <f aca="false">IFERROR(SUMIFS(Tareas!$L:$L,Tareas!$B:$B,"Sprint 2",Tareas!$C:$C,"Transversal")/SUMIFS(Tareas!$F:$F,Tareas!$B:$B,"Sprint 2",Tareas!$C:$C,"Transversal"),0)</f>
        <v>1</v>
      </c>
      <c r="I62" s="1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</row>
    <row r="63" customFormat="false" ht="15" hidden="true" customHeight="false" outlineLevel="2" collapsed="false">
      <c r="A63" s="44" t="s">
        <v>194</v>
      </c>
      <c r="B63" s="45" t="s">
        <v>195</v>
      </c>
      <c r="C63" s="44" t="s">
        <v>65</v>
      </c>
      <c r="D63" s="44" t="s">
        <v>102</v>
      </c>
      <c r="E63" s="46" t="n">
        <f aca="false">Tareas!H46</f>
        <v>46286</v>
      </c>
      <c r="F63" s="46" t="n">
        <f aca="false">Tareas!I46</f>
        <v>46290</v>
      </c>
      <c r="G63" s="44" t="n">
        <f aca="false">NETWORKDAYS(E63,F63,Feriados)</f>
        <v>5</v>
      </c>
      <c r="H63" s="47" t="n">
        <f aca="false">Tareas!K46</f>
        <v>1</v>
      </c>
      <c r="I63" s="44" t="str">
        <f aca="false">Tareas!J46</f>
        <v>Terminado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</row>
    <row r="64" customFormat="false" ht="15" hidden="true" customHeight="false" outlineLevel="2" collapsed="false">
      <c r="A64" s="44" t="s">
        <v>196</v>
      </c>
      <c r="B64" s="45" t="s">
        <v>197</v>
      </c>
      <c r="C64" s="44" t="s">
        <v>65</v>
      </c>
      <c r="D64" s="44" t="s">
        <v>92</v>
      </c>
      <c r="E64" s="46" t="n">
        <f aca="false">Tareas!H47</f>
        <v>46286</v>
      </c>
      <c r="F64" s="46" t="n">
        <f aca="false">Tareas!I47</f>
        <v>46290</v>
      </c>
      <c r="G64" s="44" t="n">
        <f aca="false">NETWORKDAYS(E64,F64,Feriados)</f>
        <v>5</v>
      </c>
      <c r="H64" s="47" t="n">
        <f aca="false">Tareas!K47</f>
        <v>1</v>
      </c>
      <c r="I64" s="44" t="str">
        <f aca="false">Tareas!J47</f>
        <v>Terminado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</row>
    <row r="65" customFormat="false" ht="15" hidden="true" customHeight="false" outlineLevel="2" collapsed="false">
      <c r="A65" s="44" t="s">
        <v>198</v>
      </c>
      <c r="B65" s="45" t="s">
        <v>145</v>
      </c>
      <c r="C65" s="44" t="s">
        <v>65</v>
      </c>
      <c r="D65" s="44" t="s">
        <v>97</v>
      </c>
      <c r="E65" s="46" t="n">
        <f aca="false">Tareas!H48</f>
        <v>46286</v>
      </c>
      <c r="F65" s="46" t="n">
        <f aca="false">Tareas!I48</f>
        <v>46290</v>
      </c>
      <c r="G65" s="44" t="n">
        <f aca="false">NETWORKDAYS(E65,F65,Feriados)</f>
        <v>5</v>
      </c>
      <c r="H65" s="47" t="n">
        <f aca="false">Tareas!K48</f>
        <v>1</v>
      </c>
      <c r="I65" s="44" t="str">
        <f aca="false">Tareas!J48</f>
        <v>Terminado</v>
      </c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</row>
    <row r="66" customFormat="false" ht="23.85" hidden="false" customHeight="false" outlineLevel="0" collapsed="false">
      <c r="A66" s="8" t="s">
        <v>199</v>
      </c>
      <c r="B66" s="34" t="s">
        <v>200</v>
      </c>
      <c r="C66" s="8" t="s">
        <v>7</v>
      </c>
      <c r="D66" s="8" t="s">
        <v>201</v>
      </c>
      <c r="E66" s="35" t="n">
        <f aca="false">Resumen!C10</f>
        <v>46293</v>
      </c>
      <c r="F66" s="35" t="n">
        <f aca="false">Resumen!D10</f>
        <v>46304</v>
      </c>
      <c r="G66" s="8" t="n">
        <f aca="false">NETWORKDAYS(E66,F66,Feriados)</f>
        <v>10</v>
      </c>
      <c r="H66" s="15" t="n">
        <f aca="false">Resumen!L10</f>
        <v>1</v>
      </c>
      <c r="I66" s="8" t="str">
        <f aca="false">Resumen!Q10</f>
        <v>Cerrado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</row>
    <row r="67" customFormat="false" ht="15" hidden="false" customHeight="false" outlineLevel="1" collapsed="false">
      <c r="A67" s="37"/>
      <c r="B67" s="38" t="s">
        <v>84</v>
      </c>
      <c r="C67" s="37" t="s">
        <v>85</v>
      </c>
      <c r="D67" s="37" t="s">
        <v>86</v>
      </c>
      <c r="E67" s="39"/>
      <c r="F67" s="39"/>
      <c r="G67" s="37"/>
      <c r="H67" s="40"/>
      <c r="I67" s="37"/>
      <c r="J67" s="41" t="str">
        <f aca="false">IF(J$6=Eventos!$C$16,"F",IF(J$6=Eventos!$C$15,"P",IF(J$6=Eventos!$C$17,"C",IF(J$6=Eventos!$C$18,"R",""))))</f>
        <v/>
      </c>
      <c r="K67" s="41" t="str">
        <f aca="false">IF(K$6=Eventos!$C$16,"F",IF(K$6=Eventos!$C$15,"P",IF(K$6=Eventos!$C$17,"C",IF(K$6=Eventos!$C$18,"R",""))))</f>
        <v/>
      </c>
      <c r="L67" s="41" t="str">
        <f aca="false">IF(L$6=Eventos!$C$16,"F",IF(L$6=Eventos!$C$15,"P",IF(L$6=Eventos!$C$17,"C",IF(L$6=Eventos!$C$18,"R",""))))</f>
        <v/>
      </c>
      <c r="M67" s="41" t="str">
        <f aca="false">IF(M$6=Eventos!$C$16,"F",IF(M$6=Eventos!$C$15,"P",IF(M$6=Eventos!$C$17,"C",IF(M$6=Eventos!$C$18,"R",""))))</f>
        <v/>
      </c>
      <c r="N67" s="41" t="str">
        <f aca="false">IF(N$6=Eventos!$C$16,"F",IF(N$6=Eventos!$C$15,"P",IF(N$6=Eventos!$C$17,"C",IF(N$6=Eventos!$C$18,"R",""))))</f>
        <v/>
      </c>
      <c r="O67" s="41" t="str">
        <f aca="false">IF(O$6=Eventos!$C$16,"F",IF(O$6=Eventos!$C$15,"P",IF(O$6=Eventos!$C$17,"C",IF(O$6=Eventos!$C$18,"R",""))))</f>
        <v/>
      </c>
      <c r="P67" s="41" t="str">
        <f aca="false">IF(P$6=Eventos!$C$16,"F",IF(P$6=Eventos!$C$15,"P",IF(P$6=Eventos!$C$17,"C",IF(P$6=Eventos!$C$18,"R",""))))</f>
        <v/>
      </c>
      <c r="Q67" s="41" t="str">
        <f aca="false">IF(Q$6=Eventos!$C$16,"F",IF(Q$6=Eventos!$C$15,"P",IF(Q$6=Eventos!$C$17,"C",IF(Q$6=Eventos!$C$18,"R",""))))</f>
        <v/>
      </c>
      <c r="R67" s="41" t="str">
        <f aca="false">IF(R$6=Eventos!$C$16,"F",IF(R$6=Eventos!$C$15,"P",IF(R$6=Eventos!$C$17,"C",IF(R$6=Eventos!$C$18,"R",""))))</f>
        <v/>
      </c>
      <c r="S67" s="41" t="str">
        <f aca="false">IF(S$6=Eventos!$C$16,"F",IF(S$6=Eventos!$C$15,"P",IF(S$6=Eventos!$C$17,"C",IF(S$6=Eventos!$C$18,"R",""))))</f>
        <v/>
      </c>
      <c r="T67" s="41" t="str">
        <f aca="false">IF(T$6=Eventos!$C$16,"F",IF(T$6=Eventos!$C$15,"P",IF(T$6=Eventos!$C$17,"C",IF(T$6=Eventos!$C$18,"R",""))))</f>
        <v/>
      </c>
      <c r="U67" s="41" t="str">
        <f aca="false">IF(U$6=Eventos!$C$16,"F",IF(U$6=Eventos!$C$15,"P",IF(U$6=Eventos!$C$17,"C",IF(U$6=Eventos!$C$18,"R",""))))</f>
        <v/>
      </c>
      <c r="V67" s="41" t="str">
        <f aca="false">IF(V$6=Eventos!$C$16,"F",IF(V$6=Eventos!$C$15,"P",IF(V$6=Eventos!$C$17,"C",IF(V$6=Eventos!$C$18,"R",""))))</f>
        <v/>
      </c>
      <c r="W67" s="41" t="str">
        <f aca="false">IF(W$6=Eventos!$C$16,"F",IF(W$6=Eventos!$C$15,"P",IF(W$6=Eventos!$C$17,"C",IF(W$6=Eventos!$C$18,"R",""))))</f>
        <v/>
      </c>
      <c r="X67" s="41" t="str">
        <f aca="false">IF(X$6=Eventos!$C$16,"F",IF(X$6=Eventos!$C$15,"P",IF(X$6=Eventos!$C$17,"C",IF(X$6=Eventos!$C$18,"R",""))))</f>
        <v/>
      </c>
      <c r="Y67" s="41" t="str">
        <f aca="false">IF(Y$6=Eventos!$C$16,"F",IF(Y$6=Eventos!$C$15,"P",IF(Y$6=Eventos!$C$17,"C",IF(Y$6=Eventos!$C$18,"R",""))))</f>
        <v/>
      </c>
      <c r="Z67" s="41" t="str">
        <f aca="false">IF(Z$6=Eventos!$C$16,"F",IF(Z$6=Eventos!$C$15,"P",IF(Z$6=Eventos!$C$17,"C",IF(Z$6=Eventos!$C$18,"R",""))))</f>
        <v/>
      </c>
      <c r="AA67" s="41" t="str">
        <f aca="false">IF(AA$6=Eventos!$C$16,"F",IF(AA$6=Eventos!$C$15,"P",IF(AA$6=Eventos!$C$17,"C",IF(AA$6=Eventos!$C$18,"R",""))))</f>
        <v/>
      </c>
      <c r="AB67" s="41" t="str">
        <f aca="false">IF(AB$6=Eventos!$C$16,"F",IF(AB$6=Eventos!$C$15,"P",IF(AB$6=Eventos!$C$17,"C",IF(AB$6=Eventos!$C$18,"R",""))))</f>
        <v/>
      </c>
      <c r="AC67" s="41" t="str">
        <f aca="false">IF(AC$6=Eventos!$C$16,"F",IF(AC$6=Eventos!$C$15,"P",IF(AC$6=Eventos!$C$17,"C",IF(AC$6=Eventos!$C$18,"R",""))))</f>
        <v/>
      </c>
      <c r="AD67" s="41" t="str">
        <f aca="false">IF(AD$6=Eventos!$C$16,"F",IF(AD$6=Eventos!$C$15,"P",IF(AD$6=Eventos!$C$17,"C",IF(AD$6=Eventos!$C$18,"R",""))))</f>
        <v>P</v>
      </c>
      <c r="AE67" s="41" t="str">
        <f aca="false">IF(AE$6=Eventos!$C$16,"F",IF(AE$6=Eventos!$C$15,"P",IF(AE$6=Eventos!$C$17,"C",IF(AE$6=Eventos!$C$18,"R",""))))</f>
        <v/>
      </c>
      <c r="AF67" s="41" t="str">
        <f aca="false">IF(AF$6=Eventos!$C$16,"F",IF(AF$6=Eventos!$C$15,"P",IF(AF$6=Eventos!$C$17,"C",IF(AF$6=Eventos!$C$18,"R",""))))</f>
        <v/>
      </c>
      <c r="AG67" s="41" t="str">
        <f aca="false">IF(AG$6=Eventos!$C$16,"F",IF(AG$6=Eventos!$C$15,"P",IF(AG$6=Eventos!$C$17,"C",IF(AG$6=Eventos!$C$18,"R",""))))</f>
        <v/>
      </c>
      <c r="AH67" s="41" t="str">
        <f aca="false">IF(AH$6=Eventos!$C$16,"F",IF(AH$6=Eventos!$C$15,"P",IF(AH$6=Eventos!$C$17,"C",IF(AH$6=Eventos!$C$18,"R",""))))</f>
        <v/>
      </c>
      <c r="AI67" s="41" t="str">
        <f aca="false">IF(AI$6=Eventos!$C$16,"F",IF(AI$6=Eventos!$C$15,"P",IF(AI$6=Eventos!$C$17,"C",IF(AI$6=Eventos!$C$18,"R",""))))</f>
        <v>F</v>
      </c>
      <c r="AJ67" s="41" t="str">
        <f aca="false">IF(AJ$6=Eventos!$C$16,"F",IF(AJ$6=Eventos!$C$15,"P",IF(AJ$6=Eventos!$C$17,"C",IF(AJ$6=Eventos!$C$18,"R",""))))</f>
        <v/>
      </c>
      <c r="AK67" s="41" t="str">
        <f aca="false">IF(AK$6=Eventos!$C$16,"F",IF(AK$6=Eventos!$C$15,"P",IF(AK$6=Eventos!$C$17,"C",IF(AK$6=Eventos!$C$18,"R",""))))</f>
        <v/>
      </c>
      <c r="AL67" s="41" t="str">
        <f aca="false">IF(AL$6=Eventos!$C$16,"F",IF(AL$6=Eventos!$C$15,"P",IF(AL$6=Eventos!$C$17,"C",IF(AL$6=Eventos!$C$18,"R",""))))</f>
        <v>C</v>
      </c>
      <c r="AM67" s="41" t="str">
        <f aca="false">IF(AM$6=Eventos!$C$16,"F",IF(AM$6=Eventos!$C$15,"P",IF(AM$6=Eventos!$C$17,"C",IF(AM$6=Eventos!$C$18,"R",""))))</f>
        <v>R</v>
      </c>
      <c r="AN67" s="41" t="str">
        <f aca="false">IF(AN$6=Eventos!$C$16,"F",IF(AN$6=Eventos!$C$15,"P",IF(AN$6=Eventos!$C$17,"C",IF(AN$6=Eventos!$C$18,"R",""))))</f>
        <v/>
      </c>
      <c r="AO67" s="41" t="str">
        <f aca="false">IF(AO$6=Eventos!$C$16,"F",IF(AO$6=Eventos!$C$15,"P",IF(AO$6=Eventos!$C$17,"C",IF(AO$6=Eventos!$C$18,"R",""))))</f>
        <v/>
      </c>
      <c r="AP67" s="41" t="str">
        <f aca="false">IF(AP$6=Eventos!$C$16,"F",IF(AP$6=Eventos!$C$15,"P",IF(AP$6=Eventos!$C$17,"C",IF(AP$6=Eventos!$C$18,"R",""))))</f>
        <v/>
      </c>
      <c r="AQ67" s="41" t="str">
        <f aca="false">IF(AQ$6=Eventos!$C$16,"F",IF(AQ$6=Eventos!$C$15,"P",IF(AQ$6=Eventos!$C$17,"C",IF(AQ$6=Eventos!$C$18,"R",""))))</f>
        <v/>
      </c>
      <c r="AR67" s="41" t="str">
        <f aca="false">IF(AR$6=Eventos!$C$16,"F",IF(AR$6=Eventos!$C$15,"P",IF(AR$6=Eventos!$C$17,"C",IF(AR$6=Eventos!$C$18,"R",""))))</f>
        <v/>
      </c>
      <c r="AS67" s="41" t="str">
        <f aca="false">IF(AS$6=Eventos!$C$16,"F",IF(AS$6=Eventos!$C$15,"P",IF(AS$6=Eventos!$C$17,"C",IF(AS$6=Eventos!$C$18,"R",""))))</f>
        <v/>
      </c>
      <c r="AT67" s="41" t="str">
        <f aca="false">IF(AT$6=Eventos!$C$16,"F",IF(AT$6=Eventos!$C$15,"P",IF(AT$6=Eventos!$C$17,"C",IF(AT$6=Eventos!$C$18,"R",""))))</f>
        <v/>
      </c>
      <c r="AU67" s="41" t="str">
        <f aca="false">IF(AU$6=Eventos!$C$16,"F",IF(AU$6=Eventos!$C$15,"P",IF(AU$6=Eventos!$C$17,"C",IF(AU$6=Eventos!$C$18,"R",""))))</f>
        <v/>
      </c>
      <c r="AV67" s="41" t="str">
        <f aca="false">IF(AV$6=Eventos!$C$16,"F",IF(AV$6=Eventos!$C$15,"P",IF(AV$6=Eventos!$C$17,"C",IF(AV$6=Eventos!$C$18,"R",""))))</f>
        <v/>
      </c>
      <c r="AW67" s="41" t="str">
        <f aca="false">IF(AW$6=Eventos!$C$16,"F",IF(AW$6=Eventos!$C$15,"P",IF(AW$6=Eventos!$C$17,"C",IF(AW$6=Eventos!$C$18,"R",""))))</f>
        <v/>
      </c>
      <c r="AX67" s="41" t="str">
        <f aca="false">IF(AX$6=Eventos!$C$16,"F",IF(AX$6=Eventos!$C$15,"P",IF(AX$6=Eventos!$C$17,"C",IF(AX$6=Eventos!$C$18,"R",""))))</f>
        <v/>
      </c>
      <c r="AY67" s="41" t="str">
        <f aca="false">IF(AY$6=Eventos!$C$16,"F",IF(AY$6=Eventos!$C$15,"P",IF(AY$6=Eventos!$C$17,"C",IF(AY$6=Eventos!$C$18,"R",""))))</f>
        <v/>
      </c>
      <c r="AZ67" s="41" t="str">
        <f aca="false">IF(AZ$6=Eventos!$C$16,"F",IF(AZ$6=Eventos!$C$15,"P",IF(AZ$6=Eventos!$C$17,"C",IF(AZ$6=Eventos!$C$18,"R",""))))</f>
        <v/>
      </c>
      <c r="BA67" s="41" t="str">
        <f aca="false">IF(BA$6=Eventos!$C$16,"F",IF(BA$6=Eventos!$C$15,"P",IF(BA$6=Eventos!$C$17,"C",IF(BA$6=Eventos!$C$18,"R",""))))</f>
        <v/>
      </c>
      <c r="BB67" s="41" t="str">
        <f aca="false">IF(BB$6=Eventos!$C$16,"F",IF(BB$6=Eventos!$C$15,"P",IF(BB$6=Eventos!$C$17,"C",IF(BB$6=Eventos!$C$18,"R",""))))</f>
        <v/>
      </c>
      <c r="BC67" s="41" t="str">
        <f aca="false">IF(BC$6=Eventos!$C$16,"F",IF(BC$6=Eventos!$C$15,"P",IF(BC$6=Eventos!$C$17,"C",IF(BC$6=Eventos!$C$18,"R",""))))</f>
        <v/>
      </c>
      <c r="BD67" s="41" t="str">
        <f aca="false">IF(BD$6=Eventos!$C$16,"F",IF(BD$6=Eventos!$C$15,"P",IF(BD$6=Eventos!$C$17,"C",IF(BD$6=Eventos!$C$18,"R",""))))</f>
        <v/>
      </c>
      <c r="BE67" s="41" t="str">
        <f aca="false">IF(BE$6=Eventos!$C$16,"F",IF(BE$6=Eventos!$C$15,"P",IF(BE$6=Eventos!$C$17,"C",IF(BE$6=Eventos!$C$18,"R",""))))</f>
        <v/>
      </c>
      <c r="BF67" s="41" t="str">
        <f aca="false">IF(BF$6=Eventos!$C$16,"F",IF(BF$6=Eventos!$C$15,"P",IF(BF$6=Eventos!$C$17,"C",IF(BF$6=Eventos!$C$18,"R",""))))</f>
        <v/>
      </c>
      <c r="BG67" s="41" t="str">
        <f aca="false">IF(BG$6=Eventos!$C$16,"F",IF(BG$6=Eventos!$C$15,"P",IF(BG$6=Eventos!$C$17,"C",IF(BG$6=Eventos!$C$18,"R",""))))</f>
        <v/>
      </c>
      <c r="BH67" s="41" t="str">
        <f aca="false">IF(BH$6=Eventos!$C$16,"F",IF(BH$6=Eventos!$C$15,"P",IF(BH$6=Eventos!$C$17,"C",IF(BH$6=Eventos!$C$18,"R",""))))</f>
        <v/>
      </c>
      <c r="BI67" s="41" t="str">
        <f aca="false">IF(BI$6=Eventos!$C$16,"F",IF(BI$6=Eventos!$C$15,"P",IF(BI$6=Eventos!$C$17,"C",IF(BI$6=Eventos!$C$18,"R",""))))</f>
        <v/>
      </c>
      <c r="BJ67" s="41" t="str">
        <f aca="false">IF(BJ$6=Eventos!$C$16,"F",IF(BJ$6=Eventos!$C$15,"P",IF(BJ$6=Eventos!$C$17,"C",IF(BJ$6=Eventos!$C$18,"R",""))))</f>
        <v/>
      </c>
      <c r="BK67" s="41" t="str">
        <f aca="false">IF(BK$6=Eventos!$C$16,"F",IF(BK$6=Eventos!$C$15,"P",IF(BK$6=Eventos!$C$17,"C",IF(BK$6=Eventos!$C$18,"R",""))))</f>
        <v/>
      </c>
      <c r="BL67" s="41" t="str">
        <f aca="false">IF(BL$6=Eventos!$C$16,"F",IF(BL$6=Eventos!$C$15,"P",IF(BL$6=Eventos!$C$17,"C",IF(BL$6=Eventos!$C$18,"R",""))))</f>
        <v/>
      </c>
      <c r="BM67" s="41" t="str">
        <f aca="false">IF(BM$6=Eventos!$C$16,"F",IF(BM$6=Eventos!$C$15,"P",IF(BM$6=Eventos!$C$17,"C",IF(BM$6=Eventos!$C$18,"R",""))))</f>
        <v/>
      </c>
      <c r="BN67" s="41" t="str">
        <f aca="false">IF(BN$6=Eventos!$C$16,"F",IF(BN$6=Eventos!$C$15,"P",IF(BN$6=Eventos!$C$17,"C",IF(BN$6=Eventos!$C$18,"R",""))))</f>
        <v/>
      </c>
      <c r="BO67" s="41" t="str">
        <f aca="false">IF(BO$6=Eventos!$C$16,"F",IF(BO$6=Eventos!$C$15,"P",IF(BO$6=Eventos!$C$17,"C",IF(BO$6=Eventos!$C$18,"R",""))))</f>
        <v/>
      </c>
      <c r="BP67" s="41" t="str">
        <f aca="false">IF(BP$6=Eventos!$C$16,"F",IF(BP$6=Eventos!$C$15,"P",IF(BP$6=Eventos!$C$17,"C",IF(BP$6=Eventos!$C$18,"R",""))))</f>
        <v/>
      </c>
      <c r="BQ67" s="41" t="str">
        <f aca="false">IF(BQ$6=Eventos!$C$16,"F",IF(BQ$6=Eventos!$C$15,"P",IF(BQ$6=Eventos!$C$17,"C",IF(BQ$6=Eventos!$C$18,"R",""))))</f>
        <v/>
      </c>
      <c r="BR67" s="41" t="str">
        <f aca="false">IF(BR$6=Eventos!$C$16,"F",IF(BR$6=Eventos!$C$15,"P",IF(BR$6=Eventos!$C$17,"C",IF(BR$6=Eventos!$C$18,"R",""))))</f>
        <v/>
      </c>
      <c r="BS67" s="41" t="str">
        <f aca="false">IF(BS$6=Eventos!$C$16,"F",IF(BS$6=Eventos!$C$15,"P",IF(BS$6=Eventos!$C$17,"C",IF(BS$6=Eventos!$C$18,"R",""))))</f>
        <v/>
      </c>
      <c r="BT67" s="41" t="str">
        <f aca="false">IF(BT$6=Eventos!$C$16,"F",IF(BT$6=Eventos!$C$15,"P",IF(BT$6=Eventos!$C$17,"C",IF(BT$6=Eventos!$C$18,"R",""))))</f>
        <v/>
      </c>
      <c r="BU67" s="41" t="str">
        <f aca="false">IF(BU$6=Eventos!$C$16,"F",IF(BU$6=Eventos!$C$15,"P",IF(BU$6=Eventos!$C$17,"C",IF(BU$6=Eventos!$C$18,"R",""))))</f>
        <v/>
      </c>
      <c r="BV67" s="41" t="str">
        <f aca="false">IF(BV$6=Eventos!$C$16,"F",IF(BV$6=Eventos!$C$15,"P",IF(BV$6=Eventos!$C$17,"C",IF(BV$6=Eventos!$C$18,"R",""))))</f>
        <v/>
      </c>
      <c r="BW67" s="41" t="str">
        <f aca="false">IF(BW$6=Eventos!$C$16,"F",IF(BW$6=Eventos!$C$15,"P",IF(BW$6=Eventos!$C$17,"C",IF(BW$6=Eventos!$C$18,"R",""))))</f>
        <v/>
      </c>
      <c r="BX67" s="41" t="str">
        <f aca="false">IF(BX$6=Eventos!$C$16,"F",IF(BX$6=Eventos!$C$15,"P",IF(BX$6=Eventos!$C$17,"C",IF(BX$6=Eventos!$C$18,"R",""))))</f>
        <v/>
      </c>
      <c r="BY67" s="41" t="str">
        <f aca="false">IF(BY$6=Eventos!$C$16,"F",IF(BY$6=Eventos!$C$15,"P",IF(BY$6=Eventos!$C$17,"C",IF(BY$6=Eventos!$C$18,"R",""))))</f>
        <v/>
      </c>
      <c r="BZ67" s="41" t="str">
        <f aca="false">IF(BZ$6=Eventos!$C$16,"F",IF(BZ$6=Eventos!$C$15,"P",IF(BZ$6=Eventos!$C$17,"C",IF(BZ$6=Eventos!$C$18,"R",""))))</f>
        <v/>
      </c>
      <c r="CA67" s="41" t="str">
        <f aca="false">IF(CA$6=Eventos!$C$16,"F",IF(CA$6=Eventos!$C$15,"P",IF(CA$6=Eventos!$C$17,"C",IF(CA$6=Eventos!$C$18,"R",""))))</f>
        <v/>
      </c>
      <c r="CB67" s="41" t="str">
        <f aca="false">IF(CB$6=Eventos!$C$16,"F",IF(CB$6=Eventos!$C$15,"P",IF(CB$6=Eventos!$C$17,"C",IF(CB$6=Eventos!$C$18,"R",""))))</f>
        <v/>
      </c>
      <c r="CC67" s="41" t="str">
        <f aca="false">IF(CC$6=Eventos!$C$16,"F",IF(CC$6=Eventos!$C$15,"P",IF(CC$6=Eventos!$C$17,"C",IF(CC$6=Eventos!$C$18,"R",""))))</f>
        <v/>
      </c>
      <c r="CD67" s="41" t="str">
        <f aca="false">IF(CD$6=Eventos!$C$16,"F",IF(CD$6=Eventos!$C$15,"P",IF(CD$6=Eventos!$C$17,"C",IF(CD$6=Eventos!$C$18,"R",""))))</f>
        <v/>
      </c>
      <c r="CE67" s="41" t="str">
        <f aca="false">IF(CE$6=Eventos!$C$16,"F",IF(CE$6=Eventos!$C$15,"P",IF(CE$6=Eventos!$C$17,"C",IF(CE$6=Eventos!$C$18,"R",""))))</f>
        <v/>
      </c>
      <c r="CF67" s="41" t="str">
        <f aca="false">IF(CF$6=Eventos!$C$16,"F",IF(CF$6=Eventos!$C$15,"P",IF(CF$6=Eventos!$C$17,"C",IF(CF$6=Eventos!$C$18,"R",""))))</f>
        <v/>
      </c>
    </row>
    <row r="68" customFormat="false" ht="15" hidden="false" customHeight="false" outlineLevel="1" collapsed="false">
      <c r="A68" s="10" t="s">
        <v>202</v>
      </c>
      <c r="B68" s="42" t="s">
        <v>203</v>
      </c>
      <c r="C68" s="10" t="s">
        <v>64</v>
      </c>
      <c r="D68" s="10" t="s">
        <v>204</v>
      </c>
      <c r="E68" s="43" t="n">
        <f aca="false">Historias!J13</f>
        <v>46293</v>
      </c>
      <c r="F68" s="43" t="n">
        <f aca="false">Historias!K13</f>
        <v>46297</v>
      </c>
      <c r="G68" s="10" t="n">
        <f aca="false">NETWORKDAYS(E68,F68,Feriados)</f>
        <v>5</v>
      </c>
      <c r="H68" s="12" t="n">
        <f aca="false">Historias!N13</f>
        <v>1</v>
      </c>
      <c r="I68" s="10" t="str">
        <f aca="false">Historias!P13</f>
        <v>Terminada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</row>
    <row r="69" customFormat="false" ht="15" hidden="true" customHeight="false" outlineLevel="2" collapsed="false">
      <c r="A69" s="44" t="s">
        <v>205</v>
      </c>
      <c r="B69" s="45" t="s">
        <v>206</v>
      </c>
      <c r="C69" s="44" t="s">
        <v>65</v>
      </c>
      <c r="D69" s="44" t="s">
        <v>97</v>
      </c>
      <c r="E69" s="46" t="n">
        <f aca="false">Tareas!H49</f>
        <v>46293</v>
      </c>
      <c r="F69" s="46" t="n">
        <f aca="false">Tareas!I49</f>
        <v>46297</v>
      </c>
      <c r="G69" s="44" t="n">
        <f aca="false">NETWORKDAYS(E69,F69,Feriados)</f>
        <v>5</v>
      </c>
      <c r="H69" s="47" t="n">
        <f aca="false">Tareas!K49</f>
        <v>1</v>
      </c>
      <c r="I69" s="44" t="str">
        <f aca="false">Tareas!J49</f>
        <v>Terminado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</row>
    <row r="70" customFormat="false" ht="15" hidden="true" customHeight="false" outlineLevel="2" collapsed="false">
      <c r="A70" s="44" t="s">
        <v>207</v>
      </c>
      <c r="B70" s="45" t="s">
        <v>208</v>
      </c>
      <c r="C70" s="44" t="s">
        <v>65</v>
      </c>
      <c r="D70" s="44" t="s">
        <v>97</v>
      </c>
      <c r="E70" s="46" t="n">
        <f aca="false">Tareas!H50</f>
        <v>46293</v>
      </c>
      <c r="F70" s="46" t="n">
        <f aca="false">Tareas!I50</f>
        <v>46297</v>
      </c>
      <c r="G70" s="44" t="n">
        <f aca="false">NETWORKDAYS(E70,F70,Feriados)</f>
        <v>5</v>
      </c>
      <c r="H70" s="47" t="n">
        <f aca="false">Tareas!K50</f>
        <v>1</v>
      </c>
      <c r="I70" s="44" t="str">
        <f aca="false">Tareas!J50</f>
        <v>Terminado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</row>
    <row r="71" customFormat="false" ht="15" hidden="true" customHeight="false" outlineLevel="2" collapsed="false">
      <c r="A71" s="44" t="s">
        <v>209</v>
      </c>
      <c r="B71" s="45" t="s">
        <v>210</v>
      </c>
      <c r="C71" s="44" t="s">
        <v>65</v>
      </c>
      <c r="D71" s="44" t="s">
        <v>92</v>
      </c>
      <c r="E71" s="46" t="n">
        <f aca="false">Tareas!H51</f>
        <v>46293</v>
      </c>
      <c r="F71" s="46" t="n">
        <f aca="false">Tareas!I51</f>
        <v>46297</v>
      </c>
      <c r="G71" s="44" t="n">
        <f aca="false">NETWORKDAYS(E71,F71,Feriados)</f>
        <v>5</v>
      </c>
      <c r="H71" s="47" t="n">
        <f aca="false">Tareas!K51</f>
        <v>1</v>
      </c>
      <c r="I71" s="44" t="str">
        <f aca="false">Tareas!J51</f>
        <v>Terminado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</row>
    <row r="72" customFormat="false" ht="15" hidden="true" customHeight="false" outlineLevel="2" collapsed="false">
      <c r="A72" s="44" t="s">
        <v>211</v>
      </c>
      <c r="B72" s="45" t="s">
        <v>212</v>
      </c>
      <c r="C72" s="44" t="s">
        <v>65</v>
      </c>
      <c r="D72" s="44" t="s">
        <v>92</v>
      </c>
      <c r="E72" s="46" t="n">
        <f aca="false">Tareas!H52</f>
        <v>46293</v>
      </c>
      <c r="F72" s="46" t="n">
        <f aca="false">Tareas!I52</f>
        <v>46297</v>
      </c>
      <c r="G72" s="44" t="n">
        <f aca="false">NETWORKDAYS(E72,F72,Feriados)</f>
        <v>5</v>
      </c>
      <c r="H72" s="47" t="n">
        <f aca="false">Tareas!K52</f>
        <v>1</v>
      </c>
      <c r="I72" s="44" t="str">
        <f aca="false">Tareas!J52</f>
        <v>Terminado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</row>
    <row r="73" customFormat="false" ht="15" hidden="true" customHeight="false" outlineLevel="2" collapsed="false">
      <c r="A73" s="44" t="s">
        <v>213</v>
      </c>
      <c r="B73" s="45" t="s">
        <v>214</v>
      </c>
      <c r="C73" s="44" t="s">
        <v>65</v>
      </c>
      <c r="D73" s="44" t="s">
        <v>92</v>
      </c>
      <c r="E73" s="46" t="n">
        <f aca="false">Tareas!H53</f>
        <v>46293</v>
      </c>
      <c r="F73" s="46" t="n">
        <f aca="false">Tareas!I53</f>
        <v>46297</v>
      </c>
      <c r="G73" s="44" t="n">
        <f aca="false">NETWORKDAYS(E73,F73,Feriados)</f>
        <v>5</v>
      </c>
      <c r="H73" s="47" t="n">
        <f aca="false">Tareas!K53</f>
        <v>1</v>
      </c>
      <c r="I73" s="44" t="str">
        <f aca="false">Tareas!J53</f>
        <v>Terminado</v>
      </c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</row>
    <row r="74" customFormat="false" ht="15" hidden="true" customHeight="false" outlineLevel="2" collapsed="false">
      <c r="A74" s="44" t="s">
        <v>215</v>
      </c>
      <c r="B74" s="45" t="s">
        <v>216</v>
      </c>
      <c r="C74" s="44" t="s">
        <v>65</v>
      </c>
      <c r="D74" s="44" t="s">
        <v>92</v>
      </c>
      <c r="E74" s="46" t="n">
        <f aca="false">Tareas!H54</f>
        <v>46293</v>
      </c>
      <c r="F74" s="46" t="n">
        <f aca="false">Tareas!I54</f>
        <v>46297</v>
      </c>
      <c r="G74" s="44" t="n">
        <f aca="false">NETWORKDAYS(E74,F74,Feriados)</f>
        <v>5</v>
      </c>
      <c r="H74" s="47" t="n">
        <f aca="false">Tareas!K54</f>
        <v>1</v>
      </c>
      <c r="I74" s="44" t="str">
        <f aca="false">Tareas!J54</f>
        <v>Terminado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</row>
    <row r="75" customFormat="false" ht="15" hidden="false" customHeight="false" outlineLevel="1" collapsed="false">
      <c r="A75" s="10" t="s">
        <v>217</v>
      </c>
      <c r="B75" s="42" t="s">
        <v>218</v>
      </c>
      <c r="C75" s="10" t="s">
        <v>64</v>
      </c>
      <c r="D75" s="10" t="s">
        <v>219</v>
      </c>
      <c r="E75" s="43" t="n">
        <f aca="false">Historias!J14</f>
        <v>46293</v>
      </c>
      <c r="F75" s="43" t="n">
        <f aca="false">Historias!K14</f>
        <v>46297</v>
      </c>
      <c r="G75" s="10" t="n">
        <f aca="false">NETWORKDAYS(E75,F75,Feriados)</f>
        <v>5</v>
      </c>
      <c r="H75" s="12" t="n">
        <f aca="false">Historias!N14</f>
        <v>1</v>
      </c>
      <c r="I75" s="10" t="str">
        <f aca="false">Historias!P14</f>
        <v>Terminada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</row>
    <row r="76" customFormat="false" ht="15" hidden="true" customHeight="false" outlineLevel="2" collapsed="false">
      <c r="A76" s="44" t="s">
        <v>220</v>
      </c>
      <c r="B76" s="45" t="s">
        <v>221</v>
      </c>
      <c r="C76" s="44" t="s">
        <v>65</v>
      </c>
      <c r="D76" s="44" t="s">
        <v>97</v>
      </c>
      <c r="E76" s="46" t="n">
        <f aca="false">Tareas!H55</f>
        <v>46293</v>
      </c>
      <c r="F76" s="46" t="n">
        <f aca="false">Tareas!I55</f>
        <v>46297</v>
      </c>
      <c r="G76" s="44" t="n">
        <f aca="false">NETWORKDAYS(E76,F76,Feriados)</f>
        <v>5</v>
      </c>
      <c r="H76" s="47" t="n">
        <f aca="false">Tareas!K55</f>
        <v>1</v>
      </c>
      <c r="I76" s="44" t="str">
        <f aca="false">Tareas!J55</f>
        <v>Terminado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</row>
    <row r="77" customFormat="false" ht="15" hidden="true" customHeight="false" outlineLevel="2" collapsed="false">
      <c r="A77" s="44" t="s">
        <v>222</v>
      </c>
      <c r="B77" s="45" t="s">
        <v>223</v>
      </c>
      <c r="C77" s="44" t="s">
        <v>65</v>
      </c>
      <c r="D77" s="44" t="s">
        <v>102</v>
      </c>
      <c r="E77" s="46" t="n">
        <f aca="false">Tareas!H56</f>
        <v>46293</v>
      </c>
      <c r="F77" s="46" t="n">
        <f aca="false">Tareas!I56</f>
        <v>46297</v>
      </c>
      <c r="G77" s="44" t="n">
        <f aca="false">NETWORKDAYS(E77,F77,Feriados)</f>
        <v>5</v>
      </c>
      <c r="H77" s="47" t="n">
        <f aca="false">Tareas!K56</f>
        <v>1</v>
      </c>
      <c r="I77" s="44" t="str">
        <f aca="false">Tareas!J56</f>
        <v>Terminado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</row>
    <row r="78" customFormat="false" ht="15" hidden="true" customHeight="false" outlineLevel="2" collapsed="false">
      <c r="A78" s="44" t="s">
        <v>224</v>
      </c>
      <c r="B78" s="45" t="s">
        <v>225</v>
      </c>
      <c r="C78" s="44" t="s">
        <v>65</v>
      </c>
      <c r="D78" s="44" t="s">
        <v>102</v>
      </c>
      <c r="E78" s="46" t="n">
        <f aca="false">Tareas!H57</f>
        <v>46293</v>
      </c>
      <c r="F78" s="46" t="n">
        <f aca="false">Tareas!I57</f>
        <v>46297</v>
      </c>
      <c r="G78" s="44" t="n">
        <f aca="false">NETWORKDAYS(E78,F78,Feriados)</f>
        <v>5</v>
      </c>
      <c r="H78" s="47" t="n">
        <f aca="false">Tareas!K57</f>
        <v>1</v>
      </c>
      <c r="I78" s="44" t="str">
        <f aca="false">Tareas!J57</f>
        <v>Terminado</v>
      </c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</row>
    <row r="79" customFormat="false" ht="15" hidden="true" customHeight="false" outlineLevel="2" collapsed="false">
      <c r="A79" s="44" t="s">
        <v>226</v>
      </c>
      <c r="B79" s="45" t="s">
        <v>227</v>
      </c>
      <c r="C79" s="44" t="s">
        <v>65</v>
      </c>
      <c r="D79" s="44" t="s">
        <v>102</v>
      </c>
      <c r="E79" s="46" t="n">
        <f aca="false">Tareas!H58</f>
        <v>46293</v>
      </c>
      <c r="F79" s="46" t="n">
        <f aca="false">Tareas!I58</f>
        <v>46297</v>
      </c>
      <c r="G79" s="44" t="n">
        <f aca="false">NETWORKDAYS(E79,F79,Feriados)</f>
        <v>5</v>
      </c>
      <c r="H79" s="47" t="n">
        <f aca="false">Tareas!K58</f>
        <v>1</v>
      </c>
      <c r="I79" s="44" t="str">
        <f aca="false">Tareas!J58</f>
        <v>Terminado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</row>
    <row r="80" customFormat="false" ht="15" hidden="true" customHeight="false" outlineLevel="2" collapsed="false">
      <c r="A80" s="44" t="s">
        <v>228</v>
      </c>
      <c r="B80" s="45" t="s">
        <v>229</v>
      </c>
      <c r="C80" s="44" t="s">
        <v>65</v>
      </c>
      <c r="D80" s="44" t="s">
        <v>92</v>
      </c>
      <c r="E80" s="46" t="n">
        <f aca="false">Tareas!H59</f>
        <v>46293</v>
      </c>
      <c r="F80" s="46" t="n">
        <f aca="false">Tareas!I59</f>
        <v>46297</v>
      </c>
      <c r="G80" s="44" t="n">
        <f aca="false">NETWORKDAYS(E80,F80,Feriados)</f>
        <v>5</v>
      </c>
      <c r="H80" s="47" t="n">
        <f aca="false">Tareas!K59</f>
        <v>1</v>
      </c>
      <c r="I80" s="44" t="str">
        <f aca="false">Tareas!J59</f>
        <v>Terminado</v>
      </c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</row>
    <row r="81" customFormat="false" ht="15" hidden="false" customHeight="false" outlineLevel="1" collapsed="false">
      <c r="A81" s="10" t="s">
        <v>230</v>
      </c>
      <c r="B81" s="42" t="s">
        <v>231</v>
      </c>
      <c r="C81" s="10" t="s">
        <v>64</v>
      </c>
      <c r="D81" s="10" t="s">
        <v>232</v>
      </c>
      <c r="E81" s="43" t="n">
        <f aca="false">Historias!J15</f>
        <v>46300</v>
      </c>
      <c r="F81" s="43" t="n">
        <f aca="false">Historias!K15</f>
        <v>46304</v>
      </c>
      <c r="G81" s="10" t="n">
        <f aca="false">NETWORKDAYS(E81,F81,Feriados)</f>
        <v>5</v>
      </c>
      <c r="H81" s="12" t="n">
        <f aca="false">Historias!N15</f>
        <v>1</v>
      </c>
      <c r="I81" s="10" t="str">
        <f aca="false">Historias!P15</f>
        <v>Terminada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</row>
    <row r="82" customFormat="false" ht="15" hidden="true" customHeight="false" outlineLevel="2" collapsed="false">
      <c r="A82" s="44" t="s">
        <v>233</v>
      </c>
      <c r="B82" s="45" t="s">
        <v>234</v>
      </c>
      <c r="C82" s="44" t="s">
        <v>65</v>
      </c>
      <c r="D82" s="44" t="s">
        <v>97</v>
      </c>
      <c r="E82" s="46" t="n">
        <f aca="false">Tareas!H60</f>
        <v>46300</v>
      </c>
      <c r="F82" s="46" t="n">
        <f aca="false">Tareas!I60</f>
        <v>46304</v>
      </c>
      <c r="G82" s="44" t="n">
        <f aca="false">NETWORKDAYS(E82,F82,Feriados)</f>
        <v>5</v>
      </c>
      <c r="H82" s="47" t="n">
        <f aca="false">Tareas!K60</f>
        <v>1</v>
      </c>
      <c r="I82" s="44" t="str">
        <f aca="false">Tareas!J60</f>
        <v>Terminado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</row>
    <row r="83" customFormat="false" ht="15" hidden="true" customHeight="false" outlineLevel="2" collapsed="false">
      <c r="A83" s="44" t="s">
        <v>235</v>
      </c>
      <c r="B83" s="45" t="s">
        <v>236</v>
      </c>
      <c r="C83" s="44" t="s">
        <v>65</v>
      </c>
      <c r="D83" s="44" t="s">
        <v>102</v>
      </c>
      <c r="E83" s="46" t="n">
        <f aca="false">Tareas!H61</f>
        <v>46300</v>
      </c>
      <c r="F83" s="46" t="n">
        <f aca="false">Tareas!I61</f>
        <v>46304</v>
      </c>
      <c r="G83" s="44" t="n">
        <f aca="false">NETWORKDAYS(E83,F83,Feriados)</f>
        <v>5</v>
      </c>
      <c r="H83" s="47" t="n">
        <f aca="false">Tareas!K61</f>
        <v>1</v>
      </c>
      <c r="I83" s="44" t="str">
        <f aca="false">Tareas!J61</f>
        <v>Terminado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</row>
    <row r="84" customFormat="false" ht="15" hidden="true" customHeight="false" outlineLevel="2" collapsed="false">
      <c r="A84" s="44" t="s">
        <v>237</v>
      </c>
      <c r="B84" s="45" t="s">
        <v>238</v>
      </c>
      <c r="C84" s="44" t="s">
        <v>65</v>
      </c>
      <c r="D84" s="44" t="s">
        <v>97</v>
      </c>
      <c r="E84" s="46" t="n">
        <f aca="false">Tareas!H62</f>
        <v>46300</v>
      </c>
      <c r="F84" s="46" t="n">
        <f aca="false">Tareas!I62</f>
        <v>46304</v>
      </c>
      <c r="G84" s="44" t="n">
        <f aca="false">NETWORKDAYS(E84,F84,Feriados)</f>
        <v>5</v>
      </c>
      <c r="H84" s="47" t="n">
        <f aca="false">Tareas!K62</f>
        <v>1</v>
      </c>
      <c r="I84" s="44" t="str">
        <f aca="false">Tareas!J62</f>
        <v>Terminado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</row>
    <row r="85" customFormat="false" ht="15" hidden="true" customHeight="false" outlineLevel="2" collapsed="false">
      <c r="A85" s="44" t="s">
        <v>239</v>
      </c>
      <c r="B85" s="45" t="s">
        <v>240</v>
      </c>
      <c r="C85" s="44" t="s">
        <v>65</v>
      </c>
      <c r="D85" s="44" t="s">
        <v>97</v>
      </c>
      <c r="E85" s="46" t="n">
        <f aca="false">Tareas!H63</f>
        <v>46300</v>
      </c>
      <c r="F85" s="46" t="n">
        <f aca="false">Tareas!I63</f>
        <v>46304</v>
      </c>
      <c r="G85" s="44" t="n">
        <f aca="false">NETWORKDAYS(E85,F85,Feriados)</f>
        <v>5</v>
      </c>
      <c r="H85" s="47" t="n">
        <f aca="false">Tareas!K63</f>
        <v>1</v>
      </c>
      <c r="I85" s="44" t="str">
        <f aca="false">Tareas!J63</f>
        <v>Terminado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</row>
    <row r="86" customFormat="false" ht="15" hidden="true" customHeight="false" outlineLevel="2" collapsed="false">
      <c r="A86" s="44" t="s">
        <v>241</v>
      </c>
      <c r="B86" s="45" t="s">
        <v>242</v>
      </c>
      <c r="C86" s="44" t="s">
        <v>65</v>
      </c>
      <c r="D86" s="44" t="s">
        <v>92</v>
      </c>
      <c r="E86" s="46" t="n">
        <f aca="false">Tareas!H64</f>
        <v>46300</v>
      </c>
      <c r="F86" s="46" t="n">
        <f aca="false">Tareas!I64</f>
        <v>46304</v>
      </c>
      <c r="G86" s="44" t="n">
        <f aca="false">NETWORKDAYS(E86,F86,Feriados)</f>
        <v>5</v>
      </c>
      <c r="H86" s="47" t="n">
        <f aca="false">Tareas!K64</f>
        <v>1</v>
      </c>
      <c r="I86" s="44" t="str">
        <f aca="false">Tareas!J64</f>
        <v>Terminado</v>
      </c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</row>
    <row r="87" customFormat="false" ht="15" hidden="false" customHeight="false" outlineLevel="1" collapsed="false">
      <c r="A87" s="10" t="s">
        <v>243</v>
      </c>
      <c r="B87" s="42" t="s">
        <v>244</v>
      </c>
      <c r="C87" s="10" t="s">
        <v>64</v>
      </c>
      <c r="D87" s="10" t="s">
        <v>151</v>
      </c>
      <c r="E87" s="43" t="n">
        <f aca="false">Historias!J16</f>
        <v>46300</v>
      </c>
      <c r="F87" s="43" t="n">
        <f aca="false">Historias!K16</f>
        <v>46304</v>
      </c>
      <c r="G87" s="10" t="n">
        <f aca="false">NETWORKDAYS(E87,F87,Feriados)</f>
        <v>5</v>
      </c>
      <c r="H87" s="12" t="n">
        <f aca="false">Historias!N16</f>
        <v>1</v>
      </c>
      <c r="I87" s="10" t="str">
        <f aca="false">Historias!P16</f>
        <v>Terminada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</row>
    <row r="88" customFormat="false" ht="15" hidden="true" customHeight="false" outlineLevel="2" collapsed="false">
      <c r="A88" s="44" t="s">
        <v>245</v>
      </c>
      <c r="B88" s="45" t="s">
        <v>246</v>
      </c>
      <c r="C88" s="44" t="s">
        <v>65</v>
      </c>
      <c r="D88" s="44" t="s">
        <v>92</v>
      </c>
      <c r="E88" s="46" t="n">
        <f aca="false">Tareas!H65</f>
        <v>46300</v>
      </c>
      <c r="F88" s="46" t="n">
        <f aca="false">Tareas!I65</f>
        <v>46304</v>
      </c>
      <c r="G88" s="44" t="n">
        <f aca="false">NETWORKDAYS(E88,F88,Feriados)</f>
        <v>5</v>
      </c>
      <c r="H88" s="47" t="n">
        <f aca="false">Tareas!K65</f>
        <v>1</v>
      </c>
      <c r="I88" s="44" t="str">
        <f aca="false">Tareas!J65</f>
        <v>Terminado</v>
      </c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</row>
    <row r="89" customFormat="false" ht="15" hidden="true" customHeight="false" outlineLevel="2" collapsed="false">
      <c r="A89" s="44" t="s">
        <v>247</v>
      </c>
      <c r="B89" s="45" t="s">
        <v>248</v>
      </c>
      <c r="C89" s="44" t="s">
        <v>65</v>
      </c>
      <c r="D89" s="44" t="s">
        <v>102</v>
      </c>
      <c r="E89" s="46" t="n">
        <f aca="false">Tareas!H66</f>
        <v>46300</v>
      </c>
      <c r="F89" s="46" t="n">
        <f aca="false">Tareas!I66</f>
        <v>46304</v>
      </c>
      <c r="G89" s="44" t="n">
        <f aca="false">NETWORKDAYS(E89,F89,Feriados)</f>
        <v>5</v>
      </c>
      <c r="H89" s="47" t="n">
        <f aca="false">Tareas!K66</f>
        <v>1</v>
      </c>
      <c r="I89" s="44" t="str">
        <f aca="false">Tareas!J66</f>
        <v>Terminado</v>
      </c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</row>
    <row r="90" customFormat="false" ht="15" hidden="true" customHeight="false" outlineLevel="2" collapsed="false">
      <c r="A90" s="44" t="s">
        <v>249</v>
      </c>
      <c r="B90" s="45" t="s">
        <v>250</v>
      </c>
      <c r="C90" s="44" t="s">
        <v>65</v>
      </c>
      <c r="D90" s="44" t="s">
        <v>102</v>
      </c>
      <c r="E90" s="46" t="n">
        <f aca="false">Tareas!H67</f>
        <v>46300</v>
      </c>
      <c r="F90" s="46" t="n">
        <f aca="false">Tareas!I67</f>
        <v>46304</v>
      </c>
      <c r="G90" s="44" t="n">
        <f aca="false">NETWORKDAYS(E90,F90,Feriados)</f>
        <v>5</v>
      </c>
      <c r="H90" s="47" t="n">
        <f aca="false">Tareas!K67</f>
        <v>1</v>
      </c>
      <c r="I90" s="44" t="str">
        <f aca="false">Tareas!J67</f>
        <v>Terminado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</row>
    <row r="91" customFormat="false" ht="15" hidden="true" customHeight="false" outlineLevel="2" collapsed="false">
      <c r="A91" s="44" t="s">
        <v>251</v>
      </c>
      <c r="B91" s="45" t="s">
        <v>252</v>
      </c>
      <c r="C91" s="44" t="s">
        <v>65</v>
      </c>
      <c r="D91" s="44" t="s">
        <v>97</v>
      </c>
      <c r="E91" s="46" t="n">
        <f aca="false">Tareas!H68</f>
        <v>46300</v>
      </c>
      <c r="F91" s="46" t="n">
        <f aca="false">Tareas!I68</f>
        <v>46304</v>
      </c>
      <c r="G91" s="44" t="n">
        <f aca="false">NETWORKDAYS(E91,F91,Feriados)</f>
        <v>5</v>
      </c>
      <c r="H91" s="47" t="n">
        <f aca="false">Tareas!K68</f>
        <v>1</v>
      </c>
      <c r="I91" s="44" t="str">
        <f aca="false">Tareas!J68</f>
        <v>Terminado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</row>
    <row r="92" customFormat="false" ht="15" hidden="false" customHeight="false" outlineLevel="1" collapsed="false">
      <c r="A92" s="10"/>
      <c r="B92" s="42" t="s">
        <v>137</v>
      </c>
      <c r="C92" s="10" t="s">
        <v>64</v>
      </c>
      <c r="D92" s="10" t="s">
        <v>86</v>
      </c>
      <c r="E92" s="43" t="n">
        <f aca="false">_xlfn.MINIFS(Tareas!$H:$H,Tareas!$B:$B,"Sprint 3",Tareas!$C:$C,"Transversal")</f>
        <v>46300</v>
      </c>
      <c r="F92" s="43" t="n">
        <f aca="false">_xlfn.MAXIFS(Tareas!$I:$I,Tareas!$B:$B,"Sprint 3",Tareas!$C:$C,"Transversal")</f>
        <v>46304</v>
      </c>
      <c r="G92" s="10" t="n">
        <f aca="false">NETWORKDAYS(E92,F92,Feriados)</f>
        <v>5</v>
      </c>
      <c r="H92" s="12" t="n">
        <f aca="false">IFERROR(SUMIFS(Tareas!$L:$L,Tareas!$B:$B,"Sprint 3",Tareas!$C:$C,"Transversal")/SUMIFS(Tareas!$F:$F,Tareas!$B:$B,"Sprint 3",Tareas!$C:$C,"Transversal"),0)</f>
        <v>1</v>
      </c>
      <c r="I92" s="1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</row>
    <row r="93" customFormat="false" ht="15" hidden="true" customHeight="false" outlineLevel="2" collapsed="false">
      <c r="A93" s="44" t="s">
        <v>253</v>
      </c>
      <c r="B93" s="45" t="s">
        <v>254</v>
      </c>
      <c r="C93" s="44" t="s">
        <v>65</v>
      </c>
      <c r="D93" s="44" t="s">
        <v>92</v>
      </c>
      <c r="E93" s="46" t="n">
        <f aca="false">Tareas!H69</f>
        <v>46300</v>
      </c>
      <c r="F93" s="46" t="n">
        <f aca="false">Tareas!I69</f>
        <v>46304</v>
      </c>
      <c r="G93" s="44" t="n">
        <f aca="false">NETWORKDAYS(E93,F93,Feriados)</f>
        <v>5</v>
      </c>
      <c r="H93" s="47" t="n">
        <f aca="false">Tareas!K69</f>
        <v>1</v>
      </c>
      <c r="I93" s="44" t="str">
        <f aca="false">Tareas!J69</f>
        <v>Terminado</v>
      </c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</row>
    <row r="94" customFormat="false" ht="15" hidden="true" customHeight="false" outlineLevel="2" collapsed="false">
      <c r="A94" s="44" t="s">
        <v>255</v>
      </c>
      <c r="B94" s="45" t="s">
        <v>256</v>
      </c>
      <c r="C94" s="44" t="s">
        <v>65</v>
      </c>
      <c r="D94" s="44" t="s">
        <v>97</v>
      </c>
      <c r="E94" s="46" t="n">
        <f aca="false">Tareas!H70</f>
        <v>46300</v>
      </c>
      <c r="F94" s="46" t="n">
        <f aca="false">Tareas!I70</f>
        <v>46304</v>
      </c>
      <c r="G94" s="44" t="n">
        <f aca="false">NETWORKDAYS(E94,F94,Feriados)</f>
        <v>5</v>
      </c>
      <c r="H94" s="47" t="n">
        <f aca="false">Tareas!K70</f>
        <v>1</v>
      </c>
      <c r="I94" s="44" t="str">
        <f aca="false">Tareas!J70</f>
        <v>Terminado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</row>
    <row r="95" customFormat="false" ht="15" hidden="true" customHeight="false" outlineLevel="2" collapsed="false">
      <c r="A95" s="44" t="s">
        <v>257</v>
      </c>
      <c r="B95" s="45" t="s">
        <v>258</v>
      </c>
      <c r="C95" s="44" t="s">
        <v>65</v>
      </c>
      <c r="D95" s="44" t="s">
        <v>102</v>
      </c>
      <c r="E95" s="46" t="n">
        <f aca="false">Tareas!H71</f>
        <v>46300</v>
      </c>
      <c r="F95" s="46" t="n">
        <f aca="false">Tareas!I71</f>
        <v>46304</v>
      </c>
      <c r="G95" s="44" t="n">
        <f aca="false">NETWORKDAYS(E95,F95,Feriados)</f>
        <v>5</v>
      </c>
      <c r="H95" s="47" t="n">
        <f aca="false">Tareas!K71</f>
        <v>1</v>
      </c>
      <c r="I95" s="44" t="str">
        <f aca="false">Tareas!J71</f>
        <v>Terminado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</row>
    <row r="96" customFormat="false" ht="15" hidden="true" customHeight="false" outlineLevel="2" collapsed="false">
      <c r="A96" s="44" t="s">
        <v>259</v>
      </c>
      <c r="B96" s="45" t="s">
        <v>145</v>
      </c>
      <c r="C96" s="44" t="s">
        <v>65</v>
      </c>
      <c r="D96" s="44" t="s">
        <v>92</v>
      </c>
      <c r="E96" s="46" t="n">
        <f aca="false">Tareas!H72</f>
        <v>46300</v>
      </c>
      <c r="F96" s="46" t="n">
        <f aca="false">Tareas!I72</f>
        <v>46304</v>
      </c>
      <c r="G96" s="44" t="n">
        <f aca="false">NETWORKDAYS(E96,F96,Feriados)</f>
        <v>5</v>
      </c>
      <c r="H96" s="47" t="n">
        <f aca="false">Tareas!K72</f>
        <v>1</v>
      </c>
      <c r="I96" s="44" t="str">
        <f aca="false">Tareas!J72</f>
        <v>Terminado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</row>
    <row r="97" customFormat="false" ht="15" hidden="false" customHeight="false" outlineLevel="0" collapsed="false">
      <c r="A97" s="8" t="s">
        <v>260</v>
      </c>
      <c r="B97" s="34" t="s">
        <v>261</v>
      </c>
      <c r="C97" s="8" t="s">
        <v>7</v>
      </c>
      <c r="D97" s="8" t="s">
        <v>83</v>
      </c>
      <c r="E97" s="35" t="n">
        <f aca="false">Resumen!C11</f>
        <v>46308</v>
      </c>
      <c r="F97" s="35" t="n">
        <f aca="false">Resumen!D11</f>
        <v>46318</v>
      </c>
      <c r="G97" s="8" t="n">
        <f aca="false">NETWORKDAYS(E97,F97,Feriados)</f>
        <v>9</v>
      </c>
      <c r="H97" s="15" t="n">
        <f aca="false">Resumen!L11</f>
        <v>0</v>
      </c>
      <c r="I97" s="8" t="str">
        <f aca="false">Resumen!Q11</f>
        <v>Planificado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</row>
    <row r="98" customFormat="false" ht="15" hidden="false" customHeight="false" outlineLevel="1" collapsed="false">
      <c r="A98" s="37"/>
      <c r="B98" s="38" t="s">
        <v>84</v>
      </c>
      <c r="C98" s="37" t="s">
        <v>85</v>
      </c>
      <c r="D98" s="37" t="s">
        <v>86</v>
      </c>
      <c r="E98" s="39"/>
      <c r="F98" s="39"/>
      <c r="G98" s="37"/>
      <c r="H98" s="40"/>
      <c r="I98" s="37"/>
      <c r="J98" s="41" t="str">
        <f aca="false">IF(J$6=Eventos!$C$21,"F",IF(J$6=Eventos!$C$20,"P",IF(J$6=Eventos!$C$22,"C",IF(J$6=Eventos!$C$23,"R",""))))</f>
        <v/>
      </c>
      <c r="K98" s="41" t="str">
        <f aca="false">IF(K$6=Eventos!$C$21,"F",IF(K$6=Eventos!$C$20,"P",IF(K$6=Eventos!$C$22,"C",IF(K$6=Eventos!$C$23,"R",""))))</f>
        <v/>
      </c>
      <c r="L98" s="41" t="str">
        <f aca="false">IF(L$6=Eventos!$C$21,"F",IF(L$6=Eventos!$C$20,"P",IF(L$6=Eventos!$C$22,"C",IF(L$6=Eventos!$C$23,"R",""))))</f>
        <v/>
      </c>
      <c r="M98" s="41" t="str">
        <f aca="false">IF(M$6=Eventos!$C$21,"F",IF(M$6=Eventos!$C$20,"P",IF(M$6=Eventos!$C$22,"C",IF(M$6=Eventos!$C$23,"R",""))))</f>
        <v/>
      </c>
      <c r="N98" s="41" t="str">
        <f aca="false">IF(N$6=Eventos!$C$21,"F",IF(N$6=Eventos!$C$20,"P",IF(N$6=Eventos!$C$22,"C",IF(N$6=Eventos!$C$23,"R",""))))</f>
        <v/>
      </c>
      <c r="O98" s="41" t="str">
        <f aca="false">IF(O$6=Eventos!$C$21,"F",IF(O$6=Eventos!$C$20,"P",IF(O$6=Eventos!$C$22,"C",IF(O$6=Eventos!$C$23,"R",""))))</f>
        <v/>
      </c>
      <c r="P98" s="41" t="str">
        <f aca="false">IF(P$6=Eventos!$C$21,"F",IF(P$6=Eventos!$C$20,"P",IF(P$6=Eventos!$C$22,"C",IF(P$6=Eventos!$C$23,"R",""))))</f>
        <v/>
      </c>
      <c r="Q98" s="41" t="str">
        <f aca="false">IF(Q$6=Eventos!$C$21,"F",IF(Q$6=Eventos!$C$20,"P",IF(Q$6=Eventos!$C$22,"C",IF(Q$6=Eventos!$C$23,"R",""))))</f>
        <v/>
      </c>
      <c r="R98" s="41" t="str">
        <f aca="false">IF(R$6=Eventos!$C$21,"F",IF(R$6=Eventos!$C$20,"P",IF(R$6=Eventos!$C$22,"C",IF(R$6=Eventos!$C$23,"R",""))))</f>
        <v/>
      </c>
      <c r="S98" s="41" t="str">
        <f aca="false">IF(S$6=Eventos!$C$21,"F",IF(S$6=Eventos!$C$20,"P",IF(S$6=Eventos!$C$22,"C",IF(S$6=Eventos!$C$23,"R",""))))</f>
        <v/>
      </c>
      <c r="T98" s="41" t="str">
        <f aca="false">IF(T$6=Eventos!$C$21,"F",IF(T$6=Eventos!$C$20,"P",IF(T$6=Eventos!$C$22,"C",IF(T$6=Eventos!$C$23,"R",""))))</f>
        <v/>
      </c>
      <c r="U98" s="41" t="str">
        <f aca="false">IF(U$6=Eventos!$C$21,"F",IF(U$6=Eventos!$C$20,"P",IF(U$6=Eventos!$C$22,"C",IF(U$6=Eventos!$C$23,"R",""))))</f>
        <v/>
      </c>
      <c r="V98" s="41" t="str">
        <f aca="false">IF(V$6=Eventos!$C$21,"F",IF(V$6=Eventos!$C$20,"P",IF(V$6=Eventos!$C$22,"C",IF(V$6=Eventos!$C$23,"R",""))))</f>
        <v/>
      </c>
      <c r="W98" s="41" t="str">
        <f aca="false">IF(W$6=Eventos!$C$21,"F",IF(W$6=Eventos!$C$20,"P",IF(W$6=Eventos!$C$22,"C",IF(W$6=Eventos!$C$23,"R",""))))</f>
        <v/>
      </c>
      <c r="X98" s="41" t="str">
        <f aca="false">IF(X$6=Eventos!$C$21,"F",IF(X$6=Eventos!$C$20,"P",IF(X$6=Eventos!$C$22,"C",IF(X$6=Eventos!$C$23,"R",""))))</f>
        <v/>
      </c>
      <c r="Y98" s="41" t="str">
        <f aca="false">IF(Y$6=Eventos!$C$21,"F",IF(Y$6=Eventos!$C$20,"P",IF(Y$6=Eventos!$C$22,"C",IF(Y$6=Eventos!$C$23,"R",""))))</f>
        <v/>
      </c>
      <c r="Z98" s="41" t="str">
        <f aca="false">IF(Z$6=Eventos!$C$21,"F",IF(Z$6=Eventos!$C$20,"P",IF(Z$6=Eventos!$C$22,"C",IF(Z$6=Eventos!$C$23,"R",""))))</f>
        <v/>
      </c>
      <c r="AA98" s="41" t="str">
        <f aca="false">IF(AA$6=Eventos!$C$21,"F",IF(AA$6=Eventos!$C$20,"P",IF(AA$6=Eventos!$C$22,"C",IF(AA$6=Eventos!$C$23,"R",""))))</f>
        <v/>
      </c>
      <c r="AB98" s="41" t="str">
        <f aca="false">IF(AB$6=Eventos!$C$21,"F",IF(AB$6=Eventos!$C$20,"P",IF(AB$6=Eventos!$C$22,"C",IF(AB$6=Eventos!$C$23,"R",""))))</f>
        <v/>
      </c>
      <c r="AC98" s="41" t="str">
        <f aca="false">IF(AC$6=Eventos!$C$21,"F",IF(AC$6=Eventos!$C$20,"P",IF(AC$6=Eventos!$C$22,"C",IF(AC$6=Eventos!$C$23,"R",""))))</f>
        <v/>
      </c>
      <c r="AD98" s="41" t="str">
        <f aca="false">IF(AD$6=Eventos!$C$21,"F",IF(AD$6=Eventos!$C$20,"P",IF(AD$6=Eventos!$C$22,"C",IF(AD$6=Eventos!$C$23,"R",""))))</f>
        <v/>
      </c>
      <c r="AE98" s="41" t="str">
        <f aca="false">IF(AE$6=Eventos!$C$21,"F",IF(AE$6=Eventos!$C$20,"P",IF(AE$6=Eventos!$C$22,"C",IF(AE$6=Eventos!$C$23,"R",""))))</f>
        <v/>
      </c>
      <c r="AF98" s="41" t="str">
        <f aca="false">IF(AF$6=Eventos!$C$21,"F",IF(AF$6=Eventos!$C$20,"P",IF(AF$6=Eventos!$C$22,"C",IF(AF$6=Eventos!$C$23,"R",""))))</f>
        <v/>
      </c>
      <c r="AG98" s="41" t="str">
        <f aca="false">IF(AG$6=Eventos!$C$21,"F",IF(AG$6=Eventos!$C$20,"P",IF(AG$6=Eventos!$C$22,"C",IF(AG$6=Eventos!$C$23,"R",""))))</f>
        <v/>
      </c>
      <c r="AH98" s="41" t="str">
        <f aca="false">IF(AH$6=Eventos!$C$21,"F",IF(AH$6=Eventos!$C$20,"P",IF(AH$6=Eventos!$C$22,"C",IF(AH$6=Eventos!$C$23,"R",""))))</f>
        <v/>
      </c>
      <c r="AI98" s="41" t="str">
        <f aca="false">IF(AI$6=Eventos!$C$21,"F",IF(AI$6=Eventos!$C$20,"P",IF(AI$6=Eventos!$C$22,"C",IF(AI$6=Eventos!$C$23,"R",""))))</f>
        <v/>
      </c>
      <c r="AJ98" s="41" t="str">
        <f aca="false">IF(AJ$6=Eventos!$C$21,"F",IF(AJ$6=Eventos!$C$20,"P",IF(AJ$6=Eventos!$C$22,"C",IF(AJ$6=Eventos!$C$23,"R",""))))</f>
        <v/>
      </c>
      <c r="AK98" s="41" t="str">
        <f aca="false">IF(AK$6=Eventos!$C$21,"F",IF(AK$6=Eventos!$C$20,"P",IF(AK$6=Eventos!$C$22,"C",IF(AK$6=Eventos!$C$23,"R",""))))</f>
        <v/>
      </c>
      <c r="AL98" s="41" t="str">
        <f aca="false">IF(AL$6=Eventos!$C$21,"F",IF(AL$6=Eventos!$C$20,"P",IF(AL$6=Eventos!$C$22,"C",IF(AL$6=Eventos!$C$23,"R",""))))</f>
        <v/>
      </c>
      <c r="AM98" s="41" t="str">
        <f aca="false">IF(AM$6=Eventos!$C$21,"F",IF(AM$6=Eventos!$C$20,"P",IF(AM$6=Eventos!$C$22,"C",IF(AM$6=Eventos!$C$23,"R",""))))</f>
        <v/>
      </c>
      <c r="AN98" s="41" t="str">
        <f aca="false">IF(AN$6=Eventos!$C$21,"F",IF(AN$6=Eventos!$C$20,"P",IF(AN$6=Eventos!$C$22,"C",IF(AN$6=Eventos!$C$23,"R",""))))</f>
        <v/>
      </c>
      <c r="AO98" s="41" t="str">
        <f aca="false">IF(AO$6=Eventos!$C$21,"F",IF(AO$6=Eventos!$C$20,"P",IF(AO$6=Eventos!$C$22,"C",IF(AO$6=Eventos!$C$23,"R",""))))</f>
        <v>P</v>
      </c>
      <c r="AP98" s="41" t="str">
        <f aca="false">IF(AP$6=Eventos!$C$21,"F",IF(AP$6=Eventos!$C$20,"P",IF(AP$6=Eventos!$C$22,"C",IF(AP$6=Eventos!$C$23,"R",""))))</f>
        <v/>
      </c>
      <c r="AQ98" s="41" t="str">
        <f aca="false">IF(AQ$6=Eventos!$C$21,"F",IF(AQ$6=Eventos!$C$20,"P",IF(AQ$6=Eventos!$C$22,"C",IF(AQ$6=Eventos!$C$23,"R",""))))</f>
        <v/>
      </c>
      <c r="AR98" s="41" t="str">
        <f aca="false">IF(AR$6=Eventos!$C$21,"F",IF(AR$6=Eventos!$C$20,"P",IF(AR$6=Eventos!$C$22,"C",IF(AR$6=Eventos!$C$23,"R",""))))</f>
        <v/>
      </c>
      <c r="AS98" s="41" t="str">
        <f aca="false">IF(AS$6=Eventos!$C$21,"F",IF(AS$6=Eventos!$C$20,"P",IF(AS$6=Eventos!$C$22,"C",IF(AS$6=Eventos!$C$23,"R",""))))</f>
        <v>F</v>
      </c>
      <c r="AT98" s="41" t="str">
        <f aca="false">IF(AT$6=Eventos!$C$21,"F",IF(AT$6=Eventos!$C$20,"P",IF(AT$6=Eventos!$C$22,"C",IF(AT$6=Eventos!$C$23,"R",""))))</f>
        <v/>
      </c>
      <c r="AU98" s="41" t="str">
        <f aca="false">IF(AU$6=Eventos!$C$21,"F",IF(AU$6=Eventos!$C$20,"P",IF(AU$6=Eventos!$C$22,"C",IF(AU$6=Eventos!$C$23,"R",""))))</f>
        <v/>
      </c>
      <c r="AV98" s="41" t="str">
        <f aca="false">IF(AV$6=Eventos!$C$21,"F",IF(AV$6=Eventos!$C$20,"P",IF(AV$6=Eventos!$C$22,"C",IF(AV$6=Eventos!$C$23,"R",""))))</f>
        <v>C</v>
      </c>
      <c r="AW98" s="41" t="str">
        <f aca="false">IF(AW$6=Eventos!$C$21,"F",IF(AW$6=Eventos!$C$20,"P",IF(AW$6=Eventos!$C$22,"C",IF(AW$6=Eventos!$C$23,"R",""))))</f>
        <v>R</v>
      </c>
      <c r="AX98" s="41" t="str">
        <f aca="false">IF(AX$6=Eventos!$C$21,"F",IF(AX$6=Eventos!$C$20,"P",IF(AX$6=Eventos!$C$22,"C",IF(AX$6=Eventos!$C$23,"R",""))))</f>
        <v/>
      </c>
      <c r="AY98" s="41" t="str">
        <f aca="false">IF(AY$6=Eventos!$C$21,"F",IF(AY$6=Eventos!$C$20,"P",IF(AY$6=Eventos!$C$22,"C",IF(AY$6=Eventos!$C$23,"R",""))))</f>
        <v/>
      </c>
      <c r="AZ98" s="41" t="str">
        <f aca="false">IF(AZ$6=Eventos!$C$21,"F",IF(AZ$6=Eventos!$C$20,"P",IF(AZ$6=Eventos!$C$22,"C",IF(AZ$6=Eventos!$C$23,"R",""))))</f>
        <v/>
      </c>
      <c r="BA98" s="41" t="str">
        <f aca="false">IF(BA$6=Eventos!$C$21,"F",IF(BA$6=Eventos!$C$20,"P",IF(BA$6=Eventos!$C$22,"C",IF(BA$6=Eventos!$C$23,"R",""))))</f>
        <v/>
      </c>
      <c r="BB98" s="41" t="str">
        <f aca="false">IF(BB$6=Eventos!$C$21,"F",IF(BB$6=Eventos!$C$20,"P",IF(BB$6=Eventos!$C$22,"C",IF(BB$6=Eventos!$C$23,"R",""))))</f>
        <v/>
      </c>
      <c r="BC98" s="41" t="str">
        <f aca="false">IF(BC$6=Eventos!$C$21,"F",IF(BC$6=Eventos!$C$20,"P",IF(BC$6=Eventos!$C$22,"C",IF(BC$6=Eventos!$C$23,"R",""))))</f>
        <v/>
      </c>
      <c r="BD98" s="41" t="str">
        <f aca="false">IF(BD$6=Eventos!$C$21,"F",IF(BD$6=Eventos!$C$20,"P",IF(BD$6=Eventos!$C$22,"C",IF(BD$6=Eventos!$C$23,"R",""))))</f>
        <v/>
      </c>
      <c r="BE98" s="41" t="str">
        <f aca="false">IF(BE$6=Eventos!$C$21,"F",IF(BE$6=Eventos!$C$20,"P",IF(BE$6=Eventos!$C$22,"C",IF(BE$6=Eventos!$C$23,"R",""))))</f>
        <v/>
      </c>
      <c r="BF98" s="41" t="str">
        <f aca="false">IF(BF$6=Eventos!$C$21,"F",IF(BF$6=Eventos!$C$20,"P",IF(BF$6=Eventos!$C$22,"C",IF(BF$6=Eventos!$C$23,"R",""))))</f>
        <v/>
      </c>
      <c r="BG98" s="41" t="str">
        <f aca="false">IF(BG$6=Eventos!$C$21,"F",IF(BG$6=Eventos!$C$20,"P",IF(BG$6=Eventos!$C$22,"C",IF(BG$6=Eventos!$C$23,"R",""))))</f>
        <v/>
      </c>
      <c r="BH98" s="41" t="str">
        <f aca="false">IF(BH$6=Eventos!$C$21,"F",IF(BH$6=Eventos!$C$20,"P",IF(BH$6=Eventos!$C$22,"C",IF(BH$6=Eventos!$C$23,"R",""))))</f>
        <v/>
      </c>
      <c r="BI98" s="41" t="str">
        <f aca="false">IF(BI$6=Eventos!$C$21,"F",IF(BI$6=Eventos!$C$20,"P",IF(BI$6=Eventos!$C$22,"C",IF(BI$6=Eventos!$C$23,"R",""))))</f>
        <v/>
      </c>
      <c r="BJ98" s="41" t="str">
        <f aca="false">IF(BJ$6=Eventos!$C$21,"F",IF(BJ$6=Eventos!$C$20,"P",IF(BJ$6=Eventos!$C$22,"C",IF(BJ$6=Eventos!$C$23,"R",""))))</f>
        <v/>
      </c>
      <c r="BK98" s="41" t="str">
        <f aca="false">IF(BK$6=Eventos!$C$21,"F",IF(BK$6=Eventos!$C$20,"P",IF(BK$6=Eventos!$C$22,"C",IF(BK$6=Eventos!$C$23,"R",""))))</f>
        <v/>
      </c>
      <c r="BL98" s="41" t="str">
        <f aca="false">IF(BL$6=Eventos!$C$21,"F",IF(BL$6=Eventos!$C$20,"P",IF(BL$6=Eventos!$C$22,"C",IF(BL$6=Eventos!$C$23,"R",""))))</f>
        <v/>
      </c>
      <c r="BM98" s="41" t="str">
        <f aca="false">IF(BM$6=Eventos!$C$21,"F",IF(BM$6=Eventos!$C$20,"P",IF(BM$6=Eventos!$C$22,"C",IF(BM$6=Eventos!$C$23,"R",""))))</f>
        <v/>
      </c>
      <c r="BN98" s="41" t="str">
        <f aca="false">IF(BN$6=Eventos!$C$21,"F",IF(BN$6=Eventos!$C$20,"P",IF(BN$6=Eventos!$C$22,"C",IF(BN$6=Eventos!$C$23,"R",""))))</f>
        <v/>
      </c>
      <c r="BO98" s="41" t="str">
        <f aca="false">IF(BO$6=Eventos!$C$21,"F",IF(BO$6=Eventos!$C$20,"P",IF(BO$6=Eventos!$C$22,"C",IF(BO$6=Eventos!$C$23,"R",""))))</f>
        <v/>
      </c>
      <c r="BP98" s="41" t="str">
        <f aca="false">IF(BP$6=Eventos!$C$21,"F",IF(BP$6=Eventos!$C$20,"P",IF(BP$6=Eventos!$C$22,"C",IF(BP$6=Eventos!$C$23,"R",""))))</f>
        <v/>
      </c>
      <c r="BQ98" s="41" t="str">
        <f aca="false">IF(BQ$6=Eventos!$C$21,"F",IF(BQ$6=Eventos!$C$20,"P",IF(BQ$6=Eventos!$C$22,"C",IF(BQ$6=Eventos!$C$23,"R",""))))</f>
        <v/>
      </c>
      <c r="BR98" s="41" t="str">
        <f aca="false">IF(BR$6=Eventos!$C$21,"F",IF(BR$6=Eventos!$C$20,"P",IF(BR$6=Eventos!$C$22,"C",IF(BR$6=Eventos!$C$23,"R",""))))</f>
        <v/>
      </c>
      <c r="BS98" s="41" t="str">
        <f aca="false">IF(BS$6=Eventos!$C$21,"F",IF(BS$6=Eventos!$C$20,"P",IF(BS$6=Eventos!$C$22,"C",IF(BS$6=Eventos!$C$23,"R",""))))</f>
        <v/>
      </c>
      <c r="BT98" s="41" t="str">
        <f aca="false">IF(BT$6=Eventos!$C$21,"F",IF(BT$6=Eventos!$C$20,"P",IF(BT$6=Eventos!$C$22,"C",IF(BT$6=Eventos!$C$23,"R",""))))</f>
        <v/>
      </c>
      <c r="BU98" s="41" t="str">
        <f aca="false">IF(BU$6=Eventos!$C$21,"F",IF(BU$6=Eventos!$C$20,"P",IF(BU$6=Eventos!$C$22,"C",IF(BU$6=Eventos!$C$23,"R",""))))</f>
        <v/>
      </c>
      <c r="BV98" s="41" t="str">
        <f aca="false">IF(BV$6=Eventos!$C$21,"F",IF(BV$6=Eventos!$C$20,"P",IF(BV$6=Eventos!$C$22,"C",IF(BV$6=Eventos!$C$23,"R",""))))</f>
        <v/>
      </c>
      <c r="BW98" s="41" t="str">
        <f aca="false">IF(BW$6=Eventos!$C$21,"F",IF(BW$6=Eventos!$C$20,"P",IF(BW$6=Eventos!$C$22,"C",IF(BW$6=Eventos!$C$23,"R",""))))</f>
        <v/>
      </c>
      <c r="BX98" s="41" t="str">
        <f aca="false">IF(BX$6=Eventos!$C$21,"F",IF(BX$6=Eventos!$C$20,"P",IF(BX$6=Eventos!$C$22,"C",IF(BX$6=Eventos!$C$23,"R",""))))</f>
        <v/>
      </c>
      <c r="BY98" s="41" t="str">
        <f aca="false">IF(BY$6=Eventos!$C$21,"F",IF(BY$6=Eventos!$C$20,"P",IF(BY$6=Eventos!$C$22,"C",IF(BY$6=Eventos!$C$23,"R",""))))</f>
        <v/>
      </c>
      <c r="BZ98" s="41" t="str">
        <f aca="false">IF(BZ$6=Eventos!$C$21,"F",IF(BZ$6=Eventos!$C$20,"P",IF(BZ$6=Eventos!$C$22,"C",IF(BZ$6=Eventos!$C$23,"R",""))))</f>
        <v/>
      </c>
      <c r="CA98" s="41" t="str">
        <f aca="false">IF(CA$6=Eventos!$C$21,"F",IF(CA$6=Eventos!$C$20,"P",IF(CA$6=Eventos!$C$22,"C",IF(CA$6=Eventos!$C$23,"R",""))))</f>
        <v/>
      </c>
      <c r="CB98" s="41" t="str">
        <f aca="false">IF(CB$6=Eventos!$C$21,"F",IF(CB$6=Eventos!$C$20,"P",IF(CB$6=Eventos!$C$22,"C",IF(CB$6=Eventos!$C$23,"R",""))))</f>
        <v/>
      </c>
      <c r="CC98" s="41" t="str">
        <f aca="false">IF(CC$6=Eventos!$C$21,"F",IF(CC$6=Eventos!$C$20,"P",IF(CC$6=Eventos!$C$22,"C",IF(CC$6=Eventos!$C$23,"R",""))))</f>
        <v/>
      </c>
      <c r="CD98" s="41" t="str">
        <f aca="false">IF(CD$6=Eventos!$C$21,"F",IF(CD$6=Eventos!$C$20,"P",IF(CD$6=Eventos!$C$22,"C",IF(CD$6=Eventos!$C$23,"R",""))))</f>
        <v/>
      </c>
      <c r="CE98" s="41" t="str">
        <f aca="false">IF(CE$6=Eventos!$C$21,"F",IF(CE$6=Eventos!$C$20,"P",IF(CE$6=Eventos!$C$22,"C",IF(CE$6=Eventos!$C$23,"R",""))))</f>
        <v/>
      </c>
      <c r="CF98" s="41" t="str">
        <f aca="false">IF(CF$6=Eventos!$C$21,"F",IF(CF$6=Eventos!$C$20,"P",IF(CF$6=Eventos!$C$22,"C",IF(CF$6=Eventos!$C$23,"R",""))))</f>
        <v/>
      </c>
    </row>
    <row r="99" customFormat="false" ht="15" hidden="false" customHeight="false" outlineLevel="1" collapsed="false">
      <c r="A99" s="10" t="s">
        <v>262</v>
      </c>
      <c r="B99" s="42" t="s">
        <v>263</v>
      </c>
      <c r="C99" s="10" t="s">
        <v>64</v>
      </c>
      <c r="D99" s="10" t="s">
        <v>232</v>
      </c>
      <c r="E99" s="43" t="n">
        <f aca="false">Historias!J17</f>
        <v>46308</v>
      </c>
      <c r="F99" s="43" t="n">
        <f aca="false">Historias!K17</f>
        <v>46311</v>
      </c>
      <c r="G99" s="10" t="n">
        <f aca="false">NETWORKDAYS(E99,F99,Feriados)</f>
        <v>4</v>
      </c>
      <c r="H99" s="12" t="n">
        <f aca="false">Historias!N17</f>
        <v>0</v>
      </c>
      <c r="I99" s="10" t="str">
        <f aca="false">Historias!P17</f>
        <v>Por hacer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</row>
    <row r="100" customFormat="false" ht="15" hidden="true" customHeight="false" outlineLevel="2" collapsed="false">
      <c r="A100" s="44" t="s">
        <v>264</v>
      </c>
      <c r="B100" s="45" t="s">
        <v>265</v>
      </c>
      <c r="C100" s="44" t="s">
        <v>65</v>
      </c>
      <c r="D100" s="44" t="s">
        <v>102</v>
      </c>
      <c r="E100" s="46" t="n">
        <f aca="false">Tareas!H73</f>
        <v>46308</v>
      </c>
      <c r="F100" s="46" t="n">
        <f aca="false">Tareas!I73</f>
        <v>46311</v>
      </c>
      <c r="G100" s="44" t="n">
        <f aca="false">NETWORKDAYS(E100,F100,Feriados)</f>
        <v>4</v>
      </c>
      <c r="H100" s="47" t="n">
        <f aca="false">Tareas!K73</f>
        <v>0</v>
      </c>
      <c r="I100" s="44" t="str">
        <f aca="false">Tareas!J73</f>
        <v>Por hacer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</row>
    <row r="101" customFormat="false" ht="15" hidden="true" customHeight="false" outlineLevel="2" collapsed="false">
      <c r="A101" s="44" t="s">
        <v>266</v>
      </c>
      <c r="B101" s="45" t="s">
        <v>267</v>
      </c>
      <c r="C101" s="44" t="s">
        <v>65</v>
      </c>
      <c r="D101" s="44" t="s">
        <v>97</v>
      </c>
      <c r="E101" s="46" t="n">
        <f aca="false">Tareas!H74</f>
        <v>46308</v>
      </c>
      <c r="F101" s="46" t="n">
        <f aca="false">Tareas!I74</f>
        <v>46311</v>
      </c>
      <c r="G101" s="44" t="n">
        <f aca="false">NETWORKDAYS(E101,F101,Feriados)</f>
        <v>4</v>
      </c>
      <c r="H101" s="47" t="n">
        <f aca="false">Tareas!K74</f>
        <v>0</v>
      </c>
      <c r="I101" s="44" t="str">
        <f aca="false">Tareas!J74</f>
        <v>Por hacer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</row>
    <row r="102" customFormat="false" ht="15" hidden="true" customHeight="false" outlineLevel="2" collapsed="false">
      <c r="A102" s="44" t="s">
        <v>268</v>
      </c>
      <c r="B102" s="45" t="s">
        <v>269</v>
      </c>
      <c r="C102" s="44" t="s">
        <v>65</v>
      </c>
      <c r="D102" s="44" t="s">
        <v>97</v>
      </c>
      <c r="E102" s="46" t="n">
        <f aca="false">Tareas!H75</f>
        <v>46308</v>
      </c>
      <c r="F102" s="46" t="n">
        <f aca="false">Tareas!I75</f>
        <v>46311</v>
      </c>
      <c r="G102" s="44" t="n">
        <f aca="false">NETWORKDAYS(E102,F102,Feriados)</f>
        <v>4</v>
      </c>
      <c r="H102" s="47" t="n">
        <f aca="false">Tareas!K75</f>
        <v>0</v>
      </c>
      <c r="I102" s="44" t="str">
        <f aca="false">Tareas!J75</f>
        <v>Por hacer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</row>
    <row r="103" customFormat="false" ht="15" hidden="true" customHeight="false" outlineLevel="2" collapsed="false">
      <c r="A103" s="44" t="s">
        <v>270</v>
      </c>
      <c r="B103" s="45" t="s">
        <v>271</v>
      </c>
      <c r="C103" s="44" t="s">
        <v>65</v>
      </c>
      <c r="D103" s="44" t="s">
        <v>92</v>
      </c>
      <c r="E103" s="46" t="n">
        <f aca="false">Tareas!H76</f>
        <v>46308</v>
      </c>
      <c r="F103" s="46" t="n">
        <f aca="false">Tareas!I76</f>
        <v>46311</v>
      </c>
      <c r="G103" s="44" t="n">
        <f aca="false">NETWORKDAYS(E103,F103,Feriados)</f>
        <v>4</v>
      </c>
      <c r="H103" s="47" t="n">
        <f aca="false">Tareas!K76</f>
        <v>0</v>
      </c>
      <c r="I103" s="44" t="str">
        <f aca="false">Tareas!J76</f>
        <v>Por hacer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</row>
    <row r="104" customFormat="false" ht="15" hidden="false" customHeight="false" outlineLevel="1" collapsed="false">
      <c r="A104" s="10" t="s">
        <v>272</v>
      </c>
      <c r="B104" s="42" t="s">
        <v>273</v>
      </c>
      <c r="C104" s="10" t="s">
        <v>64</v>
      </c>
      <c r="D104" s="10" t="s">
        <v>204</v>
      </c>
      <c r="E104" s="43" t="n">
        <f aca="false">Historias!J18</f>
        <v>46308</v>
      </c>
      <c r="F104" s="43" t="n">
        <f aca="false">Historias!K18</f>
        <v>46311</v>
      </c>
      <c r="G104" s="10" t="n">
        <f aca="false">NETWORKDAYS(E104,F104,Feriados)</f>
        <v>4</v>
      </c>
      <c r="H104" s="12" t="n">
        <f aca="false">Historias!N18</f>
        <v>0</v>
      </c>
      <c r="I104" s="10" t="str">
        <f aca="false">Historias!P18</f>
        <v>Por hacer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</row>
    <row r="105" customFormat="false" ht="15" hidden="true" customHeight="false" outlineLevel="2" collapsed="false">
      <c r="A105" s="44" t="s">
        <v>274</v>
      </c>
      <c r="B105" s="45" t="s">
        <v>275</v>
      </c>
      <c r="C105" s="44" t="s">
        <v>65</v>
      </c>
      <c r="D105" s="44" t="s">
        <v>97</v>
      </c>
      <c r="E105" s="46" t="n">
        <f aca="false">Tareas!H77</f>
        <v>46308</v>
      </c>
      <c r="F105" s="46" t="n">
        <f aca="false">Tareas!I77</f>
        <v>46311</v>
      </c>
      <c r="G105" s="44" t="n">
        <f aca="false">NETWORKDAYS(E105,F105,Feriados)</f>
        <v>4</v>
      </c>
      <c r="H105" s="47" t="n">
        <f aca="false">Tareas!K77</f>
        <v>0</v>
      </c>
      <c r="I105" s="44" t="str">
        <f aca="false">Tareas!J77</f>
        <v>Por hacer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</row>
    <row r="106" customFormat="false" ht="15" hidden="true" customHeight="false" outlineLevel="2" collapsed="false">
      <c r="A106" s="44" t="s">
        <v>276</v>
      </c>
      <c r="B106" s="45" t="s">
        <v>277</v>
      </c>
      <c r="C106" s="44" t="s">
        <v>65</v>
      </c>
      <c r="D106" s="44" t="s">
        <v>92</v>
      </c>
      <c r="E106" s="46" t="n">
        <f aca="false">Tareas!H78</f>
        <v>46308</v>
      </c>
      <c r="F106" s="46" t="n">
        <f aca="false">Tareas!I78</f>
        <v>46311</v>
      </c>
      <c r="G106" s="44" t="n">
        <f aca="false">NETWORKDAYS(E106,F106,Feriados)</f>
        <v>4</v>
      </c>
      <c r="H106" s="47" t="n">
        <f aca="false">Tareas!K78</f>
        <v>0</v>
      </c>
      <c r="I106" s="44" t="str">
        <f aca="false">Tareas!J78</f>
        <v>Por hacer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</row>
    <row r="107" customFormat="false" ht="15" hidden="true" customHeight="false" outlineLevel="2" collapsed="false">
      <c r="A107" s="44" t="s">
        <v>278</v>
      </c>
      <c r="B107" s="45" t="s">
        <v>279</v>
      </c>
      <c r="C107" s="44" t="s">
        <v>65</v>
      </c>
      <c r="D107" s="44" t="s">
        <v>92</v>
      </c>
      <c r="E107" s="46" t="n">
        <f aca="false">Tareas!H79</f>
        <v>46308</v>
      </c>
      <c r="F107" s="46" t="n">
        <f aca="false">Tareas!I79</f>
        <v>46311</v>
      </c>
      <c r="G107" s="44" t="n">
        <f aca="false">NETWORKDAYS(E107,F107,Feriados)</f>
        <v>4</v>
      </c>
      <c r="H107" s="47" t="n">
        <f aca="false">Tareas!K79</f>
        <v>0</v>
      </c>
      <c r="I107" s="44" t="str">
        <f aca="false">Tareas!J79</f>
        <v>Por hacer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</row>
    <row r="108" customFormat="false" ht="15" hidden="true" customHeight="false" outlineLevel="2" collapsed="false">
      <c r="A108" s="44" t="s">
        <v>280</v>
      </c>
      <c r="B108" s="45" t="s">
        <v>281</v>
      </c>
      <c r="C108" s="44" t="s">
        <v>65</v>
      </c>
      <c r="D108" s="44" t="s">
        <v>97</v>
      </c>
      <c r="E108" s="46" t="n">
        <f aca="false">Tareas!H80</f>
        <v>46308</v>
      </c>
      <c r="F108" s="46" t="n">
        <f aca="false">Tareas!I80</f>
        <v>46311</v>
      </c>
      <c r="G108" s="44" t="n">
        <f aca="false">NETWORKDAYS(E108,F108,Feriados)</f>
        <v>4</v>
      </c>
      <c r="H108" s="47" t="n">
        <f aca="false">Tareas!K80</f>
        <v>0</v>
      </c>
      <c r="I108" s="44" t="str">
        <f aca="false">Tareas!J80</f>
        <v>Por hacer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</row>
    <row r="109" customFormat="false" ht="15" hidden="true" customHeight="false" outlineLevel="2" collapsed="false">
      <c r="A109" s="44" t="s">
        <v>282</v>
      </c>
      <c r="B109" s="45" t="s">
        <v>283</v>
      </c>
      <c r="C109" s="44" t="s">
        <v>65</v>
      </c>
      <c r="D109" s="44" t="s">
        <v>102</v>
      </c>
      <c r="E109" s="46" t="n">
        <f aca="false">Tareas!H81</f>
        <v>46308</v>
      </c>
      <c r="F109" s="46" t="n">
        <f aca="false">Tareas!I81</f>
        <v>46311</v>
      </c>
      <c r="G109" s="44" t="n">
        <f aca="false">NETWORKDAYS(E109,F109,Feriados)</f>
        <v>4</v>
      </c>
      <c r="H109" s="47" t="n">
        <f aca="false">Tareas!K81</f>
        <v>0</v>
      </c>
      <c r="I109" s="44" t="str">
        <f aca="false">Tareas!J81</f>
        <v>Por hacer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</row>
    <row r="110" customFormat="false" ht="15" hidden="false" customHeight="false" outlineLevel="1" collapsed="false">
      <c r="A110" s="10" t="s">
        <v>284</v>
      </c>
      <c r="B110" s="42" t="s">
        <v>285</v>
      </c>
      <c r="C110" s="10" t="s">
        <v>64</v>
      </c>
      <c r="D110" s="10" t="s">
        <v>204</v>
      </c>
      <c r="E110" s="43" t="n">
        <f aca="false">Historias!J19</f>
        <v>46314</v>
      </c>
      <c r="F110" s="43" t="n">
        <f aca="false">Historias!K19</f>
        <v>46318</v>
      </c>
      <c r="G110" s="10" t="n">
        <f aca="false">NETWORKDAYS(E110,F110,Feriados)</f>
        <v>5</v>
      </c>
      <c r="H110" s="12" t="n">
        <f aca="false">Historias!N19</f>
        <v>0</v>
      </c>
      <c r="I110" s="10" t="str">
        <f aca="false">Historias!P19</f>
        <v>Por hacer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</row>
    <row r="111" customFormat="false" ht="15" hidden="true" customHeight="false" outlineLevel="2" collapsed="false">
      <c r="A111" s="44" t="s">
        <v>286</v>
      </c>
      <c r="B111" s="45" t="s">
        <v>287</v>
      </c>
      <c r="C111" s="44" t="s">
        <v>65</v>
      </c>
      <c r="D111" s="44" t="s">
        <v>92</v>
      </c>
      <c r="E111" s="46" t="n">
        <f aca="false">Tareas!H82</f>
        <v>46314</v>
      </c>
      <c r="F111" s="46" t="n">
        <f aca="false">Tareas!I82</f>
        <v>46318</v>
      </c>
      <c r="G111" s="44" t="n">
        <f aca="false">NETWORKDAYS(E111,F111,Feriados)</f>
        <v>5</v>
      </c>
      <c r="H111" s="47" t="n">
        <f aca="false">Tareas!K82</f>
        <v>0</v>
      </c>
      <c r="I111" s="44" t="str">
        <f aca="false">Tareas!J82</f>
        <v>Por hacer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</row>
    <row r="112" customFormat="false" ht="15" hidden="true" customHeight="false" outlineLevel="2" collapsed="false">
      <c r="A112" s="44" t="s">
        <v>288</v>
      </c>
      <c r="B112" s="45" t="s">
        <v>289</v>
      </c>
      <c r="C112" s="44" t="s">
        <v>65</v>
      </c>
      <c r="D112" s="44" t="s">
        <v>102</v>
      </c>
      <c r="E112" s="46" t="n">
        <f aca="false">Tareas!H83</f>
        <v>46314</v>
      </c>
      <c r="F112" s="46" t="n">
        <f aca="false">Tareas!I83</f>
        <v>46318</v>
      </c>
      <c r="G112" s="44" t="n">
        <f aca="false">NETWORKDAYS(E112,F112,Feriados)</f>
        <v>5</v>
      </c>
      <c r="H112" s="47" t="n">
        <f aca="false">Tareas!K83</f>
        <v>0</v>
      </c>
      <c r="I112" s="44" t="str">
        <f aca="false">Tareas!J83</f>
        <v>Por hacer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</row>
    <row r="113" customFormat="false" ht="15" hidden="true" customHeight="false" outlineLevel="2" collapsed="false">
      <c r="A113" s="44" t="s">
        <v>290</v>
      </c>
      <c r="B113" s="45" t="s">
        <v>291</v>
      </c>
      <c r="C113" s="44" t="s">
        <v>65</v>
      </c>
      <c r="D113" s="44" t="s">
        <v>97</v>
      </c>
      <c r="E113" s="46" t="n">
        <f aca="false">Tareas!H84</f>
        <v>46314</v>
      </c>
      <c r="F113" s="46" t="n">
        <f aca="false">Tareas!I84</f>
        <v>46318</v>
      </c>
      <c r="G113" s="44" t="n">
        <f aca="false">NETWORKDAYS(E113,F113,Feriados)</f>
        <v>5</v>
      </c>
      <c r="H113" s="47" t="n">
        <f aca="false">Tareas!K84</f>
        <v>0</v>
      </c>
      <c r="I113" s="44" t="str">
        <f aca="false">Tareas!J84</f>
        <v>Por hacer</v>
      </c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</row>
    <row r="114" customFormat="false" ht="15" hidden="true" customHeight="false" outlineLevel="2" collapsed="false">
      <c r="A114" s="44" t="s">
        <v>292</v>
      </c>
      <c r="B114" s="45" t="s">
        <v>293</v>
      </c>
      <c r="C114" s="44" t="s">
        <v>65</v>
      </c>
      <c r="D114" s="44" t="s">
        <v>92</v>
      </c>
      <c r="E114" s="46" t="n">
        <f aca="false">Tareas!H85</f>
        <v>46314</v>
      </c>
      <c r="F114" s="46" t="n">
        <f aca="false">Tareas!I85</f>
        <v>46318</v>
      </c>
      <c r="G114" s="44" t="n">
        <f aca="false">NETWORKDAYS(E114,F114,Feriados)</f>
        <v>5</v>
      </c>
      <c r="H114" s="47" t="n">
        <f aca="false">Tareas!K85</f>
        <v>0</v>
      </c>
      <c r="I114" s="44" t="str">
        <f aca="false">Tareas!J85</f>
        <v>Por hacer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</row>
    <row r="115" customFormat="false" ht="15" hidden="true" customHeight="false" outlineLevel="2" collapsed="false">
      <c r="A115" s="44" t="s">
        <v>294</v>
      </c>
      <c r="B115" s="45" t="s">
        <v>295</v>
      </c>
      <c r="C115" s="44" t="s">
        <v>65</v>
      </c>
      <c r="D115" s="44" t="s">
        <v>102</v>
      </c>
      <c r="E115" s="46" t="n">
        <f aca="false">Tareas!H86</f>
        <v>46314</v>
      </c>
      <c r="F115" s="46" t="n">
        <f aca="false">Tareas!I86</f>
        <v>46318</v>
      </c>
      <c r="G115" s="44" t="n">
        <f aca="false">NETWORKDAYS(E115,F115,Feriados)</f>
        <v>5</v>
      </c>
      <c r="H115" s="47" t="n">
        <f aca="false">Tareas!K86</f>
        <v>0</v>
      </c>
      <c r="I115" s="44" t="str">
        <f aca="false">Tareas!J86</f>
        <v>Por hacer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</row>
    <row r="116" customFormat="false" ht="15" hidden="false" customHeight="false" outlineLevel="1" collapsed="false">
      <c r="A116" s="10" t="s">
        <v>296</v>
      </c>
      <c r="B116" s="42" t="s">
        <v>297</v>
      </c>
      <c r="C116" s="10" t="s">
        <v>64</v>
      </c>
      <c r="D116" s="10" t="s">
        <v>204</v>
      </c>
      <c r="E116" s="43" t="n">
        <f aca="false">Historias!J20</f>
        <v>46314</v>
      </c>
      <c r="F116" s="43" t="n">
        <f aca="false">Historias!K20</f>
        <v>46318</v>
      </c>
      <c r="G116" s="10" t="n">
        <f aca="false">NETWORKDAYS(E116,F116,Feriados)</f>
        <v>5</v>
      </c>
      <c r="H116" s="12" t="n">
        <f aca="false">Historias!N20</f>
        <v>0</v>
      </c>
      <c r="I116" s="10" t="str">
        <f aca="false">Historias!P20</f>
        <v>Por hacer</v>
      </c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</row>
    <row r="117" customFormat="false" ht="15" hidden="true" customHeight="false" outlineLevel="2" collapsed="false">
      <c r="A117" s="44" t="s">
        <v>298</v>
      </c>
      <c r="B117" s="45" t="s">
        <v>299</v>
      </c>
      <c r="C117" s="44" t="s">
        <v>65</v>
      </c>
      <c r="D117" s="44" t="s">
        <v>92</v>
      </c>
      <c r="E117" s="46" t="n">
        <f aca="false">Tareas!H87</f>
        <v>46314</v>
      </c>
      <c r="F117" s="46" t="n">
        <f aca="false">Tareas!I87</f>
        <v>46318</v>
      </c>
      <c r="G117" s="44" t="n">
        <f aca="false">NETWORKDAYS(E117,F117,Feriados)</f>
        <v>5</v>
      </c>
      <c r="H117" s="47" t="n">
        <f aca="false">Tareas!K87</f>
        <v>0</v>
      </c>
      <c r="I117" s="44" t="str">
        <f aca="false">Tareas!J87</f>
        <v>Por hacer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</row>
    <row r="118" customFormat="false" ht="15" hidden="true" customHeight="false" outlineLevel="2" collapsed="false">
      <c r="A118" s="44" t="s">
        <v>300</v>
      </c>
      <c r="B118" s="45" t="s">
        <v>301</v>
      </c>
      <c r="C118" s="44" t="s">
        <v>65</v>
      </c>
      <c r="D118" s="44" t="s">
        <v>102</v>
      </c>
      <c r="E118" s="46" t="n">
        <f aca="false">Tareas!H88</f>
        <v>46314</v>
      </c>
      <c r="F118" s="46" t="n">
        <f aca="false">Tareas!I88</f>
        <v>46318</v>
      </c>
      <c r="G118" s="44" t="n">
        <f aca="false">NETWORKDAYS(E118,F118,Feriados)</f>
        <v>5</v>
      </c>
      <c r="H118" s="47" t="n">
        <f aca="false">Tareas!K88</f>
        <v>0</v>
      </c>
      <c r="I118" s="44" t="str">
        <f aca="false">Tareas!J88</f>
        <v>Por hacer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</row>
    <row r="119" customFormat="false" ht="15" hidden="true" customHeight="false" outlineLevel="2" collapsed="false">
      <c r="A119" s="44" t="s">
        <v>302</v>
      </c>
      <c r="B119" s="45" t="s">
        <v>303</v>
      </c>
      <c r="C119" s="44" t="s">
        <v>65</v>
      </c>
      <c r="D119" s="44" t="s">
        <v>97</v>
      </c>
      <c r="E119" s="46" t="n">
        <f aca="false">Tareas!H89</f>
        <v>46314</v>
      </c>
      <c r="F119" s="46" t="n">
        <f aca="false">Tareas!I89</f>
        <v>46318</v>
      </c>
      <c r="G119" s="44" t="n">
        <f aca="false">NETWORKDAYS(E119,F119,Feriados)</f>
        <v>5</v>
      </c>
      <c r="H119" s="47" t="n">
        <f aca="false">Tareas!K89</f>
        <v>0</v>
      </c>
      <c r="I119" s="44" t="str">
        <f aca="false">Tareas!J89</f>
        <v>Por hacer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</row>
    <row r="120" customFormat="false" ht="15" hidden="true" customHeight="false" outlineLevel="2" collapsed="false">
      <c r="A120" s="44" t="s">
        <v>304</v>
      </c>
      <c r="B120" s="45" t="s">
        <v>305</v>
      </c>
      <c r="C120" s="44" t="s">
        <v>65</v>
      </c>
      <c r="D120" s="44" t="s">
        <v>102</v>
      </c>
      <c r="E120" s="46" t="n">
        <f aca="false">Tareas!H90</f>
        <v>46314</v>
      </c>
      <c r="F120" s="46" t="n">
        <f aca="false">Tareas!I90</f>
        <v>46318</v>
      </c>
      <c r="G120" s="44" t="n">
        <f aca="false">NETWORKDAYS(E120,F120,Feriados)</f>
        <v>5</v>
      </c>
      <c r="H120" s="47" t="n">
        <f aca="false">Tareas!K90</f>
        <v>0</v>
      </c>
      <c r="I120" s="44" t="str">
        <f aca="false">Tareas!J90</f>
        <v>Por hacer</v>
      </c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</row>
    <row r="121" customFormat="false" ht="15" hidden="true" customHeight="false" outlineLevel="2" collapsed="false">
      <c r="A121" s="44" t="s">
        <v>306</v>
      </c>
      <c r="B121" s="45" t="s">
        <v>307</v>
      </c>
      <c r="C121" s="44" t="s">
        <v>65</v>
      </c>
      <c r="D121" s="44" t="s">
        <v>92</v>
      </c>
      <c r="E121" s="46" t="n">
        <f aca="false">Tareas!H91</f>
        <v>46314</v>
      </c>
      <c r="F121" s="46" t="n">
        <f aca="false">Tareas!I91</f>
        <v>46318</v>
      </c>
      <c r="G121" s="44" t="n">
        <f aca="false">NETWORKDAYS(E121,F121,Feriados)</f>
        <v>5</v>
      </c>
      <c r="H121" s="47" t="n">
        <f aca="false">Tareas!K91</f>
        <v>0</v>
      </c>
      <c r="I121" s="44" t="str">
        <f aca="false">Tareas!J91</f>
        <v>Por hacer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</row>
    <row r="122" customFormat="false" ht="15" hidden="false" customHeight="false" outlineLevel="1" collapsed="false">
      <c r="A122" s="10"/>
      <c r="B122" s="42" t="s">
        <v>137</v>
      </c>
      <c r="C122" s="10" t="s">
        <v>64</v>
      </c>
      <c r="D122" s="10" t="s">
        <v>86</v>
      </c>
      <c r="E122" s="43" t="n">
        <f aca="false">_xlfn.MINIFS(Tareas!$H:$H,Tareas!$B:$B,"Sprint 4",Tareas!$C:$C,"Transversal")</f>
        <v>46314</v>
      </c>
      <c r="F122" s="43" t="n">
        <f aca="false">_xlfn.MAXIFS(Tareas!$I:$I,Tareas!$B:$B,"Sprint 4",Tareas!$C:$C,"Transversal")</f>
        <v>46318</v>
      </c>
      <c r="G122" s="10" t="n">
        <f aca="false">NETWORKDAYS(E122,F122,Feriados)</f>
        <v>5</v>
      </c>
      <c r="H122" s="12" t="n">
        <f aca="false">IFERROR(SUMIFS(Tareas!$L:$L,Tareas!$B:$B,"Sprint 4",Tareas!$C:$C,"Transversal")/SUMIFS(Tareas!$F:$F,Tareas!$B:$B,"Sprint 4",Tareas!$C:$C,"Transversal"),0)</f>
        <v>0</v>
      </c>
      <c r="I122" s="1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</row>
    <row r="123" customFormat="false" ht="15" hidden="true" customHeight="false" outlineLevel="2" collapsed="false">
      <c r="A123" s="44" t="s">
        <v>308</v>
      </c>
      <c r="B123" s="45" t="s">
        <v>309</v>
      </c>
      <c r="C123" s="44" t="s">
        <v>65</v>
      </c>
      <c r="D123" s="44" t="s">
        <v>92</v>
      </c>
      <c r="E123" s="46" t="n">
        <f aca="false">Tareas!H92</f>
        <v>46314</v>
      </c>
      <c r="F123" s="46" t="n">
        <f aca="false">Tareas!I92</f>
        <v>46318</v>
      </c>
      <c r="G123" s="44" t="n">
        <f aca="false">NETWORKDAYS(E123,F123,Feriados)</f>
        <v>5</v>
      </c>
      <c r="H123" s="47" t="n">
        <f aca="false">Tareas!K92</f>
        <v>0</v>
      </c>
      <c r="I123" s="44" t="str">
        <f aca="false">Tareas!J92</f>
        <v>Por hacer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</row>
    <row r="124" customFormat="false" ht="15" hidden="true" customHeight="false" outlineLevel="2" collapsed="false">
      <c r="A124" s="44" t="s">
        <v>310</v>
      </c>
      <c r="B124" s="45" t="s">
        <v>311</v>
      </c>
      <c r="C124" s="44" t="s">
        <v>65</v>
      </c>
      <c r="D124" s="44" t="s">
        <v>97</v>
      </c>
      <c r="E124" s="46" t="n">
        <f aca="false">Tareas!H93</f>
        <v>46314</v>
      </c>
      <c r="F124" s="46" t="n">
        <f aca="false">Tareas!I93</f>
        <v>46318</v>
      </c>
      <c r="G124" s="44" t="n">
        <f aca="false">NETWORKDAYS(E124,F124,Feriados)</f>
        <v>5</v>
      </c>
      <c r="H124" s="47" t="n">
        <f aca="false">Tareas!K93</f>
        <v>0</v>
      </c>
      <c r="I124" s="44" t="str">
        <f aca="false">Tareas!J93</f>
        <v>Por hacer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</row>
    <row r="125" customFormat="false" ht="15" hidden="true" customHeight="false" outlineLevel="2" collapsed="false">
      <c r="A125" s="44" t="s">
        <v>312</v>
      </c>
      <c r="B125" s="45" t="s">
        <v>145</v>
      </c>
      <c r="C125" s="44" t="s">
        <v>65</v>
      </c>
      <c r="D125" s="44" t="s">
        <v>102</v>
      </c>
      <c r="E125" s="46" t="n">
        <f aca="false">Tareas!H94</f>
        <v>46314</v>
      </c>
      <c r="F125" s="46" t="n">
        <f aca="false">Tareas!I94</f>
        <v>46318</v>
      </c>
      <c r="G125" s="44" t="n">
        <f aca="false">NETWORKDAYS(E125,F125,Feriados)</f>
        <v>5</v>
      </c>
      <c r="H125" s="47" t="n">
        <f aca="false">Tareas!K94</f>
        <v>0</v>
      </c>
      <c r="I125" s="44" t="str">
        <f aca="false">Tareas!J94</f>
        <v>Por hacer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</row>
    <row r="126" customFormat="false" ht="23.85" hidden="false" customHeight="false" outlineLevel="0" collapsed="false">
      <c r="A126" s="8" t="s">
        <v>313</v>
      </c>
      <c r="B126" s="34" t="s">
        <v>314</v>
      </c>
      <c r="C126" s="8" t="s">
        <v>7</v>
      </c>
      <c r="D126" s="8" t="s">
        <v>148</v>
      </c>
      <c r="E126" s="35" t="n">
        <f aca="false">Resumen!C12</f>
        <v>46321</v>
      </c>
      <c r="F126" s="35" t="n">
        <f aca="false">Resumen!D12</f>
        <v>46332</v>
      </c>
      <c r="G126" s="8" t="n">
        <f aca="false">NETWORKDAYS(E126,F126,Feriados)</f>
        <v>10</v>
      </c>
      <c r="H126" s="15" t="n">
        <f aca="false">Resumen!L12</f>
        <v>0</v>
      </c>
      <c r="I126" s="8" t="str">
        <f aca="false">Resumen!Q12</f>
        <v>Planificado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</row>
    <row r="127" customFormat="false" ht="15" hidden="false" customHeight="false" outlineLevel="1" collapsed="false">
      <c r="A127" s="37"/>
      <c r="B127" s="38" t="s">
        <v>84</v>
      </c>
      <c r="C127" s="37" t="s">
        <v>85</v>
      </c>
      <c r="D127" s="37" t="s">
        <v>86</v>
      </c>
      <c r="E127" s="39"/>
      <c r="F127" s="39"/>
      <c r="G127" s="37"/>
      <c r="H127" s="40"/>
      <c r="I127" s="37"/>
      <c r="J127" s="41" t="str">
        <f aca="false">IF(J$6=Eventos!$C$26,"F",IF(J$6=Eventos!$C$25,"P",IF(J$6=Eventos!$C$27,"C",IF(J$6=Eventos!$C$28,"R",""))))</f>
        <v/>
      </c>
      <c r="K127" s="41" t="str">
        <f aca="false">IF(K$6=Eventos!$C$26,"F",IF(K$6=Eventos!$C$25,"P",IF(K$6=Eventos!$C$27,"C",IF(K$6=Eventos!$C$28,"R",""))))</f>
        <v/>
      </c>
      <c r="L127" s="41" t="str">
        <f aca="false">IF(L$6=Eventos!$C$26,"F",IF(L$6=Eventos!$C$25,"P",IF(L$6=Eventos!$C$27,"C",IF(L$6=Eventos!$C$28,"R",""))))</f>
        <v/>
      </c>
      <c r="M127" s="41" t="str">
        <f aca="false">IF(M$6=Eventos!$C$26,"F",IF(M$6=Eventos!$C$25,"P",IF(M$6=Eventos!$C$27,"C",IF(M$6=Eventos!$C$28,"R",""))))</f>
        <v/>
      </c>
      <c r="N127" s="41" t="str">
        <f aca="false">IF(N$6=Eventos!$C$26,"F",IF(N$6=Eventos!$C$25,"P",IF(N$6=Eventos!$C$27,"C",IF(N$6=Eventos!$C$28,"R",""))))</f>
        <v/>
      </c>
      <c r="O127" s="41" t="str">
        <f aca="false">IF(O$6=Eventos!$C$26,"F",IF(O$6=Eventos!$C$25,"P",IF(O$6=Eventos!$C$27,"C",IF(O$6=Eventos!$C$28,"R",""))))</f>
        <v/>
      </c>
      <c r="P127" s="41" t="str">
        <f aca="false">IF(P$6=Eventos!$C$26,"F",IF(P$6=Eventos!$C$25,"P",IF(P$6=Eventos!$C$27,"C",IF(P$6=Eventos!$C$28,"R",""))))</f>
        <v/>
      </c>
      <c r="Q127" s="41" t="str">
        <f aca="false">IF(Q$6=Eventos!$C$26,"F",IF(Q$6=Eventos!$C$25,"P",IF(Q$6=Eventos!$C$27,"C",IF(Q$6=Eventos!$C$28,"R",""))))</f>
        <v/>
      </c>
      <c r="R127" s="41" t="str">
        <f aca="false">IF(R$6=Eventos!$C$26,"F",IF(R$6=Eventos!$C$25,"P",IF(R$6=Eventos!$C$27,"C",IF(R$6=Eventos!$C$28,"R",""))))</f>
        <v/>
      </c>
      <c r="S127" s="41" t="str">
        <f aca="false">IF(S$6=Eventos!$C$26,"F",IF(S$6=Eventos!$C$25,"P",IF(S$6=Eventos!$C$27,"C",IF(S$6=Eventos!$C$28,"R",""))))</f>
        <v/>
      </c>
      <c r="T127" s="41" t="str">
        <f aca="false">IF(T$6=Eventos!$C$26,"F",IF(T$6=Eventos!$C$25,"P",IF(T$6=Eventos!$C$27,"C",IF(T$6=Eventos!$C$28,"R",""))))</f>
        <v/>
      </c>
      <c r="U127" s="41" t="str">
        <f aca="false">IF(U$6=Eventos!$C$26,"F",IF(U$6=Eventos!$C$25,"P",IF(U$6=Eventos!$C$27,"C",IF(U$6=Eventos!$C$28,"R",""))))</f>
        <v/>
      </c>
      <c r="V127" s="41" t="str">
        <f aca="false">IF(V$6=Eventos!$C$26,"F",IF(V$6=Eventos!$C$25,"P",IF(V$6=Eventos!$C$27,"C",IF(V$6=Eventos!$C$28,"R",""))))</f>
        <v/>
      </c>
      <c r="W127" s="41" t="str">
        <f aca="false">IF(W$6=Eventos!$C$26,"F",IF(W$6=Eventos!$C$25,"P",IF(W$6=Eventos!$C$27,"C",IF(W$6=Eventos!$C$28,"R",""))))</f>
        <v/>
      </c>
      <c r="X127" s="41" t="str">
        <f aca="false">IF(X$6=Eventos!$C$26,"F",IF(X$6=Eventos!$C$25,"P",IF(X$6=Eventos!$C$27,"C",IF(X$6=Eventos!$C$28,"R",""))))</f>
        <v/>
      </c>
      <c r="Y127" s="41" t="str">
        <f aca="false">IF(Y$6=Eventos!$C$26,"F",IF(Y$6=Eventos!$C$25,"P",IF(Y$6=Eventos!$C$27,"C",IF(Y$6=Eventos!$C$28,"R",""))))</f>
        <v/>
      </c>
      <c r="Z127" s="41" t="str">
        <f aca="false">IF(Z$6=Eventos!$C$26,"F",IF(Z$6=Eventos!$C$25,"P",IF(Z$6=Eventos!$C$27,"C",IF(Z$6=Eventos!$C$28,"R",""))))</f>
        <v/>
      </c>
      <c r="AA127" s="41" t="str">
        <f aca="false">IF(AA$6=Eventos!$C$26,"F",IF(AA$6=Eventos!$C$25,"P",IF(AA$6=Eventos!$C$27,"C",IF(AA$6=Eventos!$C$28,"R",""))))</f>
        <v/>
      </c>
      <c r="AB127" s="41" t="str">
        <f aca="false">IF(AB$6=Eventos!$C$26,"F",IF(AB$6=Eventos!$C$25,"P",IF(AB$6=Eventos!$C$27,"C",IF(AB$6=Eventos!$C$28,"R",""))))</f>
        <v/>
      </c>
      <c r="AC127" s="41" t="str">
        <f aca="false">IF(AC$6=Eventos!$C$26,"F",IF(AC$6=Eventos!$C$25,"P",IF(AC$6=Eventos!$C$27,"C",IF(AC$6=Eventos!$C$28,"R",""))))</f>
        <v/>
      </c>
      <c r="AD127" s="41" t="str">
        <f aca="false">IF(AD$6=Eventos!$C$26,"F",IF(AD$6=Eventos!$C$25,"P",IF(AD$6=Eventos!$C$27,"C",IF(AD$6=Eventos!$C$28,"R",""))))</f>
        <v/>
      </c>
      <c r="AE127" s="41" t="str">
        <f aca="false">IF(AE$6=Eventos!$C$26,"F",IF(AE$6=Eventos!$C$25,"P",IF(AE$6=Eventos!$C$27,"C",IF(AE$6=Eventos!$C$28,"R",""))))</f>
        <v/>
      </c>
      <c r="AF127" s="41" t="str">
        <f aca="false">IF(AF$6=Eventos!$C$26,"F",IF(AF$6=Eventos!$C$25,"P",IF(AF$6=Eventos!$C$27,"C",IF(AF$6=Eventos!$C$28,"R",""))))</f>
        <v/>
      </c>
      <c r="AG127" s="41" t="str">
        <f aca="false">IF(AG$6=Eventos!$C$26,"F",IF(AG$6=Eventos!$C$25,"P",IF(AG$6=Eventos!$C$27,"C",IF(AG$6=Eventos!$C$28,"R",""))))</f>
        <v/>
      </c>
      <c r="AH127" s="41" t="str">
        <f aca="false">IF(AH$6=Eventos!$C$26,"F",IF(AH$6=Eventos!$C$25,"P",IF(AH$6=Eventos!$C$27,"C",IF(AH$6=Eventos!$C$28,"R",""))))</f>
        <v/>
      </c>
      <c r="AI127" s="41" t="str">
        <f aca="false">IF(AI$6=Eventos!$C$26,"F",IF(AI$6=Eventos!$C$25,"P",IF(AI$6=Eventos!$C$27,"C",IF(AI$6=Eventos!$C$28,"R",""))))</f>
        <v/>
      </c>
      <c r="AJ127" s="41" t="str">
        <f aca="false">IF(AJ$6=Eventos!$C$26,"F",IF(AJ$6=Eventos!$C$25,"P",IF(AJ$6=Eventos!$C$27,"C",IF(AJ$6=Eventos!$C$28,"R",""))))</f>
        <v/>
      </c>
      <c r="AK127" s="41" t="str">
        <f aca="false">IF(AK$6=Eventos!$C$26,"F",IF(AK$6=Eventos!$C$25,"P",IF(AK$6=Eventos!$C$27,"C",IF(AK$6=Eventos!$C$28,"R",""))))</f>
        <v/>
      </c>
      <c r="AL127" s="41" t="str">
        <f aca="false">IF(AL$6=Eventos!$C$26,"F",IF(AL$6=Eventos!$C$25,"P",IF(AL$6=Eventos!$C$27,"C",IF(AL$6=Eventos!$C$28,"R",""))))</f>
        <v/>
      </c>
      <c r="AM127" s="41" t="str">
        <f aca="false">IF(AM$6=Eventos!$C$26,"F",IF(AM$6=Eventos!$C$25,"P",IF(AM$6=Eventos!$C$27,"C",IF(AM$6=Eventos!$C$28,"R",""))))</f>
        <v/>
      </c>
      <c r="AN127" s="41" t="str">
        <f aca="false">IF(AN$6=Eventos!$C$26,"F",IF(AN$6=Eventos!$C$25,"P",IF(AN$6=Eventos!$C$27,"C",IF(AN$6=Eventos!$C$28,"R",""))))</f>
        <v/>
      </c>
      <c r="AO127" s="41" t="str">
        <f aca="false">IF(AO$6=Eventos!$C$26,"F",IF(AO$6=Eventos!$C$25,"P",IF(AO$6=Eventos!$C$27,"C",IF(AO$6=Eventos!$C$28,"R",""))))</f>
        <v/>
      </c>
      <c r="AP127" s="41" t="str">
        <f aca="false">IF(AP$6=Eventos!$C$26,"F",IF(AP$6=Eventos!$C$25,"P",IF(AP$6=Eventos!$C$27,"C",IF(AP$6=Eventos!$C$28,"R",""))))</f>
        <v/>
      </c>
      <c r="AQ127" s="41" t="str">
        <f aca="false">IF(AQ$6=Eventos!$C$26,"F",IF(AQ$6=Eventos!$C$25,"P",IF(AQ$6=Eventos!$C$27,"C",IF(AQ$6=Eventos!$C$28,"R",""))))</f>
        <v/>
      </c>
      <c r="AR127" s="41" t="str">
        <f aca="false">IF(AR$6=Eventos!$C$26,"F",IF(AR$6=Eventos!$C$25,"P",IF(AR$6=Eventos!$C$27,"C",IF(AR$6=Eventos!$C$28,"R",""))))</f>
        <v/>
      </c>
      <c r="AS127" s="41" t="str">
        <f aca="false">IF(AS$6=Eventos!$C$26,"F",IF(AS$6=Eventos!$C$25,"P",IF(AS$6=Eventos!$C$27,"C",IF(AS$6=Eventos!$C$28,"R",""))))</f>
        <v/>
      </c>
      <c r="AT127" s="41" t="str">
        <f aca="false">IF(AT$6=Eventos!$C$26,"F",IF(AT$6=Eventos!$C$25,"P",IF(AT$6=Eventos!$C$27,"C",IF(AT$6=Eventos!$C$28,"R",""))))</f>
        <v/>
      </c>
      <c r="AU127" s="41" t="str">
        <f aca="false">IF(AU$6=Eventos!$C$26,"F",IF(AU$6=Eventos!$C$25,"P",IF(AU$6=Eventos!$C$27,"C",IF(AU$6=Eventos!$C$28,"R",""))))</f>
        <v/>
      </c>
      <c r="AV127" s="41" t="str">
        <f aca="false">IF(AV$6=Eventos!$C$26,"F",IF(AV$6=Eventos!$C$25,"P",IF(AV$6=Eventos!$C$27,"C",IF(AV$6=Eventos!$C$28,"R",""))))</f>
        <v/>
      </c>
      <c r="AW127" s="41" t="str">
        <f aca="false">IF(AW$6=Eventos!$C$26,"F",IF(AW$6=Eventos!$C$25,"P",IF(AW$6=Eventos!$C$27,"C",IF(AW$6=Eventos!$C$28,"R",""))))</f>
        <v/>
      </c>
      <c r="AX127" s="41" t="str">
        <f aca="false">IF(AX$6=Eventos!$C$26,"F",IF(AX$6=Eventos!$C$25,"P",IF(AX$6=Eventos!$C$27,"C",IF(AX$6=Eventos!$C$28,"R",""))))</f>
        <v>P</v>
      </c>
      <c r="AY127" s="41" t="str">
        <f aca="false">IF(AY$6=Eventos!$C$26,"F",IF(AY$6=Eventos!$C$25,"P",IF(AY$6=Eventos!$C$27,"C",IF(AY$6=Eventos!$C$28,"R",""))))</f>
        <v/>
      </c>
      <c r="AZ127" s="41" t="str">
        <f aca="false">IF(AZ$6=Eventos!$C$26,"F",IF(AZ$6=Eventos!$C$25,"P",IF(AZ$6=Eventos!$C$27,"C",IF(AZ$6=Eventos!$C$28,"R",""))))</f>
        <v/>
      </c>
      <c r="BA127" s="41" t="str">
        <f aca="false">IF(BA$6=Eventos!$C$26,"F",IF(BA$6=Eventos!$C$25,"P",IF(BA$6=Eventos!$C$27,"C",IF(BA$6=Eventos!$C$28,"R",""))))</f>
        <v/>
      </c>
      <c r="BB127" s="41" t="str">
        <f aca="false">IF(BB$6=Eventos!$C$26,"F",IF(BB$6=Eventos!$C$25,"P",IF(BB$6=Eventos!$C$27,"C",IF(BB$6=Eventos!$C$28,"R",""))))</f>
        <v/>
      </c>
      <c r="BC127" s="41" t="str">
        <f aca="false">IF(BC$6=Eventos!$C$26,"F",IF(BC$6=Eventos!$C$25,"P",IF(BC$6=Eventos!$C$27,"C",IF(BC$6=Eventos!$C$28,"R",""))))</f>
        <v>F</v>
      </c>
      <c r="BD127" s="41" t="str">
        <f aca="false">IF(BD$6=Eventos!$C$26,"F",IF(BD$6=Eventos!$C$25,"P",IF(BD$6=Eventos!$C$27,"C",IF(BD$6=Eventos!$C$28,"R",""))))</f>
        <v/>
      </c>
      <c r="BE127" s="41" t="str">
        <f aca="false">IF(BE$6=Eventos!$C$26,"F",IF(BE$6=Eventos!$C$25,"P",IF(BE$6=Eventos!$C$27,"C",IF(BE$6=Eventos!$C$28,"R",""))))</f>
        <v/>
      </c>
      <c r="BF127" s="41" t="str">
        <f aca="false">IF(BF$6=Eventos!$C$26,"F",IF(BF$6=Eventos!$C$25,"P",IF(BF$6=Eventos!$C$27,"C",IF(BF$6=Eventos!$C$28,"R",""))))</f>
        <v>C</v>
      </c>
      <c r="BG127" s="41" t="str">
        <f aca="false">IF(BG$6=Eventos!$C$26,"F",IF(BG$6=Eventos!$C$25,"P",IF(BG$6=Eventos!$C$27,"C",IF(BG$6=Eventos!$C$28,"R",""))))</f>
        <v>R</v>
      </c>
      <c r="BH127" s="41" t="str">
        <f aca="false">IF(BH$6=Eventos!$C$26,"F",IF(BH$6=Eventos!$C$25,"P",IF(BH$6=Eventos!$C$27,"C",IF(BH$6=Eventos!$C$28,"R",""))))</f>
        <v/>
      </c>
      <c r="BI127" s="41" t="str">
        <f aca="false">IF(BI$6=Eventos!$C$26,"F",IF(BI$6=Eventos!$C$25,"P",IF(BI$6=Eventos!$C$27,"C",IF(BI$6=Eventos!$C$28,"R",""))))</f>
        <v/>
      </c>
      <c r="BJ127" s="41" t="str">
        <f aca="false">IF(BJ$6=Eventos!$C$26,"F",IF(BJ$6=Eventos!$C$25,"P",IF(BJ$6=Eventos!$C$27,"C",IF(BJ$6=Eventos!$C$28,"R",""))))</f>
        <v/>
      </c>
      <c r="BK127" s="41" t="str">
        <f aca="false">IF(BK$6=Eventos!$C$26,"F",IF(BK$6=Eventos!$C$25,"P",IF(BK$6=Eventos!$C$27,"C",IF(BK$6=Eventos!$C$28,"R",""))))</f>
        <v/>
      </c>
      <c r="BL127" s="41" t="str">
        <f aca="false">IF(BL$6=Eventos!$C$26,"F",IF(BL$6=Eventos!$C$25,"P",IF(BL$6=Eventos!$C$27,"C",IF(BL$6=Eventos!$C$28,"R",""))))</f>
        <v/>
      </c>
      <c r="BM127" s="41" t="str">
        <f aca="false">IF(BM$6=Eventos!$C$26,"F",IF(BM$6=Eventos!$C$25,"P",IF(BM$6=Eventos!$C$27,"C",IF(BM$6=Eventos!$C$28,"R",""))))</f>
        <v/>
      </c>
      <c r="BN127" s="41" t="str">
        <f aca="false">IF(BN$6=Eventos!$C$26,"F",IF(BN$6=Eventos!$C$25,"P",IF(BN$6=Eventos!$C$27,"C",IF(BN$6=Eventos!$C$28,"R",""))))</f>
        <v/>
      </c>
      <c r="BO127" s="41" t="str">
        <f aca="false">IF(BO$6=Eventos!$C$26,"F",IF(BO$6=Eventos!$C$25,"P",IF(BO$6=Eventos!$C$27,"C",IF(BO$6=Eventos!$C$28,"R",""))))</f>
        <v/>
      </c>
      <c r="BP127" s="41" t="str">
        <f aca="false">IF(BP$6=Eventos!$C$26,"F",IF(BP$6=Eventos!$C$25,"P",IF(BP$6=Eventos!$C$27,"C",IF(BP$6=Eventos!$C$28,"R",""))))</f>
        <v/>
      </c>
      <c r="BQ127" s="41" t="str">
        <f aca="false">IF(BQ$6=Eventos!$C$26,"F",IF(BQ$6=Eventos!$C$25,"P",IF(BQ$6=Eventos!$C$27,"C",IF(BQ$6=Eventos!$C$28,"R",""))))</f>
        <v/>
      </c>
      <c r="BR127" s="41" t="str">
        <f aca="false">IF(BR$6=Eventos!$C$26,"F",IF(BR$6=Eventos!$C$25,"P",IF(BR$6=Eventos!$C$27,"C",IF(BR$6=Eventos!$C$28,"R",""))))</f>
        <v/>
      </c>
      <c r="BS127" s="41" t="str">
        <f aca="false">IF(BS$6=Eventos!$C$26,"F",IF(BS$6=Eventos!$C$25,"P",IF(BS$6=Eventos!$C$27,"C",IF(BS$6=Eventos!$C$28,"R",""))))</f>
        <v/>
      </c>
      <c r="BT127" s="41" t="str">
        <f aca="false">IF(BT$6=Eventos!$C$26,"F",IF(BT$6=Eventos!$C$25,"P",IF(BT$6=Eventos!$C$27,"C",IF(BT$6=Eventos!$C$28,"R",""))))</f>
        <v/>
      </c>
      <c r="BU127" s="41" t="str">
        <f aca="false">IF(BU$6=Eventos!$C$26,"F",IF(BU$6=Eventos!$C$25,"P",IF(BU$6=Eventos!$C$27,"C",IF(BU$6=Eventos!$C$28,"R",""))))</f>
        <v/>
      </c>
      <c r="BV127" s="41" t="str">
        <f aca="false">IF(BV$6=Eventos!$C$26,"F",IF(BV$6=Eventos!$C$25,"P",IF(BV$6=Eventos!$C$27,"C",IF(BV$6=Eventos!$C$28,"R",""))))</f>
        <v/>
      </c>
      <c r="BW127" s="41" t="str">
        <f aca="false">IF(BW$6=Eventos!$C$26,"F",IF(BW$6=Eventos!$C$25,"P",IF(BW$6=Eventos!$C$27,"C",IF(BW$6=Eventos!$C$28,"R",""))))</f>
        <v/>
      </c>
      <c r="BX127" s="41" t="str">
        <f aca="false">IF(BX$6=Eventos!$C$26,"F",IF(BX$6=Eventos!$C$25,"P",IF(BX$6=Eventos!$C$27,"C",IF(BX$6=Eventos!$C$28,"R",""))))</f>
        <v/>
      </c>
      <c r="BY127" s="41" t="str">
        <f aca="false">IF(BY$6=Eventos!$C$26,"F",IF(BY$6=Eventos!$C$25,"P",IF(BY$6=Eventos!$C$27,"C",IF(BY$6=Eventos!$C$28,"R",""))))</f>
        <v/>
      </c>
      <c r="BZ127" s="41" t="str">
        <f aca="false">IF(BZ$6=Eventos!$C$26,"F",IF(BZ$6=Eventos!$C$25,"P",IF(BZ$6=Eventos!$C$27,"C",IF(BZ$6=Eventos!$C$28,"R",""))))</f>
        <v/>
      </c>
      <c r="CA127" s="41" t="str">
        <f aca="false">IF(CA$6=Eventos!$C$26,"F",IF(CA$6=Eventos!$C$25,"P",IF(CA$6=Eventos!$C$27,"C",IF(CA$6=Eventos!$C$28,"R",""))))</f>
        <v/>
      </c>
      <c r="CB127" s="41" t="str">
        <f aca="false">IF(CB$6=Eventos!$C$26,"F",IF(CB$6=Eventos!$C$25,"P",IF(CB$6=Eventos!$C$27,"C",IF(CB$6=Eventos!$C$28,"R",""))))</f>
        <v/>
      </c>
      <c r="CC127" s="41" t="str">
        <f aca="false">IF(CC$6=Eventos!$C$26,"F",IF(CC$6=Eventos!$C$25,"P",IF(CC$6=Eventos!$C$27,"C",IF(CC$6=Eventos!$C$28,"R",""))))</f>
        <v/>
      </c>
      <c r="CD127" s="41" t="str">
        <f aca="false">IF(CD$6=Eventos!$C$26,"F",IF(CD$6=Eventos!$C$25,"P",IF(CD$6=Eventos!$C$27,"C",IF(CD$6=Eventos!$C$28,"R",""))))</f>
        <v/>
      </c>
      <c r="CE127" s="41" t="str">
        <f aca="false">IF(CE$6=Eventos!$C$26,"F",IF(CE$6=Eventos!$C$25,"P",IF(CE$6=Eventos!$C$27,"C",IF(CE$6=Eventos!$C$28,"R",""))))</f>
        <v/>
      </c>
      <c r="CF127" s="41" t="str">
        <f aca="false">IF(CF$6=Eventos!$C$26,"F",IF(CF$6=Eventos!$C$25,"P",IF(CF$6=Eventos!$C$27,"C",IF(CF$6=Eventos!$C$28,"R",""))))</f>
        <v/>
      </c>
    </row>
    <row r="128" customFormat="false" ht="15" hidden="false" customHeight="false" outlineLevel="1" collapsed="false">
      <c r="A128" s="10" t="s">
        <v>315</v>
      </c>
      <c r="B128" s="42" t="s">
        <v>316</v>
      </c>
      <c r="C128" s="10" t="s">
        <v>64</v>
      </c>
      <c r="D128" s="10" t="s">
        <v>232</v>
      </c>
      <c r="E128" s="43" t="n">
        <f aca="false">Historias!J21</f>
        <v>46321</v>
      </c>
      <c r="F128" s="43" t="n">
        <f aca="false">Historias!K21</f>
        <v>46325</v>
      </c>
      <c r="G128" s="10" t="n">
        <f aca="false">NETWORKDAYS(E128,F128,Feriados)</f>
        <v>5</v>
      </c>
      <c r="H128" s="12" t="n">
        <f aca="false">Historias!N21</f>
        <v>0</v>
      </c>
      <c r="I128" s="10" t="str">
        <f aca="false">Historias!P21</f>
        <v>Por hacer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</row>
    <row r="129" customFormat="false" ht="15" hidden="true" customHeight="false" outlineLevel="2" collapsed="false">
      <c r="A129" s="44" t="s">
        <v>317</v>
      </c>
      <c r="B129" s="45" t="s">
        <v>318</v>
      </c>
      <c r="C129" s="44" t="s">
        <v>65</v>
      </c>
      <c r="D129" s="44" t="s">
        <v>97</v>
      </c>
      <c r="E129" s="46" t="n">
        <f aca="false">Tareas!H95</f>
        <v>46321</v>
      </c>
      <c r="F129" s="46" t="n">
        <f aca="false">Tareas!I95</f>
        <v>46325</v>
      </c>
      <c r="G129" s="44" t="n">
        <f aca="false">NETWORKDAYS(E129,F129,Feriados)</f>
        <v>5</v>
      </c>
      <c r="H129" s="47" t="n">
        <f aca="false">Tareas!K95</f>
        <v>0</v>
      </c>
      <c r="I129" s="44" t="str">
        <f aca="false">Tareas!J95</f>
        <v>Por hacer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</row>
    <row r="130" customFormat="false" ht="15" hidden="true" customHeight="false" outlineLevel="2" collapsed="false">
      <c r="A130" s="44" t="s">
        <v>319</v>
      </c>
      <c r="B130" s="45" t="s">
        <v>320</v>
      </c>
      <c r="C130" s="44" t="s">
        <v>65</v>
      </c>
      <c r="D130" s="44" t="s">
        <v>102</v>
      </c>
      <c r="E130" s="46" t="n">
        <f aca="false">Tareas!H96</f>
        <v>46321</v>
      </c>
      <c r="F130" s="46" t="n">
        <f aca="false">Tareas!I96</f>
        <v>46325</v>
      </c>
      <c r="G130" s="44" t="n">
        <f aca="false">NETWORKDAYS(E130,F130,Feriados)</f>
        <v>5</v>
      </c>
      <c r="H130" s="47" t="n">
        <f aca="false">Tareas!K96</f>
        <v>0</v>
      </c>
      <c r="I130" s="44" t="str">
        <f aca="false">Tareas!J96</f>
        <v>Por hacer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</row>
    <row r="131" customFormat="false" ht="15" hidden="true" customHeight="false" outlineLevel="2" collapsed="false">
      <c r="A131" s="44" t="s">
        <v>321</v>
      </c>
      <c r="B131" s="45" t="s">
        <v>322</v>
      </c>
      <c r="C131" s="44" t="s">
        <v>65</v>
      </c>
      <c r="D131" s="44" t="s">
        <v>97</v>
      </c>
      <c r="E131" s="46" t="n">
        <f aca="false">Tareas!H97</f>
        <v>46321</v>
      </c>
      <c r="F131" s="46" t="n">
        <f aca="false">Tareas!I97</f>
        <v>46325</v>
      </c>
      <c r="G131" s="44" t="n">
        <f aca="false">NETWORKDAYS(E131,F131,Feriados)</f>
        <v>5</v>
      </c>
      <c r="H131" s="47" t="n">
        <f aca="false">Tareas!K97</f>
        <v>0</v>
      </c>
      <c r="I131" s="44" t="str">
        <f aca="false">Tareas!J97</f>
        <v>Por hacer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</row>
    <row r="132" customFormat="false" ht="15" hidden="true" customHeight="false" outlineLevel="2" collapsed="false">
      <c r="A132" s="44" t="s">
        <v>323</v>
      </c>
      <c r="B132" s="45" t="s">
        <v>324</v>
      </c>
      <c r="C132" s="44" t="s">
        <v>65</v>
      </c>
      <c r="D132" s="44" t="s">
        <v>97</v>
      </c>
      <c r="E132" s="46" t="n">
        <f aca="false">Tareas!H98</f>
        <v>46321</v>
      </c>
      <c r="F132" s="46" t="n">
        <f aca="false">Tareas!I98</f>
        <v>46325</v>
      </c>
      <c r="G132" s="44" t="n">
        <f aca="false">NETWORKDAYS(E132,F132,Feriados)</f>
        <v>5</v>
      </c>
      <c r="H132" s="47" t="n">
        <f aca="false">Tareas!K98</f>
        <v>0</v>
      </c>
      <c r="I132" s="44" t="str">
        <f aca="false">Tareas!J98</f>
        <v>Por hacer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</row>
    <row r="133" customFormat="false" ht="15" hidden="true" customHeight="false" outlineLevel="2" collapsed="false">
      <c r="A133" s="44" t="s">
        <v>325</v>
      </c>
      <c r="B133" s="45" t="s">
        <v>326</v>
      </c>
      <c r="C133" s="44" t="s">
        <v>65</v>
      </c>
      <c r="D133" s="44" t="s">
        <v>92</v>
      </c>
      <c r="E133" s="46" t="n">
        <f aca="false">Tareas!H99</f>
        <v>46321</v>
      </c>
      <c r="F133" s="46" t="n">
        <f aca="false">Tareas!I99</f>
        <v>46325</v>
      </c>
      <c r="G133" s="44" t="n">
        <f aca="false">NETWORKDAYS(E133,F133,Feriados)</f>
        <v>5</v>
      </c>
      <c r="H133" s="47" t="n">
        <f aca="false">Tareas!K99</f>
        <v>0</v>
      </c>
      <c r="I133" s="44" t="str">
        <f aca="false">Tareas!J99</f>
        <v>Por hacer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</row>
    <row r="134" customFormat="false" ht="15" hidden="false" customHeight="false" outlineLevel="1" collapsed="false">
      <c r="A134" s="10" t="s">
        <v>327</v>
      </c>
      <c r="B134" s="42" t="s">
        <v>328</v>
      </c>
      <c r="C134" s="10" t="s">
        <v>64</v>
      </c>
      <c r="D134" s="10" t="s">
        <v>151</v>
      </c>
      <c r="E134" s="43" t="n">
        <f aca="false">Historias!J22</f>
        <v>46321</v>
      </c>
      <c r="F134" s="43" t="n">
        <f aca="false">Historias!K22</f>
        <v>46332</v>
      </c>
      <c r="G134" s="10" t="n">
        <f aca="false">NETWORKDAYS(E134,F134,Feriados)</f>
        <v>10</v>
      </c>
      <c r="H134" s="12" t="n">
        <f aca="false">Historias!N22</f>
        <v>0</v>
      </c>
      <c r="I134" s="10" t="str">
        <f aca="false">Historias!P22</f>
        <v>Por hacer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</row>
    <row r="135" customFormat="false" ht="15" hidden="true" customHeight="false" outlineLevel="2" collapsed="false">
      <c r="A135" s="44" t="s">
        <v>329</v>
      </c>
      <c r="B135" s="45" t="s">
        <v>330</v>
      </c>
      <c r="C135" s="44" t="s">
        <v>65</v>
      </c>
      <c r="D135" s="44" t="s">
        <v>102</v>
      </c>
      <c r="E135" s="46" t="n">
        <f aca="false">Tareas!H100</f>
        <v>46321</v>
      </c>
      <c r="F135" s="46" t="n">
        <f aca="false">Tareas!I100</f>
        <v>46325</v>
      </c>
      <c r="G135" s="44" t="n">
        <f aca="false">NETWORKDAYS(E135,F135,Feriados)</f>
        <v>5</v>
      </c>
      <c r="H135" s="47" t="n">
        <f aca="false">Tareas!K100</f>
        <v>0</v>
      </c>
      <c r="I135" s="44" t="str">
        <f aca="false">Tareas!J100</f>
        <v>Por hacer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</row>
    <row r="136" customFormat="false" ht="15" hidden="true" customHeight="false" outlineLevel="2" collapsed="false">
      <c r="A136" s="44" t="s">
        <v>331</v>
      </c>
      <c r="B136" s="45" t="s">
        <v>332</v>
      </c>
      <c r="C136" s="44" t="s">
        <v>65</v>
      </c>
      <c r="D136" s="44" t="s">
        <v>92</v>
      </c>
      <c r="E136" s="46" t="n">
        <f aca="false">Tareas!H101</f>
        <v>46321</v>
      </c>
      <c r="F136" s="46" t="n">
        <f aca="false">Tareas!I101</f>
        <v>46325</v>
      </c>
      <c r="G136" s="44" t="n">
        <f aca="false">NETWORKDAYS(E136,F136,Feriados)</f>
        <v>5</v>
      </c>
      <c r="H136" s="47" t="n">
        <f aca="false">Tareas!K101</f>
        <v>0</v>
      </c>
      <c r="I136" s="44" t="str">
        <f aca="false">Tareas!J101</f>
        <v>Por hacer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</row>
    <row r="137" customFormat="false" ht="15" hidden="true" customHeight="false" outlineLevel="2" collapsed="false">
      <c r="A137" s="44" t="s">
        <v>333</v>
      </c>
      <c r="B137" s="45" t="s">
        <v>334</v>
      </c>
      <c r="C137" s="44" t="s">
        <v>65</v>
      </c>
      <c r="D137" s="44" t="s">
        <v>92</v>
      </c>
      <c r="E137" s="46" t="n">
        <f aca="false">Tareas!H102</f>
        <v>46328</v>
      </c>
      <c r="F137" s="46" t="n">
        <f aca="false">Tareas!I102</f>
        <v>46332</v>
      </c>
      <c r="G137" s="44" t="n">
        <f aca="false">NETWORKDAYS(E137,F137,Feriados)</f>
        <v>5</v>
      </c>
      <c r="H137" s="47" t="n">
        <f aca="false">Tareas!K102</f>
        <v>0</v>
      </c>
      <c r="I137" s="44" t="str">
        <f aca="false">Tareas!J102</f>
        <v>Por hacer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</row>
    <row r="138" customFormat="false" ht="15" hidden="true" customHeight="false" outlineLevel="2" collapsed="false">
      <c r="A138" s="44" t="s">
        <v>335</v>
      </c>
      <c r="B138" s="45" t="s">
        <v>336</v>
      </c>
      <c r="C138" s="44" t="s">
        <v>65</v>
      </c>
      <c r="D138" s="44" t="s">
        <v>102</v>
      </c>
      <c r="E138" s="46" t="n">
        <f aca="false">Tareas!H103</f>
        <v>46328</v>
      </c>
      <c r="F138" s="46" t="n">
        <f aca="false">Tareas!I103</f>
        <v>46332</v>
      </c>
      <c r="G138" s="44" t="n">
        <f aca="false">NETWORKDAYS(E138,F138,Feriados)</f>
        <v>5</v>
      </c>
      <c r="H138" s="47" t="n">
        <f aca="false">Tareas!K103</f>
        <v>0</v>
      </c>
      <c r="I138" s="44" t="str">
        <f aca="false">Tareas!J103</f>
        <v>Por hacer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</row>
    <row r="139" customFormat="false" ht="15" hidden="true" customHeight="false" outlineLevel="2" collapsed="false">
      <c r="A139" s="44" t="s">
        <v>337</v>
      </c>
      <c r="B139" s="45" t="s">
        <v>338</v>
      </c>
      <c r="C139" s="44" t="s">
        <v>65</v>
      </c>
      <c r="D139" s="44" t="s">
        <v>97</v>
      </c>
      <c r="E139" s="46" t="n">
        <f aca="false">Tareas!H104</f>
        <v>46328</v>
      </c>
      <c r="F139" s="46" t="n">
        <f aca="false">Tareas!I104</f>
        <v>46332</v>
      </c>
      <c r="G139" s="44" t="n">
        <f aca="false">NETWORKDAYS(E139,F139,Feriados)</f>
        <v>5</v>
      </c>
      <c r="H139" s="47" t="n">
        <f aca="false">Tareas!K104</f>
        <v>0</v>
      </c>
      <c r="I139" s="44" t="str">
        <f aca="false">Tareas!J104</f>
        <v>Por hacer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</row>
    <row r="140" customFormat="false" ht="15" hidden="false" customHeight="false" outlineLevel="1" collapsed="false">
      <c r="A140" s="10" t="s">
        <v>339</v>
      </c>
      <c r="B140" s="42" t="s">
        <v>340</v>
      </c>
      <c r="C140" s="10" t="s">
        <v>64</v>
      </c>
      <c r="D140" s="10" t="s">
        <v>151</v>
      </c>
      <c r="E140" s="43" t="n">
        <f aca="false">Historias!J23</f>
        <v>46328</v>
      </c>
      <c r="F140" s="43" t="n">
        <f aca="false">Historias!K23</f>
        <v>46332</v>
      </c>
      <c r="G140" s="10" t="n">
        <f aca="false">NETWORKDAYS(E140,F140,Feriados)</f>
        <v>5</v>
      </c>
      <c r="H140" s="12" t="n">
        <f aca="false">Historias!N23</f>
        <v>0</v>
      </c>
      <c r="I140" s="10" t="str">
        <f aca="false">Historias!P23</f>
        <v>Por hacer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</row>
    <row r="141" customFormat="false" ht="15" hidden="true" customHeight="false" outlineLevel="2" collapsed="false">
      <c r="A141" s="44" t="s">
        <v>341</v>
      </c>
      <c r="B141" s="45" t="s">
        <v>342</v>
      </c>
      <c r="C141" s="44" t="s">
        <v>65</v>
      </c>
      <c r="D141" s="44" t="s">
        <v>92</v>
      </c>
      <c r="E141" s="46" t="n">
        <f aca="false">Tareas!H105</f>
        <v>46328</v>
      </c>
      <c r="F141" s="46" t="n">
        <f aca="false">Tareas!I105</f>
        <v>46332</v>
      </c>
      <c r="G141" s="44" t="n">
        <f aca="false">NETWORKDAYS(E141,F141,Feriados)</f>
        <v>5</v>
      </c>
      <c r="H141" s="47" t="n">
        <f aca="false">Tareas!K105</f>
        <v>0</v>
      </c>
      <c r="I141" s="44" t="str">
        <f aca="false">Tareas!J105</f>
        <v>Por hacer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</row>
    <row r="142" customFormat="false" ht="15" hidden="true" customHeight="false" outlineLevel="2" collapsed="false">
      <c r="A142" s="44" t="s">
        <v>343</v>
      </c>
      <c r="B142" s="45" t="s">
        <v>344</v>
      </c>
      <c r="C142" s="44" t="s">
        <v>65</v>
      </c>
      <c r="D142" s="44" t="s">
        <v>102</v>
      </c>
      <c r="E142" s="46" t="n">
        <f aca="false">Tareas!H106</f>
        <v>46328</v>
      </c>
      <c r="F142" s="46" t="n">
        <f aca="false">Tareas!I106</f>
        <v>46332</v>
      </c>
      <c r="G142" s="44" t="n">
        <f aca="false">NETWORKDAYS(E142,F142,Feriados)</f>
        <v>5</v>
      </c>
      <c r="H142" s="47" t="n">
        <f aca="false">Tareas!K106</f>
        <v>0</v>
      </c>
      <c r="I142" s="44" t="str">
        <f aca="false">Tareas!J106</f>
        <v>Por hacer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</row>
    <row r="143" customFormat="false" ht="15" hidden="true" customHeight="false" outlineLevel="2" collapsed="false">
      <c r="A143" s="44" t="s">
        <v>345</v>
      </c>
      <c r="B143" s="45" t="s">
        <v>346</v>
      </c>
      <c r="C143" s="44" t="s">
        <v>65</v>
      </c>
      <c r="D143" s="44" t="s">
        <v>92</v>
      </c>
      <c r="E143" s="46" t="n">
        <f aca="false">Tareas!H107</f>
        <v>46328</v>
      </c>
      <c r="F143" s="46" t="n">
        <f aca="false">Tareas!I107</f>
        <v>46332</v>
      </c>
      <c r="G143" s="44" t="n">
        <f aca="false">NETWORKDAYS(E143,F143,Feriados)</f>
        <v>5</v>
      </c>
      <c r="H143" s="47" t="n">
        <f aca="false">Tareas!K107</f>
        <v>0</v>
      </c>
      <c r="I143" s="44" t="str">
        <f aca="false">Tareas!J107</f>
        <v>Por hacer</v>
      </c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</row>
    <row r="144" customFormat="false" ht="15" hidden="true" customHeight="false" outlineLevel="2" collapsed="false">
      <c r="A144" s="44" t="s">
        <v>347</v>
      </c>
      <c r="B144" s="45" t="s">
        <v>348</v>
      </c>
      <c r="C144" s="44" t="s">
        <v>65</v>
      </c>
      <c r="D144" s="44" t="s">
        <v>92</v>
      </c>
      <c r="E144" s="46" t="n">
        <f aca="false">Tareas!H108</f>
        <v>46328</v>
      </c>
      <c r="F144" s="46" t="n">
        <f aca="false">Tareas!I108</f>
        <v>46332</v>
      </c>
      <c r="G144" s="44" t="n">
        <f aca="false">NETWORKDAYS(E144,F144,Feriados)</f>
        <v>5</v>
      </c>
      <c r="H144" s="47" t="n">
        <f aca="false">Tareas!K108</f>
        <v>0</v>
      </c>
      <c r="I144" s="44" t="str">
        <f aca="false">Tareas!J108</f>
        <v>Por hacer</v>
      </c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</row>
    <row r="145" customFormat="false" ht="15" hidden="true" customHeight="false" outlineLevel="2" collapsed="false">
      <c r="A145" s="44" t="s">
        <v>349</v>
      </c>
      <c r="B145" s="45" t="s">
        <v>350</v>
      </c>
      <c r="C145" s="44" t="s">
        <v>65</v>
      </c>
      <c r="D145" s="44" t="s">
        <v>97</v>
      </c>
      <c r="E145" s="46" t="n">
        <f aca="false">Tareas!H109</f>
        <v>46328</v>
      </c>
      <c r="F145" s="46" t="n">
        <f aca="false">Tareas!I109</f>
        <v>46332</v>
      </c>
      <c r="G145" s="44" t="n">
        <f aca="false">NETWORKDAYS(E145,F145,Feriados)</f>
        <v>5</v>
      </c>
      <c r="H145" s="47" t="n">
        <f aca="false">Tareas!K109</f>
        <v>0</v>
      </c>
      <c r="I145" s="44" t="str">
        <f aca="false">Tareas!J109</f>
        <v>Por hacer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</row>
    <row r="146" customFormat="false" ht="15" hidden="false" customHeight="false" outlineLevel="1" collapsed="false">
      <c r="A146" s="10"/>
      <c r="B146" s="42" t="s">
        <v>137</v>
      </c>
      <c r="C146" s="10" t="s">
        <v>64</v>
      </c>
      <c r="D146" s="10" t="s">
        <v>86</v>
      </c>
      <c r="E146" s="43" t="n">
        <f aca="false">_xlfn.MINIFS(Tareas!$H:$H,Tareas!$B:$B,"Sprint 5",Tareas!$C:$C,"Transversal")</f>
        <v>46328</v>
      </c>
      <c r="F146" s="43" t="n">
        <f aca="false">_xlfn.MAXIFS(Tareas!$I:$I,Tareas!$B:$B,"Sprint 5",Tareas!$C:$C,"Transversal")</f>
        <v>46332</v>
      </c>
      <c r="G146" s="10" t="n">
        <f aca="false">NETWORKDAYS(E146,F146,Feriados)</f>
        <v>5</v>
      </c>
      <c r="H146" s="12" t="n">
        <f aca="false">IFERROR(SUMIFS(Tareas!$L:$L,Tareas!$B:$B,"Sprint 5",Tareas!$C:$C,"Transversal")/SUMIFS(Tareas!$F:$F,Tareas!$B:$B,"Sprint 5",Tareas!$C:$C,"Transversal"),0)</f>
        <v>0</v>
      </c>
      <c r="I146" s="1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</row>
    <row r="147" customFormat="false" ht="15" hidden="true" customHeight="false" outlineLevel="2" collapsed="false">
      <c r="A147" s="44" t="s">
        <v>351</v>
      </c>
      <c r="B147" s="45" t="s">
        <v>352</v>
      </c>
      <c r="C147" s="44" t="s">
        <v>65</v>
      </c>
      <c r="D147" s="44" t="s">
        <v>97</v>
      </c>
      <c r="E147" s="46" t="n">
        <f aca="false">Tareas!H110</f>
        <v>46328</v>
      </c>
      <c r="F147" s="46" t="n">
        <f aca="false">Tareas!I110</f>
        <v>46332</v>
      </c>
      <c r="G147" s="44" t="n">
        <f aca="false">NETWORKDAYS(E147,F147,Feriados)</f>
        <v>5</v>
      </c>
      <c r="H147" s="47" t="n">
        <f aca="false">Tareas!K110</f>
        <v>0</v>
      </c>
      <c r="I147" s="44" t="str">
        <f aca="false">Tareas!J110</f>
        <v>Por hacer</v>
      </c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</row>
    <row r="148" customFormat="false" ht="15" hidden="true" customHeight="false" outlineLevel="2" collapsed="false">
      <c r="A148" s="44" t="s">
        <v>353</v>
      </c>
      <c r="B148" s="45" t="s">
        <v>354</v>
      </c>
      <c r="C148" s="44" t="s">
        <v>65</v>
      </c>
      <c r="D148" s="44" t="s">
        <v>102</v>
      </c>
      <c r="E148" s="46" t="n">
        <f aca="false">Tareas!H111</f>
        <v>46328</v>
      </c>
      <c r="F148" s="46" t="n">
        <f aca="false">Tareas!I111</f>
        <v>46332</v>
      </c>
      <c r="G148" s="44" t="n">
        <f aca="false">NETWORKDAYS(E148,F148,Feriados)</f>
        <v>5</v>
      </c>
      <c r="H148" s="47" t="n">
        <f aca="false">Tareas!K111</f>
        <v>0</v>
      </c>
      <c r="I148" s="44" t="str">
        <f aca="false">Tareas!J111</f>
        <v>Por hacer</v>
      </c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</row>
    <row r="149" customFormat="false" ht="15" hidden="true" customHeight="false" outlineLevel="2" collapsed="false">
      <c r="A149" s="44" t="s">
        <v>355</v>
      </c>
      <c r="B149" s="45" t="s">
        <v>356</v>
      </c>
      <c r="C149" s="44" t="s">
        <v>65</v>
      </c>
      <c r="D149" s="44" t="s">
        <v>102</v>
      </c>
      <c r="E149" s="46" t="n">
        <f aca="false">Tareas!H112</f>
        <v>46328</v>
      </c>
      <c r="F149" s="46" t="n">
        <f aca="false">Tareas!I112</f>
        <v>46332</v>
      </c>
      <c r="G149" s="44" t="n">
        <f aca="false">NETWORKDAYS(E149,F149,Feriados)</f>
        <v>5</v>
      </c>
      <c r="H149" s="47" t="n">
        <f aca="false">Tareas!K112</f>
        <v>0</v>
      </c>
      <c r="I149" s="44" t="str">
        <f aca="false">Tareas!J112</f>
        <v>Por hacer</v>
      </c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</row>
    <row r="150" customFormat="false" ht="15" hidden="true" customHeight="false" outlineLevel="2" collapsed="false">
      <c r="A150" s="44" t="s">
        <v>357</v>
      </c>
      <c r="B150" s="45" t="s">
        <v>358</v>
      </c>
      <c r="C150" s="44" t="s">
        <v>65</v>
      </c>
      <c r="D150" s="44" t="s">
        <v>92</v>
      </c>
      <c r="E150" s="46" t="n">
        <f aca="false">Tareas!H113</f>
        <v>46328</v>
      </c>
      <c r="F150" s="46" t="n">
        <f aca="false">Tareas!I113</f>
        <v>46332</v>
      </c>
      <c r="G150" s="44" t="n">
        <f aca="false">NETWORKDAYS(E150,F150,Feriados)</f>
        <v>5</v>
      </c>
      <c r="H150" s="47" t="n">
        <f aca="false">Tareas!K113</f>
        <v>0</v>
      </c>
      <c r="I150" s="44" t="str">
        <f aca="false">Tareas!J113</f>
        <v>Por hacer</v>
      </c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</row>
    <row r="151" customFormat="false" ht="15" hidden="true" customHeight="false" outlineLevel="2" collapsed="false">
      <c r="A151" s="44" t="s">
        <v>359</v>
      </c>
      <c r="B151" s="45" t="s">
        <v>145</v>
      </c>
      <c r="C151" s="44" t="s">
        <v>65</v>
      </c>
      <c r="D151" s="44" t="s">
        <v>97</v>
      </c>
      <c r="E151" s="46" t="n">
        <f aca="false">Tareas!H114</f>
        <v>46328</v>
      </c>
      <c r="F151" s="46" t="n">
        <f aca="false">Tareas!I114</f>
        <v>46332</v>
      </c>
      <c r="G151" s="44" t="n">
        <f aca="false">NETWORKDAYS(E151,F151,Feriados)</f>
        <v>5</v>
      </c>
      <c r="H151" s="47" t="n">
        <f aca="false">Tareas!K114</f>
        <v>0</v>
      </c>
      <c r="I151" s="44" t="str">
        <f aca="false">Tareas!J114</f>
        <v>Por hacer</v>
      </c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</row>
    <row r="152" customFormat="false" ht="23.85" hidden="false" customHeight="false" outlineLevel="0" collapsed="false">
      <c r="A152" s="8" t="s">
        <v>360</v>
      </c>
      <c r="B152" s="34" t="s">
        <v>361</v>
      </c>
      <c r="C152" s="8" t="s">
        <v>7</v>
      </c>
      <c r="D152" s="8" t="s">
        <v>201</v>
      </c>
      <c r="E152" s="35" t="n">
        <f aca="false">Resumen!C13</f>
        <v>46335</v>
      </c>
      <c r="F152" s="35" t="n">
        <f aca="false">Resumen!D13</f>
        <v>46339</v>
      </c>
      <c r="G152" s="8" t="n">
        <f aca="false">NETWORKDAYS(E152,F152,Feriados)</f>
        <v>5</v>
      </c>
      <c r="H152" s="15" t="n">
        <f aca="false">Resumen!L13</f>
        <v>0</v>
      </c>
      <c r="I152" s="8" t="str">
        <f aca="false">Resumen!Q13</f>
        <v>Planificado</v>
      </c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</row>
    <row r="153" customFormat="false" ht="15" hidden="false" customHeight="false" outlineLevel="1" collapsed="false">
      <c r="A153" s="37"/>
      <c r="B153" s="38" t="s">
        <v>84</v>
      </c>
      <c r="C153" s="37" t="s">
        <v>85</v>
      </c>
      <c r="D153" s="37" t="s">
        <v>86</v>
      </c>
      <c r="E153" s="39"/>
      <c r="F153" s="39"/>
      <c r="G153" s="37"/>
      <c r="H153" s="40"/>
      <c r="I153" s="37"/>
      <c r="J153" s="41" t="str">
        <f aca="false">IF(J$6=Eventos!$C$30,"P",IF(J$6=Eventos!$C$31,"C",IF(J$6=Eventos!$C$32,"R","")))</f>
        <v/>
      </c>
      <c r="K153" s="41" t="str">
        <f aca="false">IF(K$6=Eventos!$C$30,"P",IF(K$6=Eventos!$C$31,"C",IF(K$6=Eventos!$C$32,"R","")))</f>
        <v/>
      </c>
      <c r="L153" s="41" t="str">
        <f aca="false">IF(L$6=Eventos!$C$30,"P",IF(L$6=Eventos!$C$31,"C",IF(L$6=Eventos!$C$32,"R","")))</f>
        <v/>
      </c>
      <c r="M153" s="41" t="str">
        <f aca="false">IF(M$6=Eventos!$C$30,"P",IF(M$6=Eventos!$C$31,"C",IF(M$6=Eventos!$C$32,"R","")))</f>
        <v/>
      </c>
      <c r="N153" s="41" t="str">
        <f aca="false">IF(N$6=Eventos!$C$30,"P",IF(N$6=Eventos!$C$31,"C",IF(N$6=Eventos!$C$32,"R","")))</f>
        <v/>
      </c>
      <c r="O153" s="41" t="str">
        <f aca="false">IF(O$6=Eventos!$C$30,"P",IF(O$6=Eventos!$C$31,"C",IF(O$6=Eventos!$C$32,"R","")))</f>
        <v/>
      </c>
      <c r="P153" s="41" t="str">
        <f aca="false">IF(P$6=Eventos!$C$30,"P",IF(P$6=Eventos!$C$31,"C",IF(P$6=Eventos!$C$32,"R","")))</f>
        <v/>
      </c>
      <c r="Q153" s="41" t="str">
        <f aca="false">IF(Q$6=Eventos!$C$30,"P",IF(Q$6=Eventos!$C$31,"C",IF(Q$6=Eventos!$C$32,"R","")))</f>
        <v/>
      </c>
      <c r="R153" s="41" t="str">
        <f aca="false">IF(R$6=Eventos!$C$30,"P",IF(R$6=Eventos!$C$31,"C",IF(R$6=Eventos!$C$32,"R","")))</f>
        <v/>
      </c>
      <c r="S153" s="41" t="str">
        <f aca="false">IF(S$6=Eventos!$C$30,"P",IF(S$6=Eventos!$C$31,"C",IF(S$6=Eventos!$C$32,"R","")))</f>
        <v/>
      </c>
      <c r="T153" s="41" t="str">
        <f aca="false">IF(T$6=Eventos!$C$30,"P",IF(T$6=Eventos!$C$31,"C",IF(T$6=Eventos!$C$32,"R","")))</f>
        <v/>
      </c>
      <c r="U153" s="41" t="str">
        <f aca="false">IF(U$6=Eventos!$C$30,"P",IF(U$6=Eventos!$C$31,"C",IF(U$6=Eventos!$C$32,"R","")))</f>
        <v/>
      </c>
      <c r="V153" s="41" t="str">
        <f aca="false">IF(V$6=Eventos!$C$30,"P",IF(V$6=Eventos!$C$31,"C",IF(V$6=Eventos!$C$32,"R","")))</f>
        <v/>
      </c>
      <c r="W153" s="41" t="str">
        <f aca="false">IF(W$6=Eventos!$C$30,"P",IF(W$6=Eventos!$C$31,"C",IF(W$6=Eventos!$C$32,"R","")))</f>
        <v/>
      </c>
      <c r="X153" s="41" t="str">
        <f aca="false">IF(X$6=Eventos!$C$30,"P",IF(X$6=Eventos!$C$31,"C",IF(X$6=Eventos!$C$32,"R","")))</f>
        <v/>
      </c>
      <c r="Y153" s="41" t="str">
        <f aca="false">IF(Y$6=Eventos!$C$30,"P",IF(Y$6=Eventos!$C$31,"C",IF(Y$6=Eventos!$C$32,"R","")))</f>
        <v/>
      </c>
      <c r="Z153" s="41" t="str">
        <f aca="false">IF(Z$6=Eventos!$C$30,"P",IF(Z$6=Eventos!$C$31,"C",IF(Z$6=Eventos!$C$32,"R","")))</f>
        <v/>
      </c>
      <c r="AA153" s="41" t="str">
        <f aca="false">IF(AA$6=Eventos!$C$30,"P",IF(AA$6=Eventos!$C$31,"C",IF(AA$6=Eventos!$C$32,"R","")))</f>
        <v/>
      </c>
      <c r="AB153" s="41" t="str">
        <f aca="false">IF(AB$6=Eventos!$C$30,"P",IF(AB$6=Eventos!$C$31,"C",IF(AB$6=Eventos!$C$32,"R","")))</f>
        <v/>
      </c>
      <c r="AC153" s="41" t="str">
        <f aca="false">IF(AC$6=Eventos!$C$30,"P",IF(AC$6=Eventos!$C$31,"C",IF(AC$6=Eventos!$C$32,"R","")))</f>
        <v/>
      </c>
      <c r="AD153" s="41" t="str">
        <f aca="false">IF(AD$6=Eventos!$C$30,"P",IF(AD$6=Eventos!$C$31,"C",IF(AD$6=Eventos!$C$32,"R","")))</f>
        <v/>
      </c>
      <c r="AE153" s="41" t="str">
        <f aca="false">IF(AE$6=Eventos!$C$30,"P",IF(AE$6=Eventos!$C$31,"C",IF(AE$6=Eventos!$C$32,"R","")))</f>
        <v/>
      </c>
      <c r="AF153" s="41" t="str">
        <f aca="false">IF(AF$6=Eventos!$C$30,"P",IF(AF$6=Eventos!$C$31,"C",IF(AF$6=Eventos!$C$32,"R","")))</f>
        <v/>
      </c>
      <c r="AG153" s="41" t="str">
        <f aca="false">IF(AG$6=Eventos!$C$30,"P",IF(AG$6=Eventos!$C$31,"C",IF(AG$6=Eventos!$C$32,"R","")))</f>
        <v/>
      </c>
      <c r="AH153" s="41" t="str">
        <f aca="false">IF(AH$6=Eventos!$C$30,"P",IF(AH$6=Eventos!$C$31,"C",IF(AH$6=Eventos!$C$32,"R","")))</f>
        <v/>
      </c>
      <c r="AI153" s="41" t="str">
        <f aca="false">IF(AI$6=Eventos!$C$30,"P",IF(AI$6=Eventos!$C$31,"C",IF(AI$6=Eventos!$C$32,"R","")))</f>
        <v/>
      </c>
      <c r="AJ153" s="41" t="str">
        <f aca="false">IF(AJ$6=Eventos!$C$30,"P",IF(AJ$6=Eventos!$C$31,"C",IF(AJ$6=Eventos!$C$32,"R","")))</f>
        <v/>
      </c>
      <c r="AK153" s="41" t="str">
        <f aca="false">IF(AK$6=Eventos!$C$30,"P",IF(AK$6=Eventos!$C$31,"C",IF(AK$6=Eventos!$C$32,"R","")))</f>
        <v/>
      </c>
      <c r="AL153" s="41" t="str">
        <f aca="false">IF(AL$6=Eventos!$C$30,"P",IF(AL$6=Eventos!$C$31,"C",IF(AL$6=Eventos!$C$32,"R","")))</f>
        <v/>
      </c>
      <c r="AM153" s="41" t="str">
        <f aca="false">IF(AM$6=Eventos!$C$30,"P",IF(AM$6=Eventos!$C$31,"C",IF(AM$6=Eventos!$C$32,"R","")))</f>
        <v/>
      </c>
      <c r="AN153" s="41" t="str">
        <f aca="false">IF(AN$6=Eventos!$C$30,"P",IF(AN$6=Eventos!$C$31,"C",IF(AN$6=Eventos!$C$32,"R","")))</f>
        <v/>
      </c>
      <c r="AO153" s="41" t="str">
        <f aca="false">IF(AO$6=Eventos!$C$30,"P",IF(AO$6=Eventos!$C$31,"C",IF(AO$6=Eventos!$C$32,"R","")))</f>
        <v/>
      </c>
      <c r="AP153" s="41" t="str">
        <f aca="false">IF(AP$6=Eventos!$C$30,"P",IF(AP$6=Eventos!$C$31,"C",IF(AP$6=Eventos!$C$32,"R","")))</f>
        <v/>
      </c>
      <c r="AQ153" s="41" t="str">
        <f aca="false">IF(AQ$6=Eventos!$C$30,"P",IF(AQ$6=Eventos!$C$31,"C",IF(AQ$6=Eventos!$C$32,"R","")))</f>
        <v/>
      </c>
      <c r="AR153" s="41" t="str">
        <f aca="false">IF(AR$6=Eventos!$C$30,"P",IF(AR$6=Eventos!$C$31,"C",IF(AR$6=Eventos!$C$32,"R","")))</f>
        <v/>
      </c>
      <c r="AS153" s="41" t="str">
        <f aca="false">IF(AS$6=Eventos!$C$30,"P",IF(AS$6=Eventos!$C$31,"C",IF(AS$6=Eventos!$C$32,"R","")))</f>
        <v/>
      </c>
      <c r="AT153" s="41" t="str">
        <f aca="false">IF(AT$6=Eventos!$C$30,"P",IF(AT$6=Eventos!$C$31,"C",IF(AT$6=Eventos!$C$32,"R","")))</f>
        <v/>
      </c>
      <c r="AU153" s="41" t="str">
        <f aca="false">IF(AU$6=Eventos!$C$30,"P",IF(AU$6=Eventos!$C$31,"C",IF(AU$6=Eventos!$C$32,"R","")))</f>
        <v/>
      </c>
      <c r="AV153" s="41" t="str">
        <f aca="false">IF(AV$6=Eventos!$C$30,"P",IF(AV$6=Eventos!$C$31,"C",IF(AV$6=Eventos!$C$32,"R","")))</f>
        <v/>
      </c>
      <c r="AW153" s="41" t="str">
        <f aca="false">IF(AW$6=Eventos!$C$30,"P",IF(AW$6=Eventos!$C$31,"C",IF(AW$6=Eventos!$C$32,"R","")))</f>
        <v/>
      </c>
      <c r="AX153" s="41" t="str">
        <f aca="false">IF(AX$6=Eventos!$C$30,"P",IF(AX$6=Eventos!$C$31,"C",IF(AX$6=Eventos!$C$32,"R","")))</f>
        <v/>
      </c>
      <c r="AY153" s="41" t="str">
        <f aca="false">IF(AY$6=Eventos!$C$30,"P",IF(AY$6=Eventos!$C$31,"C",IF(AY$6=Eventos!$C$32,"R","")))</f>
        <v/>
      </c>
      <c r="AZ153" s="41" t="str">
        <f aca="false">IF(AZ$6=Eventos!$C$30,"P",IF(AZ$6=Eventos!$C$31,"C",IF(AZ$6=Eventos!$C$32,"R","")))</f>
        <v/>
      </c>
      <c r="BA153" s="41" t="str">
        <f aca="false">IF(BA$6=Eventos!$C$30,"P",IF(BA$6=Eventos!$C$31,"C",IF(BA$6=Eventos!$C$32,"R","")))</f>
        <v/>
      </c>
      <c r="BB153" s="41" t="str">
        <f aca="false">IF(BB$6=Eventos!$C$30,"P",IF(BB$6=Eventos!$C$31,"C",IF(BB$6=Eventos!$C$32,"R","")))</f>
        <v/>
      </c>
      <c r="BC153" s="41" t="str">
        <f aca="false">IF(BC$6=Eventos!$C$30,"P",IF(BC$6=Eventos!$C$31,"C",IF(BC$6=Eventos!$C$32,"R","")))</f>
        <v/>
      </c>
      <c r="BD153" s="41" t="str">
        <f aca="false">IF(BD$6=Eventos!$C$30,"P",IF(BD$6=Eventos!$C$31,"C",IF(BD$6=Eventos!$C$32,"R","")))</f>
        <v/>
      </c>
      <c r="BE153" s="41" t="str">
        <f aca="false">IF(BE$6=Eventos!$C$30,"P",IF(BE$6=Eventos!$C$31,"C",IF(BE$6=Eventos!$C$32,"R","")))</f>
        <v/>
      </c>
      <c r="BF153" s="41" t="str">
        <f aca="false">IF(BF$6=Eventos!$C$30,"P",IF(BF$6=Eventos!$C$31,"C",IF(BF$6=Eventos!$C$32,"R","")))</f>
        <v/>
      </c>
      <c r="BG153" s="41" t="str">
        <f aca="false">IF(BG$6=Eventos!$C$30,"P",IF(BG$6=Eventos!$C$31,"C",IF(BG$6=Eventos!$C$32,"R","")))</f>
        <v/>
      </c>
      <c r="BH153" s="41" t="str">
        <f aca="false">IF(BH$6=Eventos!$C$30,"P",IF(BH$6=Eventos!$C$31,"C",IF(BH$6=Eventos!$C$32,"R","")))</f>
        <v>P</v>
      </c>
      <c r="BI153" s="41" t="str">
        <f aca="false">IF(BI$6=Eventos!$C$30,"P",IF(BI$6=Eventos!$C$31,"C",IF(BI$6=Eventos!$C$32,"R","")))</f>
        <v/>
      </c>
      <c r="BJ153" s="41" t="str">
        <f aca="false">IF(BJ$6=Eventos!$C$30,"P",IF(BJ$6=Eventos!$C$31,"C",IF(BJ$6=Eventos!$C$32,"R","")))</f>
        <v/>
      </c>
      <c r="BK153" s="41" t="str">
        <f aca="false">IF(BK$6=Eventos!$C$30,"P",IF(BK$6=Eventos!$C$31,"C",IF(BK$6=Eventos!$C$32,"R","")))</f>
        <v>C</v>
      </c>
      <c r="BL153" s="41" t="str">
        <f aca="false">IF(BL$6=Eventos!$C$30,"P",IF(BL$6=Eventos!$C$31,"C",IF(BL$6=Eventos!$C$32,"R","")))</f>
        <v>R</v>
      </c>
      <c r="BM153" s="41" t="str">
        <f aca="false">IF(BM$6=Eventos!$C$30,"P",IF(BM$6=Eventos!$C$31,"C",IF(BM$6=Eventos!$C$32,"R","")))</f>
        <v/>
      </c>
      <c r="BN153" s="41" t="str">
        <f aca="false">IF(BN$6=Eventos!$C$30,"P",IF(BN$6=Eventos!$C$31,"C",IF(BN$6=Eventos!$C$32,"R","")))</f>
        <v/>
      </c>
      <c r="BO153" s="41" t="str">
        <f aca="false">IF(BO$6=Eventos!$C$30,"P",IF(BO$6=Eventos!$C$31,"C",IF(BO$6=Eventos!$C$32,"R","")))</f>
        <v/>
      </c>
      <c r="BP153" s="41" t="str">
        <f aca="false">IF(BP$6=Eventos!$C$30,"P",IF(BP$6=Eventos!$C$31,"C",IF(BP$6=Eventos!$C$32,"R","")))</f>
        <v/>
      </c>
      <c r="BQ153" s="41" t="str">
        <f aca="false">IF(BQ$6=Eventos!$C$30,"P",IF(BQ$6=Eventos!$C$31,"C",IF(BQ$6=Eventos!$C$32,"R","")))</f>
        <v/>
      </c>
      <c r="BR153" s="41" t="str">
        <f aca="false">IF(BR$6=Eventos!$C$30,"P",IF(BR$6=Eventos!$C$31,"C",IF(BR$6=Eventos!$C$32,"R","")))</f>
        <v/>
      </c>
      <c r="BS153" s="41" t="str">
        <f aca="false">IF(BS$6=Eventos!$C$30,"P",IF(BS$6=Eventos!$C$31,"C",IF(BS$6=Eventos!$C$32,"R","")))</f>
        <v/>
      </c>
      <c r="BT153" s="41" t="str">
        <f aca="false">IF(BT$6=Eventos!$C$30,"P",IF(BT$6=Eventos!$C$31,"C",IF(BT$6=Eventos!$C$32,"R","")))</f>
        <v/>
      </c>
      <c r="BU153" s="41" t="str">
        <f aca="false">IF(BU$6=Eventos!$C$30,"P",IF(BU$6=Eventos!$C$31,"C",IF(BU$6=Eventos!$C$32,"R","")))</f>
        <v/>
      </c>
      <c r="BV153" s="41" t="str">
        <f aca="false">IF(BV$6=Eventos!$C$30,"P",IF(BV$6=Eventos!$C$31,"C",IF(BV$6=Eventos!$C$32,"R","")))</f>
        <v/>
      </c>
      <c r="BW153" s="41" t="str">
        <f aca="false">IF(BW$6=Eventos!$C$30,"P",IF(BW$6=Eventos!$C$31,"C",IF(BW$6=Eventos!$C$32,"R","")))</f>
        <v/>
      </c>
      <c r="BX153" s="41" t="str">
        <f aca="false">IF(BX$6=Eventos!$C$30,"P",IF(BX$6=Eventos!$C$31,"C",IF(BX$6=Eventos!$C$32,"R","")))</f>
        <v/>
      </c>
      <c r="BY153" s="41" t="str">
        <f aca="false">IF(BY$6=Eventos!$C$30,"P",IF(BY$6=Eventos!$C$31,"C",IF(BY$6=Eventos!$C$32,"R","")))</f>
        <v/>
      </c>
      <c r="BZ153" s="41" t="str">
        <f aca="false">IF(BZ$6=Eventos!$C$30,"P",IF(BZ$6=Eventos!$C$31,"C",IF(BZ$6=Eventos!$C$32,"R","")))</f>
        <v/>
      </c>
      <c r="CA153" s="41" t="str">
        <f aca="false">IF(CA$6=Eventos!$C$30,"P",IF(CA$6=Eventos!$C$31,"C",IF(CA$6=Eventos!$C$32,"R","")))</f>
        <v/>
      </c>
      <c r="CB153" s="41" t="str">
        <f aca="false">IF(CB$6=Eventos!$C$30,"P",IF(CB$6=Eventos!$C$31,"C",IF(CB$6=Eventos!$C$32,"R","")))</f>
        <v/>
      </c>
      <c r="CC153" s="41" t="str">
        <f aca="false">IF(CC$6=Eventos!$C$30,"P",IF(CC$6=Eventos!$C$31,"C",IF(CC$6=Eventos!$C$32,"R","")))</f>
        <v/>
      </c>
      <c r="CD153" s="41" t="str">
        <f aca="false">IF(CD$6=Eventos!$C$30,"P",IF(CD$6=Eventos!$C$31,"C",IF(CD$6=Eventos!$C$32,"R","")))</f>
        <v/>
      </c>
      <c r="CE153" s="41" t="str">
        <f aca="false">IF(CE$6=Eventos!$C$30,"P",IF(CE$6=Eventos!$C$31,"C",IF(CE$6=Eventos!$C$32,"R","")))</f>
        <v/>
      </c>
      <c r="CF153" s="41" t="str">
        <f aca="false">IF(CF$6=Eventos!$C$30,"P",IF(CF$6=Eventos!$C$31,"C",IF(CF$6=Eventos!$C$32,"R","")))</f>
        <v/>
      </c>
    </row>
    <row r="154" customFormat="false" ht="15" hidden="false" customHeight="false" outlineLevel="1" collapsed="false">
      <c r="A154" s="10" t="s">
        <v>54</v>
      </c>
      <c r="B154" s="42" t="s">
        <v>362</v>
      </c>
      <c r="C154" s="10" t="s">
        <v>64</v>
      </c>
      <c r="D154" s="10" t="s">
        <v>232</v>
      </c>
      <c r="E154" s="43" t="n">
        <f aca="false">Historias!J24</f>
        <v>46335</v>
      </c>
      <c r="F154" s="43" t="n">
        <f aca="false">Historias!K24</f>
        <v>46339</v>
      </c>
      <c r="G154" s="10" t="n">
        <f aca="false">NETWORKDAYS(E154,F154,Feriados)</f>
        <v>5</v>
      </c>
      <c r="H154" s="12" t="n">
        <f aca="false">Historias!N24</f>
        <v>0</v>
      </c>
      <c r="I154" s="10" t="str">
        <f aca="false">Historias!P24</f>
        <v>Por hacer</v>
      </c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</row>
    <row r="155" customFormat="false" ht="15" hidden="true" customHeight="false" outlineLevel="2" collapsed="false">
      <c r="A155" s="44" t="s">
        <v>363</v>
      </c>
      <c r="B155" s="45" t="s">
        <v>364</v>
      </c>
      <c r="C155" s="44" t="s">
        <v>65</v>
      </c>
      <c r="D155" s="44" t="s">
        <v>97</v>
      </c>
      <c r="E155" s="46" t="n">
        <f aca="false">Tareas!H115</f>
        <v>46335</v>
      </c>
      <c r="F155" s="46" t="n">
        <f aca="false">Tareas!I115</f>
        <v>46339</v>
      </c>
      <c r="G155" s="44" t="n">
        <f aca="false">NETWORKDAYS(E155,F155,Feriados)</f>
        <v>5</v>
      </c>
      <c r="H155" s="47" t="n">
        <f aca="false">Tareas!K115</f>
        <v>0</v>
      </c>
      <c r="I155" s="44" t="str">
        <f aca="false">Tareas!J115</f>
        <v>Por hacer</v>
      </c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</row>
    <row r="156" customFormat="false" ht="15" hidden="true" customHeight="false" outlineLevel="2" collapsed="false">
      <c r="A156" s="44" t="s">
        <v>365</v>
      </c>
      <c r="B156" s="45" t="s">
        <v>366</v>
      </c>
      <c r="C156" s="44" t="s">
        <v>65</v>
      </c>
      <c r="D156" s="44" t="s">
        <v>97</v>
      </c>
      <c r="E156" s="46" t="n">
        <f aca="false">Tareas!H116</f>
        <v>46335</v>
      </c>
      <c r="F156" s="46" t="n">
        <f aca="false">Tareas!I116</f>
        <v>46339</v>
      </c>
      <c r="G156" s="44" t="n">
        <f aca="false">NETWORKDAYS(E156,F156,Feriados)</f>
        <v>5</v>
      </c>
      <c r="H156" s="47" t="n">
        <f aca="false">Tareas!K116</f>
        <v>0</v>
      </c>
      <c r="I156" s="44" t="str">
        <f aca="false">Tareas!J116</f>
        <v>Por hacer</v>
      </c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</row>
    <row r="157" customFormat="false" ht="15" hidden="true" customHeight="false" outlineLevel="2" collapsed="false">
      <c r="A157" s="44" t="s">
        <v>367</v>
      </c>
      <c r="B157" s="45" t="s">
        <v>368</v>
      </c>
      <c r="C157" s="44" t="s">
        <v>65</v>
      </c>
      <c r="D157" s="44" t="s">
        <v>102</v>
      </c>
      <c r="E157" s="46" t="n">
        <f aca="false">Tareas!H117</f>
        <v>46335</v>
      </c>
      <c r="F157" s="46" t="n">
        <f aca="false">Tareas!I117</f>
        <v>46339</v>
      </c>
      <c r="G157" s="44" t="n">
        <f aca="false">NETWORKDAYS(E157,F157,Feriados)</f>
        <v>5</v>
      </c>
      <c r="H157" s="47" t="n">
        <f aca="false">Tareas!K117</f>
        <v>0</v>
      </c>
      <c r="I157" s="44" t="str">
        <f aca="false">Tareas!J117</f>
        <v>Por hacer</v>
      </c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</row>
    <row r="158" customFormat="false" ht="15" hidden="true" customHeight="false" outlineLevel="2" collapsed="false">
      <c r="A158" s="44" t="s">
        <v>369</v>
      </c>
      <c r="B158" s="45" t="s">
        <v>370</v>
      </c>
      <c r="C158" s="44" t="s">
        <v>65</v>
      </c>
      <c r="D158" s="44" t="s">
        <v>102</v>
      </c>
      <c r="E158" s="46" t="n">
        <f aca="false">Tareas!H118</f>
        <v>46335</v>
      </c>
      <c r="F158" s="46" t="n">
        <f aca="false">Tareas!I118</f>
        <v>46339</v>
      </c>
      <c r="G158" s="44" t="n">
        <f aca="false">NETWORKDAYS(E158,F158,Feriados)</f>
        <v>5</v>
      </c>
      <c r="H158" s="47" t="n">
        <f aca="false">Tareas!K118</f>
        <v>0</v>
      </c>
      <c r="I158" s="44" t="str">
        <f aca="false">Tareas!J118</f>
        <v>Por hacer</v>
      </c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</row>
    <row r="159" customFormat="false" ht="15" hidden="true" customHeight="false" outlineLevel="2" collapsed="false">
      <c r="A159" s="44" t="s">
        <v>371</v>
      </c>
      <c r="B159" s="45" t="s">
        <v>372</v>
      </c>
      <c r="C159" s="44" t="s">
        <v>65</v>
      </c>
      <c r="D159" s="44" t="s">
        <v>92</v>
      </c>
      <c r="E159" s="46" t="n">
        <f aca="false">Tareas!H119</f>
        <v>46335</v>
      </c>
      <c r="F159" s="46" t="n">
        <f aca="false">Tareas!I119</f>
        <v>46339</v>
      </c>
      <c r="G159" s="44" t="n">
        <f aca="false">NETWORKDAYS(E159,F159,Feriados)</f>
        <v>5</v>
      </c>
      <c r="H159" s="47" t="n">
        <f aca="false">Tareas!K119</f>
        <v>0</v>
      </c>
      <c r="I159" s="44" t="str">
        <f aca="false">Tareas!J119</f>
        <v>Por hacer</v>
      </c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</row>
    <row r="160" customFormat="false" ht="15" hidden="false" customHeight="false" outlineLevel="1" collapsed="false">
      <c r="A160" s="10"/>
      <c r="B160" s="42" t="s">
        <v>137</v>
      </c>
      <c r="C160" s="10" t="s">
        <v>64</v>
      </c>
      <c r="D160" s="10" t="s">
        <v>86</v>
      </c>
      <c r="E160" s="43" t="n">
        <f aca="false">_xlfn.MINIFS(Tareas!$H:$H,Tareas!$B:$B,"Sprint 6",Tareas!$C:$C,"Transversal")</f>
        <v>46335</v>
      </c>
      <c r="F160" s="43" t="n">
        <f aca="false">_xlfn.MAXIFS(Tareas!$I:$I,Tareas!$B:$B,"Sprint 6",Tareas!$C:$C,"Transversal")</f>
        <v>46339</v>
      </c>
      <c r="G160" s="10" t="n">
        <f aca="false">NETWORKDAYS(E160,F160,Feriados)</f>
        <v>5</v>
      </c>
      <c r="H160" s="12" t="n">
        <f aca="false">IFERROR(SUMIFS(Tareas!$L:$L,Tareas!$B:$B,"Sprint 6",Tareas!$C:$C,"Transversal")/SUMIFS(Tareas!$F:$F,Tareas!$B:$B,"Sprint 6",Tareas!$C:$C,"Transversal"),0)</f>
        <v>0</v>
      </c>
      <c r="I160" s="1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</row>
    <row r="161" customFormat="false" ht="15" hidden="true" customHeight="false" outlineLevel="2" collapsed="false">
      <c r="A161" s="44" t="s">
        <v>373</v>
      </c>
      <c r="B161" s="45" t="s">
        <v>374</v>
      </c>
      <c r="C161" s="44" t="s">
        <v>65</v>
      </c>
      <c r="D161" s="44" t="s">
        <v>92</v>
      </c>
      <c r="E161" s="46" t="n">
        <f aca="false">Tareas!H120</f>
        <v>46335</v>
      </c>
      <c r="F161" s="46" t="n">
        <f aca="false">Tareas!I120</f>
        <v>46339</v>
      </c>
      <c r="G161" s="44" t="n">
        <f aca="false">NETWORKDAYS(E161,F161,Feriados)</f>
        <v>5</v>
      </c>
      <c r="H161" s="47" t="n">
        <f aca="false">Tareas!K120</f>
        <v>0</v>
      </c>
      <c r="I161" s="44" t="str">
        <f aca="false">Tareas!J120</f>
        <v>Por hacer</v>
      </c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</row>
    <row r="162" customFormat="false" ht="15" hidden="true" customHeight="false" outlineLevel="2" collapsed="false">
      <c r="A162" s="44" t="s">
        <v>375</v>
      </c>
      <c r="B162" s="45" t="s">
        <v>376</v>
      </c>
      <c r="C162" s="44" t="s">
        <v>65</v>
      </c>
      <c r="D162" s="44" t="s">
        <v>92</v>
      </c>
      <c r="E162" s="46" t="n">
        <f aca="false">Tareas!H121</f>
        <v>46335</v>
      </c>
      <c r="F162" s="46" t="n">
        <f aca="false">Tareas!I121</f>
        <v>46339</v>
      </c>
      <c r="G162" s="44" t="n">
        <f aca="false">NETWORKDAYS(E162,F162,Feriados)</f>
        <v>5</v>
      </c>
      <c r="H162" s="47" t="n">
        <f aca="false">Tareas!K121</f>
        <v>0</v>
      </c>
      <c r="I162" s="44" t="str">
        <f aca="false">Tareas!J121</f>
        <v>Por hacer</v>
      </c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</row>
    <row r="163" customFormat="false" ht="15" hidden="true" customHeight="false" outlineLevel="2" collapsed="false">
      <c r="A163" s="44" t="s">
        <v>377</v>
      </c>
      <c r="B163" s="45" t="s">
        <v>378</v>
      </c>
      <c r="C163" s="44" t="s">
        <v>65</v>
      </c>
      <c r="D163" s="44" t="s">
        <v>97</v>
      </c>
      <c r="E163" s="46" t="n">
        <f aca="false">Tareas!H122</f>
        <v>46335</v>
      </c>
      <c r="F163" s="46" t="n">
        <f aca="false">Tareas!I122</f>
        <v>46339</v>
      </c>
      <c r="G163" s="44" t="n">
        <f aca="false">NETWORKDAYS(E163,F163,Feriados)</f>
        <v>5</v>
      </c>
      <c r="H163" s="47" t="n">
        <f aca="false">Tareas!K122</f>
        <v>0</v>
      </c>
      <c r="I163" s="44" t="str">
        <f aca="false">Tareas!J122</f>
        <v>Por hacer</v>
      </c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</row>
    <row r="164" customFormat="false" ht="15" hidden="true" customHeight="false" outlineLevel="2" collapsed="false">
      <c r="A164" s="44" t="s">
        <v>379</v>
      </c>
      <c r="B164" s="45" t="s">
        <v>380</v>
      </c>
      <c r="C164" s="44" t="s">
        <v>65</v>
      </c>
      <c r="D164" s="44" t="s">
        <v>102</v>
      </c>
      <c r="E164" s="46" t="n">
        <f aca="false">Tareas!H123</f>
        <v>46335</v>
      </c>
      <c r="F164" s="46" t="n">
        <f aca="false">Tareas!I123</f>
        <v>46339</v>
      </c>
      <c r="G164" s="44" t="n">
        <f aca="false">NETWORKDAYS(E164,F164,Feriados)</f>
        <v>5</v>
      </c>
      <c r="H164" s="47" t="n">
        <f aca="false">Tareas!K123</f>
        <v>0</v>
      </c>
      <c r="I164" s="44" t="str">
        <f aca="false">Tareas!J123</f>
        <v>Por hacer</v>
      </c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</row>
    <row r="165" customFormat="false" ht="15" hidden="true" customHeight="false" outlineLevel="2" collapsed="false">
      <c r="A165" s="44" t="s">
        <v>381</v>
      </c>
      <c r="B165" s="45" t="s">
        <v>145</v>
      </c>
      <c r="C165" s="44" t="s">
        <v>65</v>
      </c>
      <c r="D165" s="44" t="s">
        <v>92</v>
      </c>
      <c r="E165" s="46" t="n">
        <f aca="false">Tareas!H124</f>
        <v>46335</v>
      </c>
      <c r="F165" s="46" t="n">
        <f aca="false">Tareas!I124</f>
        <v>46339</v>
      </c>
      <c r="G165" s="44" t="n">
        <f aca="false">NETWORKDAYS(E165,F165,Feriados)</f>
        <v>5</v>
      </c>
      <c r="H165" s="47" t="n">
        <f aca="false">Tareas!K124</f>
        <v>0</v>
      </c>
      <c r="I165" s="44" t="str">
        <f aca="false">Tareas!J124</f>
        <v>Por hacer</v>
      </c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</row>
    <row r="166" customFormat="false" ht="15" hidden="false" customHeight="false" outlineLevel="0" collapsed="false">
      <c r="A166" s="8" t="s">
        <v>382</v>
      </c>
      <c r="B166" s="34" t="s">
        <v>74</v>
      </c>
      <c r="C166" s="8" t="s">
        <v>383</v>
      </c>
      <c r="D166" s="8" t="s">
        <v>86</v>
      </c>
      <c r="E166" s="35" t="n">
        <v>46342</v>
      </c>
      <c r="F166" s="35" t="n">
        <v>46363</v>
      </c>
      <c r="G166" s="8" t="n">
        <f aca="false">NETWORKDAYS(E166,F166,Feriados)</f>
        <v>16</v>
      </c>
      <c r="H166" s="15"/>
      <c r="I166" s="8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</row>
    <row r="167" customFormat="false" ht="15" hidden="false" customHeight="false" outlineLevel="1" collapsed="false">
      <c r="A167" s="10"/>
      <c r="B167" s="42" t="s">
        <v>384</v>
      </c>
      <c r="C167" s="10" t="s">
        <v>76</v>
      </c>
      <c r="D167" s="10" t="s">
        <v>86</v>
      </c>
      <c r="E167" s="43" t="n">
        <v>46342</v>
      </c>
      <c r="F167" s="43" t="n">
        <v>46346</v>
      </c>
      <c r="G167" s="10" t="n">
        <f aca="false">NETWORKDAYS(E167,F167,Feriados)</f>
        <v>5</v>
      </c>
      <c r="H167" s="12"/>
      <c r="I167" s="1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</row>
    <row r="168" customFormat="false" ht="15" hidden="false" customHeight="false" outlineLevel="1" collapsed="false">
      <c r="A168" s="10"/>
      <c r="B168" s="42" t="s">
        <v>385</v>
      </c>
      <c r="C168" s="10" t="s">
        <v>76</v>
      </c>
      <c r="D168" s="10" t="s">
        <v>86</v>
      </c>
      <c r="E168" s="43" t="n">
        <v>46342</v>
      </c>
      <c r="F168" s="43" t="n">
        <v>46360</v>
      </c>
      <c r="G168" s="10" t="n">
        <f aca="false">NETWORKDAYS(E168,F168,Feriados)</f>
        <v>15</v>
      </c>
      <c r="H168" s="12"/>
      <c r="I168" s="1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</row>
    <row r="169" customFormat="false" ht="15" hidden="false" customHeight="false" outlineLevel="1" collapsed="false">
      <c r="A169" s="10"/>
      <c r="B169" s="42" t="s">
        <v>386</v>
      </c>
      <c r="C169" s="10" t="s">
        <v>68</v>
      </c>
      <c r="D169" s="10" t="s">
        <v>86</v>
      </c>
      <c r="E169" s="43" t="n">
        <v>46363</v>
      </c>
      <c r="F169" s="43" t="n">
        <v>46363</v>
      </c>
      <c r="G169" s="10" t="n">
        <f aca="false">NETWORKDAYS(E169,F169,Feriados)</f>
        <v>1</v>
      </c>
      <c r="H169" s="12"/>
      <c r="I169" s="1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</row>
  </sheetData>
  <mergeCells count="11">
    <mergeCell ref="K4:AF4"/>
    <mergeCell ref="AG4:BB4"/>
    <mergeCell ref="BC4:BW4"/>
    <mergeCell ref="BX4:CF4"/>
    <mergeCell ref="J5:S5"/>
    <mergeCell ref="T5:AC5"/>
    <mergeCell ref="AD5:AM5"/>
    <mergeCell ref="AO5:AW5"/>
    <mergeCell ref="AX5:BG5"/>
    <mergeCell ref="BH5:BL5"/>
    <mergeCell ref="BM5:CF5"/>
  </mergeCells>
  <conditionalFormatting sqref="J8:CF169">
    <cfRule type="expression" priority="2" aboveAverage="0" equalAverage="0" bottom="0" percent="0" rank="0" text="" dxfId="0">
      <formula>COUNTIF(Feriados,J$6)&gt;0</formula>
    </cfRule>
    <cfRule type="expression" priority="3" aboveAverage="0" equalAverage="0" bottom="0" percent="0" rank="0" text="" dxfId="1">
      <formula>AND(OR($C8="Sprint",$C8="Historia",$C8="Tarea"),$H8&gt;0,J$6&gt;=$E8,J$6&lt;$E8+($F8-$E8+1)*$H8)</formula>
    </cfRule>
    <cfRule type="expression" priority="4" aboveAverage="0" equalAverage="0" bottom="0" percent="0" rank="0" text="" dxfId="2">
      <formula>AND($C8="Sprint",J$6&gt;=$E8,J$6&lt;=$F8)</formula>
    </cfRule>
    <cfRule type="expression" priority="5" aboveAverage="0" equalAverage="0" bottom="0" percent="0" rank="0" text="" dxfId="3">
      <formula>AND($C8="Historia",J$6&gt;=$E8,J$6&lt;=$F8)</formula>
    </cfRule>
    <cfRule type="expression" priority="6" aboveAverage="0" equalAverage="0" bottom="0" percent="0" rank="0" text="" dxfId="4">
      <formula>AND($C8="Tarea",J$6&gt;=$E8,J$6&lt;=$F8)</formula>
    </cfRule>
    <cfRule type="expression" priority="7" aboveAverage="0" equalAverage="0" bottom="0" percent="0" rank="0" text="" dxfId="5">
      <formula>AND($C8="Cierre",J$6&gt;=$E8,J$6&lt;=$F8)</formula>
    </cfRule>
    <cfRule type="expression" priority="8" aboveAverage="0" equalAverage="0" bottom="0" percent="0" rank="0" text="" dxfId="6">
      <formula>AND($C8="Actividad",J$6&gt;=$E8,J$6&lt;=$F8)</formula>
    </cfRule>
    <cfRule type="expression" priority="9" aboveAverage="0" equalAverage="0" bottom="0" percent="0" rank="0" text="" dxfId="7">
      <formula>AND($C8="Hito",J$6&gt;=$E8,J$6&lt;=$F8)</formula>
    </cfRule>
    <cfRule type="expression" priority="10" aboveAverage="0" equalAverage="0" bottom="0" percent="0" rank="0" text="" dxfId="8">
      <formula>AND($C8="Eventos",J8&lt;&gt;"")</formula>
    </cfRule>
  </conditionalFormatting>
  <conditionalFormatting sqref="J6:CF169">
    <cfRule type="expression" priority="11" aboveAverage="0" equalAverage="0" bottom="0" percent="0" rank="0" text="" dxfId="9">
      <formula>J$6=TODAY()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5" min="5" style="0" width="1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35.05" hidden="false" customHeight="false" outlineLevel="0" collapsed="false">
      <c r="A4" s="7" t="s">
        <v>75</v>
      </c>
      <c r="B4" s="7" t="s">
        <v>7</v>
      </c>
      <c r="C4" s="7" t="s">
        <v>64</v>
      </c>
      <c r="D4" s="7" t="s">
        <v>65</v>
      </c>
      <c r="E4" s="7" t="s">
        <v>78</v>
      </c>
      <c r="F4" s="7" t="s">
        <v>389</v>
      </c>
      <c r="G4" s="7" t="s">
        <v>390</v>
      </c>
      <c r="H4" s="7" t="s">
        <v>8</v>
      </c>
      <c r="I4" s="7" t="s">
        <v>9</v>
      </c>
      <c r="J4" s="7" t="s">
        <v>22</v>
      </c>
      <c r="K4" s="7" t="s">
        <v>17</v>
      </c>
      <c r="L4" s="7" t="s">
        <v>391</v>
      </c>
      <c r="M4" s="7" t="s">
        <v>392</v>
      </c>
    </row>
    <row r="5" customFormat="false" ht="23.85" hidden="false" customHeight="false" outlineLevel="0" collapsed="false">
      <c r="A5" s="10" t="s">
        <v>90</v>
      </c>
      <c r="B5" s="10" t="s">
        <v>23</v>
      </c>
      <c r="C5" s="10" t="s">
        <v>87</v>
      </c>
      <c r="D5" s="11" t="s">
        <v>91</v>
      </c>
      <c r="E5" s="10" t="s">
        <v>27</v>
      </c>
      <c r="F5" s="10" t="n">
        <v>3</v>
      </c>
      <c r="G5" s="10" t="n">
        <v>1</v>
      </c>
      <c r="H5" s="48" t="n">
        <f aca="false">IF($G5=1,INDEX(SprintInicio,MATCH($B5,SprintNombres,0)),INDEX(SprintInicio,MATCH($B5,SprintNombres,0))+8-WEEKDAY(INDEX(SprintInicio,MATCH($B5,SprintNombres,0)),2))</f>
        <v>46265</v>
      </c>
      <c r="I5" s="48" t="n">
        <f aca="false">IF($G5=1,MIN(INDEX(SprintInicio,MATCH($B5,SprintNombres,0))+5-WEEKDAY(INDEX(SprintInicio,MATCH($B5,SprintNombres,0)),2),INDEX(SprintFin,MATCH($B5,SprintNombres,0))),INDEX(SprintFin,MATCH($B5,SprintNombres,0)))</f>
        <v>46269</v>
      </c>
      <c r="J5" s="49" t="s">
        <v>393</v>
      </c>
      <c r="K5" s="12" t="n">
        <f aca="false">IFERROR(VLOOKUP($J5,EstadosAvance,2,FALSE()),0)</f>
        <v>1</v>
      </c>
      <c r="L5" s="50" t="n">
        <f aca="false">F5*K5</f>
        <v>3</v>
      </c>
      <c r="M5" s="11"/>
    </row>
    <row r="6" customFormat="false" ht="23.85" hidden="false" customHeight="false" outlineLevel="0" collapsed="false">
      <c r="A6" s="10" t="s">
        <v>93</v>
      </c>
      <c r="B6" s="10" t="s">
        <v>23</v>
      </c>
      <c r="C6" s="10" t="s">
        <v>87</v>
      </c>
      <c r="D6" s="11" t="s">
        <v>94</v>
      </c>
      <c r="E6" s="10" t="s">
        <v>27</v>
      </c>
      <c r="F6" s="10" t="n">
        <v>2</v>
      </c>
      <c r="G6" s="10" t="n">
        <v>1</v>
      </c>
      <c r="H6" s="48" t="n">
        <f aca="false">IF($G6=1,INDEX(SprintInicio,MATCH($B6,SprintNombres,0)),INDEX(SprintInicio,MATCH($B6,SprintNombres,0))+8-WEEKDAY(INDEX(SprintInicio,MATCH($B6,SprintNombres,0)),2))</f>
        <v>46265</v>
      </c>
      <c r="I6" s="48" t="n">
        <f aca="false">IF($G6=1,MIN(INDEX(SprintInicio,MATCH($B6,SprintNombres,0))+5-WEEKDAY(INDEX(SprintInicio,MATCH($B6,SprintNombres,0)),2),INDEX(SprintFin,MATCH($B6,SprintNombres,0))),INDEX(SprintFin,MATCH($B6,SprintNombres,0)))</f>
        <v>46269</v>
      </c>
      <c r="J6" s="49" t="s">
        <v>393</v>
      </c>
      <c r="K6" s="12" t="n">
        <f aca="false">IFERROR(VLOOKUP($J6,EstadosAvance,2,FALSE()),0)</f>
        <v>1</v>
      </c>
      <c r="L6" s="50" t="n">
        <f aca="false">F6*K6</f>
        <v>2</v>
      </c>
      <c r="M6" s="11"/>
    </row>
    <row r="7" customFormat="false" ht="15" hidden="false" customHeight="false" outlineLevel="0" collapsed="false">
      <c r="A7" s="10" t="s">
        <v>95</v>
      </c>
      <c r="B7" s="10" t="s">
        <v>23</v>
      </c>
      <c r="C7" s="10" t="s">
        <v>87</v>
      </c>
      <c r="D7" s="11" t="s">
        <v>96</v>
      </c>
      <c r="E7" s="10" t="s">
        <v>29</v>
      </c>
      <c r="F7" s="10" t="n">
        <v>2</v>
      </c>
      <c r="G7" s="10" t="n">
        <v>1</v>
      </c>
      <c r="H7" s="48" t="n">
        <f aca="false">IF($G7=1,INDEX(SprintInicio,MATCH($B7,SprintNombres,0)),INDEX(SprintInicio,MATCH($B7,SprintNombres,0))+8-WEEKDAY(INDEX(SprintInicio,MATCH($B7,SprintNombres,0)),2))</f>
        <v>46265</v>
      </c>
      <c r="I7" s="48" t="n">
        <f aca="false">IF($G7=1,MIN(INDEX(SprintInicio,MATCH($B7,SprintNombres,0))+5-WEEKDAY(INDEX(SprintInicio,MATCH($B7,SprintNombres,0)),2),INDEX(SprintFin,MATCH($B7,SprintNombres,0))),INDEX(SprintFin,MATCH($B7,SprintNombres,0)))</f>
        <v>46269</v>
      </c>
      <c r="J7" s="49" t="s">
        <v>393</v>
      </c>
      <c r="K7" s="12" t="n">
        <f aca="false">IFERROR(VLOOKUP($J7,EstadosAvance,2,FALSE()),0)</f>
        <v>1</v>
      </c>
      <c r="L7" s="50" t="n">
        <f aca="false">F7*K7</f>
        <v>2</v>
      </c>
      <c r="M7" s="11"/>
    </row>
    <row r="8" customFormat="false" ht="15" hidden="false" customHeight="false" outlineLevel="0" collapsed="false">
      <c r="A8" s="10" t="s">
        <v>98</v>
      </c>
      <c r="B8" s="10" t="s">
        <v>23</v>
      </c>
      <c r="C8" s="10" t="s">
        <v>87</v>
      </c>
      <c r="D8" s="11" t="s">
        <v>99</v>
      </c>
      <c r="E8" s="10" t="s">
        <v>29</v>
      </c>
      <c r="F8" s="10" t="n">
        <v>3</v>
      </c>
      <c r="G8" s="10" t="n">
        <v>1</v>
      </c>
      <c r="H8" s="48" t="n">
        <f aca="false">IF($G8=1,INDEX(SprintInicio,MATCH($B8,SprintNombres,0)),INDEX(SprintInicio,MATCH($B8,SprintNombres,0))+8-WEEKDAY(INDEX(SprintInicio,MATCH($B8,SprintNombres,0)),2))</f>
        <v>46265</v>
      </c>
      <c r="I8" s="48" t="n">
        <f aca="false">IF($G8=1,MIN(INDEX(SprintInicio,MATCH($B8,SprintNombres,0))+5-WEEKDAY(INDEX(SprintInicio,MATCH($B8,SprintNombres,0)),2),INDEX(SprintFin,MATCH($B8,SprintNombres,0))),INDEX(SprintFin,MATCH($B8,SprintNombres,0)))</f>
        <v>46269</v>
      </c>
      <c r="J8" s="49" t="s">
        <v>393</v>
      </c>
      <c r="K8" s="12" t="n">
        <f aca="false">IFERROR(VLOOKUP($J8,EstadosAvance,2,FALSE()),0)</f>
        <v>1</v>
      </c>
      <c r="L8" s="50" t="n">
        <f aca="false">F8*K8</f>
        <v>3</v>
      </c>
      <c r="M8" s="11"/>
    </row>
    <row r="9" customFormat="false" ht="15" hidden="false" customHeight="false" outlineLevel="0" collapsed="false">
      <c r="A9" s="10" t="s">
        <v>100</v>
      </c>
      <c r="B9" s="10" t="s">
        <v>23</v>
      </c>
      <c r="C9" s="10" t="s">
        <v>87</v>
      </c>
      <c r="D9" s="11" t="s">
        <v>101</v>
      </c>
      <c r="E9" s="10" t="s">
        <v>28</v>
      </c>
      <c r="F9" s="10" t="n">
        <v>2</v>
      </c>
      <c r="G9" s="10" t="n">
        <v>1</v>
      </c>
      <c r="H9" s="48" t="n">
        <f aca="false">IF($G9=1,INDEX(SprintInicio,MATCH($B9,SprintNombres,0)),INDEX(SprintInicio,MATCH($B9,SprintNombres,0))+8-WEEKDAY(INDEX(SprintInicio,MATCH($B9,SprintNombres,0)),2))</f>
        <v>46265</v>
      </c>
      <c r="I9" s="48" t="n">
        <f aca="false">IF($G9=1,MIN(INDEX(SprintInicio,MATCH($B9,SprintNombres,0))+5-WEEKDAY(INDEX(SprintInicio,MATCH($B9,SprintNombres,0)),2),INDEX(SprintFin,MATCH($B9,SprintNombres,0))),INDEX(SprintFin,MATCH($B9,SprintNombres,0)))</f>
        <v>46269</v>
      </c>
      <c r="J9" s="49" t="s">
        <v>393</v>
      </c>
      <c r="K9" s="12" t="n">
        <f aca="false">IFERROR(VLOOKUP($J9,EstadosAvance,2,FALSE()),0)</f>
        <v>1</v>
      </c>
      <c r="L9" s="50" t="n">
        <f aca="false">F9*K9</f>
        <v>2</v>
      </c>
      <c r="M9" s="11"/>
    </row>
    <row r="10" customFormat="false" ht="15" hidden="false" customHeight="false" outlineLevel="0" collapsed="false">
      <c r="A10" s="10" t="s">
        <v>105</v>
      </c>
      <c r="B10" s="10" t="s">
        <v>23</v>
      </c>
      <c r="C10" s="10" t="s">
        <v>103</v>
      </c>
      <c r="D10" s="11" t="s">
        <v>106</v>
      </c>
      <c r="E10" s="10" t="s">
        <v>29</v>
      </c>
      <c r="F10" s="10" t="n">
        <v>4</v>
      </c>
      <c r="G10" s="10" t="n">
        <v>1</v>
      </c>
      <c r="H10" s="48" t="n">
        <f aca="false">IF($G10=1,INDEX(SprintInicio,MATCH($B10,SprintNombres,0)),INDEX(SprintInicio,MATCH($B10,SprintNombres,0))+8-WEEKDAY(INDEX(SprintInicio,MATCH($B10,SprintNombres,0)),2))</f>
        <v>46265</v>
      </c>
      <c r="I10" s="48" t="n">
        <f aca="false">IF($G10=1,MIN(INDEX(SprintInicio,MATCH($B10,SprintNombres,0))+5-WEEKDAY(INDEX(SprintInicio,MATCH($B10,SprintNombres,0)),2),INDEX(SprintFin,MATCH($B10,SprintNombres,0))),INDEX(SprintFin,MATCH($B10,SprintNombres,0)))</f>
        <v>46269</v>
      </c>
      <c r="J10" s="49" t="s">
        <v>393</v>
      </c>
      <c r="K10" s="12" t="n">
        <f aca="false">IFERROR(VLOOKUP($J10,EstadosAvance,2,FALSE()),0)</f>
        <v>1</v>
      </c>
      <c r="L10" s="50" t="n">
        <f aca="false">F10*K10</f>
        <v>4</v>
      </c>
      <c r="M10" s="11"/>
    </row>
    <row r="11" customFormat="false" ht="15" hidden="false" customHeight="false" outlineLevel="0" collapsed="false">
      <c r="A11" s="10" t="s">
        <v>107</v>
      </c>
      <c r="B11" s="10" t="s">
        <v>23</v>
      </c>
      <c r="C11" s="10" t="s">
        <v>103</v>
      </c>
      <c r="D11" s="11" t="s">
        <v>108</v>
      </c>
      <c r="E11" s="10" t="s">
        <v>27</v>
      </c>
      <c r="F11" s="10" t="n">
        <v>5</v>
      </c>
      <c r="G11" s="10" t="n">
        <v>1</v>
      </c>
      <c r="H11" s="48" t="n">
        <f aca="false">IF($G11=1,INDEX(SprintInicio,MATCH($B11,SprintNombres,0)),INDEX(SprintInicio,MATCH($B11,SprintNombres,0))+8-WEEKDAY(INDEX(SprintInicio,MATCH($B11,SprintNombres,0)),2))</f>
        <v>46265</v>
      </c>
      <c r="I11" s="48" t="n">
        <f aca="false">IF($G11=1,MIN(INDEX(SprintInicio,MATCH($B11,SprintNombres,0))+5-WEEKDAY(INDEX(SprintInicio,MATCH($B11,SprintNombres,0)),2),INDEX(SprintFin,MATCH($B11,SprintNombres,0))),INDEX(SprintFin,MATCH($B11,SprintNombres,0)))</f>
        <v>46269</v>
      </c>
      <c r="J11" s="49" t="s">
        <v>393</v>
      </c>
      <c r="K11" s="12" t="n">
        <f aca="false">IFERROR(VLOOKUP($J11,EstadosAvance,2,FALSE()),0)</f>
        <v>1</v>
      </c>
      <c r="L11" s="50" t="n">
        <f aca="false">F11*K11</f>
        <v>5</v>
      </c>
      <c r="M11" s="11"/>
    </row>
    <row r="12" customFormat="false" ht="15" hidden="false" customHeight="false" outlineLevel="0" collapsed="false">
      <c r="A12" s="10" t="s">
        <v>109</v>
      </c>
      <c r="B12" s="10" t="s">
        <v>23</v>
      </c>
      <c r="C12" s="10" t="s">
        <v>103</v>
      </c>
      <c r="D12" s="11" t="s">
        <v>110</v>
      </c>
      <c r="E12" s="10" t="s">
        <v>27</v>
      </c>
      <c r="F12" s="10" t="n">
        <v>2</v>
      </c>
      <c r="G12" s="10" t="n">
        <v>1</v>
      </c>
      <c r="H12" s="48" t="n">
        <f aca="false">IF($G12=1,INDEX(SprintInicio,MATCH($B12,SprintNombres,0)),INDEX(SprintInicio,MATCH($B12,SprintNombres,0))+8-WEEKDAY(INDEX(SprintInicio,MATCH($B12,SprintNombres,0)),2))</f>
        <v>46265</v>
      </c>
      <c r="I12" s="48" t="n">
        <f aca="false">IF($G12=1,MIN(INDEX(SprintInicio,MATCH($B12,SprintNombres,0))+5-WEEKDAY(INDEX(SprintInicio,MATCH($B12,SprintNombres,0)),2),INDEX(SprintFin,MATCH($B12,SprintNombres,0))),INDEX(SprintFin,MATCH($B12,SprintNombres,0)))</f>
        <v>46269</v>
      </c>
      <c r="J12" s="49" t="s">
        <v>393</v>
      </c>
      <c r="K12" s="12" t="n">
        <f aca="false">IFERROR(VLOOKUP($J12,EstadosAvance,2,FALSE()),0)</f>
        <v>1</v>
      </c>
      <c r="L12" s="50" t="n">
        <f aca="false">F12*K12</f>
        <v>2</v>
      </c>
      <c r="M12" s="11"/>
    </row>
    <row r="13" customFormat="false" ht="23.85" hidden="false" customHeight="false" outlineLevel="0" collapsed="false">
      <c r="A13" s="10" t="s">
        <v>111</v>
      </c>
      <c r="B13" s="10" t="s">
        <v>23</v>
      </c>
      <c r="C13" s="10" t="s">
        <v>103</v>
      </c>
      <c r="D13" s="11" t="s">
        <v>112</v>
      </c>
      <c r="E13" s="10" t="s">
        <v>29</v>
      </c>
      <c r="F13" s="10" t="n">
        <v>2</v>
      </c>
      <c r="G13" s="10" t="n">
        <v>1</v>
      </c>
      <c r="H13" s="48" t="n">
        <f aca="false">IF($G13=1,INDEX(SprintInicio,MATCH($B13,SprintNombres,0)),INDEX(SprintInicio,MATCH($B13,SprintNombres,0))+8-WEEKDAY(INDEX(SprintInicio,MATCH($B13,SprintNombres,0)),2))</f>
        <v>46265</v>
      </c>
      <c r="I13" s="48" t="n">
        <f aca="false">IF($G13=1,MIN(INDEX(SprintInicio,MATCH($B13,SprintNombres,0))+5-WEEKDAY(INDEX(SprintInicio,MATCH($B13,SprintNombres,0)),2),INDEX(SprintFin,MATCH($B13,SprintNombres,0))),INDEX(SprintFin,MATCH($B13,SprintNombres,0)))</f>
        <v>46269</v>
      </c>
      <c r="J13" s="49" t="s">
        <v>393</v>
      </c>
      <c r="K13" s="12" t="n">
        <f aca="false">IFERROR(VLOOKUP($J13,EstadosAvance,2,FALSE()),0)</f>
        <v>1</v>
      </c>
      <c r="L13" s="50" t="n">
        <f aca="false">F13*K13</f>
        <v>2</v>
      </c>
      <c r="M13" s="11"/>
    </row>
    <row r="14" customFormat="false" ht="15" hidden="false" customHeight="false" outlineLevel="0" collapsed="false">
      <c r="A14" s="10" t="s">
        <v>113</v>
      </c>
      <c r="B14" s="10" t="s">
        <v>23</v>
      </c>
      <c r="C14" s="10" t="s">
        <v>103</v>
      </c>
      <c r="D14" s="11" t="s">
        <v>114</v>
      </c>
      <c r="E14" s="10" t="s">
        <v>28</v>
      </c>
      <c r="F14" s="10" t="n">
        <v>3</v>
      </c>
      <c r="G14" s="10" t="n">
        <v>1</v>
      </c>
      <c r="H14" s="48" t="n">
        <f aca="false">IF($G14=1,INDEX(SprintInicio,MATCH($B14,SprintNombres,0)),INDEX(SprintInicio,MATCH($B14,SprintNombres,0))+8-WEEKDAY(INDEX(SprintInicio,MATCH($B14,SprintNombres,0)),2))</f>
        <v>46265</v>
      </c>
      <c r="I14" s="48" t="n">
        <f aca="false">IF($G14=1,MIN(INDEX(SprintInicio,MATCH($B14,SprintNombres,0))+5-WEEKDAY(INDEX(SprintInicio,MATCH($B14,SprintNombres,0)),2),INDEX(SprintFin,MATCH($B14,SprintNombres,0))),INDEX(SprintFin,MATCH($B14,SprintNombres,0)))</f>
        <v>46269</v>
      </c>
      <c r="J14" s="49" t="s">
        <v>393</v>
      </c>
      <c r="K14" s="12" t="n">
        <f aca="false">IFERROR(VLOOKUP($J14,EstadosAvance,2,FALSE()),0)</f>
        <v>1</v>
      </c>
      <c r="L14" s="50" t="n">
        <f aca="false">F14*K14</f>
        <v>3</v>
      </c>
      <c r="M14" s="11"/>
    </row>
    <row r="15" customFormat="false" ht="23.85" hidden="false" customHeight="false" outlineLevel="0" collapsed="false">
      <c r="A15" s="10" t="s">
        <v>117</v>
      </c>
      <c r="B15" s="10" t="s">
        <v>23</v>
      </c>
      <c r="C15" s="10" t="s">
        <v>115</v>
      </c>
      <c r="D15" s="11" t="s">
        <v>118</v>
      </c>
      <c r="E15" s="10" t="s">
        <v>29</v>
      </c>
      <c r="F15" s="10" t="n">
        <v>5</v>
      </c>
      <c r="G15" s="10" t="n">
        <v>2</v>
      </c>
      <c r="H15" s="48" t="n">
        <f aca="false">IF($G15=1,INDEX(SprintInicio,MATCH($B15,SprintNombres,0)),INDEX(SprintInicio,MATCH($B15,SprintNombres,0))+8-WEEKDAY(INDEX(SprintInicio,MATCH($B15,SprintNombres,0)),2))</f>
        <v>46272</v>
      </c>
      <c r="I15" s="48" t="n">
        <f aca="false">IF($G15=1,MIN(INDEX(SprintInicio,MATCH($B15,SprintNombres,0))+5-WEEKDAY(INDEX(SprintInicio,MATCH($B15,SprintNombres,0)),2),INDEX(SprintFin,MATCH($B15,SprintNombres,0))),INDEX(SprintFin,MATCH($B15,SprintNombres,0)))</f>
        <v>46276</v>
      </c>
      <c r="J15" s="49" t="s">
        <v>393</v>
      </c>
      <c r="K15" s="12" t="n">
        <f aca="false">IFERROR(VLOOKUP($J15,EstadosAvance,2,FALSE()),0)</f>
        <v>1</v>
      </c>
      <c r="L15" s="50" t="n">
        <f aca="false">F15*K15</f>
        <v>5</v>
      </c>
      <c r="M15" s="11"/>
    </row>
    <row r="16" customFormat="false" ht="15" hidden="false" customHeight="false" outlineLevel="0" collapsed="false">
      <c r="A16" s="10" t="s">
        <v>119</v>
      </c>
      <c r="B16" s="10" t="s">
        <v>23</v>
      </c>
      <c r="C16" s="10" t="s">
        <v>115</v>
      </c>
      <c r="D16" s="11" t="s">
        <v>120</v>
      </c>
      <c r="E16" s="10" t="s">
        <v>27</v>
      </c>
      <c r="F16" s="10" t="n">
        <v>3</v>
      </c>
      <c r="G16" s="10" t="n">
        <v>2</v>
      </c>
      <c r="H16" s="48" t="n">
        <f aca="false">IF($G16=1,INDEX(SprintInicio,MATCH($B16,SprintNombres,0)),INDEX(SprintInicio,MATCH($B16,SprintNombres,0))+8-WEEKDAY(INDEX(SprintInicio,MATCH($B16,SprintNombres,0)),2))</f>
        <v>46272</v>
      </c>
      <c r="I16" s="48" t="n">
        <f aca="false">IF($G16=1,MIN(INDEX(SprintInicio,MATCH($B16,SprintNombres,0))+5-WEEKDAY(INDEX(SprintInicio,MATCH($B16,SprintNombres,0)),2),INDEX(SprintFin,MATCH($B16,SprintNombres,0))),INDEX(SprintFin,MATCH($B16,SprintNombres,0)))</f>
        <v>46276</v>
      </c>
      <c r="J16" s="49" t="s">
        <v>393</v>
      </c>
      <c r="K16" s="12" t="n">
        <f aca="false">IFERROR(VLOOKUP($J16,EstadosAvance,2,FALSE()),0)</f>
        <v>1</v>
      </c>
      <c r="L16" s="50" t="n">
        <f aca="false">F16*K16</f>
        <v>3</v>
      </c>
      <c r="M16" s="11"/>
    </row>
    <row r="17" customFormat="false" ht="15" hidden="false" customHeight="false" outlineLevel="0" collapsed="false">
      <c r="A17" s="10" t="s">
        <v>121</v>
      </c>
      <c r="B17" s="10" t="s">
        <v>23</v>
      </c>
      <c r="C17" s="10" t="s">
        <v>115</v>
      </c>
      <c r="D17" s="11" t="s">
        <v>122</v>
      </c>
      <c r="E17" s="10" t="s">
        <v>27</v>
      </c>
      <c r="F17" s="10" t="n">
        <v>3</v>
      </c>
      <c r="G17" s="10" t="n">
        <v>2</v>
      </c>
      <c r="H17" s="48" t="n">
        <f aca="false">IF($G17=1,INDEX(SprintInicio,MATCH($B17,SprintNombres,0)),INDEX(SprintInicio,MATCH($B17,SprintNombres,0))+8-WEEKDAY(INDEX(SprintInicio,MATCH($B17,SprintNombres,0)),2))</f>
        <v>46272</v>
      </c>
      <c r="I17" s="48" t="n">
        <f aca="false">IF($G17=1,MIN(INDEX(SprintInicio,MATCH($B17,SprintNombres,0))+5-WEEKDAY(INDEX(SprintInicio,MATCH($B17,SprintNombres,0)),2),INDEX(SprintFin,MATCH($B17,SprintNombres,0))),INDEX(SprintFin,MATCH($B17,SprintNombres,0)))</f>
        <v>46276</v>
      </c>
      <c r="J17" s="49" t="s">
        <v>393</v>
      </c>
      <c r="K17" s="12" t="n">
        <f aca="false">IFERROR(VLOOKUP($J17,EstadosAvance,2,FALSE()),0)</f>
        <v>1</v>
      </c>
      <c r="L17" s="50" t="n">
        <f aca="false">F17*K17</f>
        <v>3</v>
      </c>
      <c r="M17" s="11"/>
    </row>
    <row r="18" customFormat="false" ht="15" hidden="false" customHeight="false" outlineLevel="0" collapsed="false">
      <c r="A18" s="10" t="s">
        <v>123</v>
      </c>
      <c r="B18" s="10" t="s">
        <v>23</v>
      </c>
      <c r="C18" s="10" t="s">
        <v>115</v>
      </c>
      <c r="D18" s="11" t="s">
        <v>124</v>
      </c>
      <c r="E18" s="10" t="s">
        <v>28</v>
      </c>
      <c r="F18" s="10" t="n">
        <v>4</v>
      </c>
      <c r="G18" s="10" t="n">
        <v>2</v>
      </c>
      <c r="H18" s="48" t="n">
        <f aca="false">IF($G18=1,INDEX(SprintInicio,MATCH($B18,SprintNombres,0)),INDEX(SprintInicio,MATCH($B18,SprintNombres,0))+8-WEEKDAY(INDEX(SprintInicio,MATCH($B18,SprintNombres,0)),2))</f>
        <v>46272</v>
      </c>
      <c r="I18" s="48" t="n">
        <f aca="false">IF($G18=1,MIN(INDEX(SprintInicio,MATCH($B18,SprintNombres,0))+5-WEEKDAY(INDEX(SprintInicio,MATCH($B18,SprintNombres,0)),2),INDEX(SprintFin,MATCH($B18,SprintNombres,0))),INDEX(SprintFin,MATCH($B18,SprintNombres,0)))</f>
        <v>46276</v>
      </c>
      <c r="J18" s="49" t="s">
        <v>393</v>
      </c>
      <c r="K18" s="12" t="n">
        <f aca="false">IFERROR(VLOOKUP($J18,EstadosAvance,2,FALSE()),0)</f>
        <v>1</v>
      </c>
      <c r="L18" s="50" t="n">
        <f aca="false">F18*K18</f>
        <v>4</v>
      </c>
      <c r="M18" s="11"/>
    </row>
    <row r="19" customFormat="false" ht="15" hidden="false" customHeight="false" outlineLevel="0" collapsed="false">
      <c r="A19" s="10" t="s">
        <v>125</v>
      </c>
      <c r="B19" s="10" t="s">
        <v>23</v>
      </c>
      <c r="C19" s="10" t="s">
        <v>115</v>
      </c>
      <c r="D19" s="11" t="s">
        <v>126</v>
      </c>
      <c r="E19" s="10" t="s">
        <v>28</v>
      </c>
      <c r="F19" s="10" t="n">
        <v>3</v>
      </c>
      <c r="G19" s="10" t="n">
        <v>2</v>
      </c>
      <c r="H19" s="48" t="n">
        <f aca="false">IF($G19=1,INDEX(SprintInicio,MATCH($B19,SprintNombres,0)),INDEX(SprintInicio,MATCH($B19,SprintNombres,0))+8-WEEKDAY(INDEX(SprintInicio,MATCH($B19,SprintNombres,0)),2))</f>
        <v>46272</v>
      </c>
      <c r="I19" s="48" t="n">
        <f aca="false">IF($G19=1,MIN(INDEX(SprintInicio,MATCH($B19,SprintNombres,0))+5-WEEKDAY(INDEX(SprintInicio,MATCH($B19,SprintNombres,0)),2),INDEX(SprintFin,MATCH($B19,SprintNombres,0))),INDEX(SprintFin,MATCH($B19,SprintNombres,0)))</f>
        <v>46276</v>
      </c>
      <c r="J19" s="49" t="s">
        <v>393</v>
      </c>
      <c r="K19" s="12" t="n">
        <f aca="false">IFERROR(VLOOKUP($J19,EstadosAvance,2,FALSE()),0)</f>
        <v>1</v>
      </c>
      <c r="L19" s="50" t="n">
        <f aca="false">F19*K19</f>
        <v>3</v>
      </c>
      <c r="M19" s="11"/>
    </row>
    <row r="20" customFormat="false" ht="15" hidden="false" customHeight="false" outlineLevel="0" collapsed="false">
      <c r="A20" s="10" t="s">
        <v>129</v>
      </c>
      <c r="B20" s="10" t="s">
        <v>23</v>
      </c>
      <c r="C20" s="10" t="s">
        <v>127</v>
      </c>
      <c r="D20" s="11" t="s">
        <v>130</v>
      </c>
      <c r="E20" s="10" t="s">
        <v>29</v>
      </c>
      <c r="F20" s="10" t="n">
        <v>3</v>
      </c>
      <c r="G20" s="10" t="n">
        <v>2</v>
      </c>
      <c r="H20" s="48" t="n">
        <f aca="false">IF($G20=1,INDEX(SprintInicio,MATCH($B20,SprintNombres,0)),INDEX(SprintInicio,MATCH($B20,SprintNombres,0))+8-WEEKDAY(INDEX(SprintInicio,MATCH($B20,SprintNombres,0)),2))</f>
        <v>46272</v>
      </c>
      <c r="I20" s="48" t="n">
        <f aca="false">IF($G20=1,MIN(INDEX(SprintInicio,MATCH($B20,SprintNombres,0))+5-WEEKDAY(INDEX(SprintInicio,MATCH($B20,SprintNombres,0)),2),INDEX(SprintFin,MATCH($B20,SprintNombres,0))),INDEX(SprintFin,MATCH($B20,SprintNombres,0)))</f>
        <v>46276</v>
      </c>
      <c r="J20" s="49" t="s">
        <v>393</v>
      </c>
      <c r="K20" s="12" t="n">
        <f aca="false">IFERROR(VLOOKUP($J20,EstadosAvance,2,FALSE()),0)</f>
        <v>1</v>
      </c>
      <c r="L20" s="50" t="n">
        <f aca="false">F20*K20</f>
        <v>3</v>
      </c>
      <c r="M20" s="11"/>
    </row>
    <row r="21" customFormat="false" ht="15" hidden="false" customHeight="false" outlineLevel="0" collapsed="false">
      <c r="A21" s="10" t="s">
        <v>131</v>
      </c>
      <c r="B21" s="10" t="s">
        <v>23</v>
      </c>
      <c r="C21" s="10" t="s">
        <v>127</v>
      </c>
      <c r="D21" s="11" t="s">
        <v>132</v>
      </c>
      <c r="E21" s="10" t="s">
        <v>27</v>
      </c>
      <c r="F21" s="10" t="n">
        <v>3</v>
      </c>
      <c r="G21" s="10" t="n">
        <v>2</v>
      </c>
      <c r="H21" s="48" t="n">
        <f aca="false">IF($G21=1,INDEX(SprintInicio,MATCH($B21,SprintNombres,0)),INDEX(SprintInicio,MATCH($B21,SprintNombres,0))+8-WEEKDAY(INDEX(SprintInicio,MATCH($B21,SprintNombres,0)),2))</f>
        <v>46272</v>
      </c>
      <c r="I21" s="48" t="n">
        <f aca="false">IF($G21=1,MIN(INDEX(SprintInicio,MATCH($B21,SprintNombres,0))+5-WEEKDAY(INDEX(SprintInicio,MATCH($B21,SprintNombres,0)),2),INDEX(SprintFin,MATCH($B21,SprintNombres,0))),INDEX(SprintFin,MATCH($B21,SprintNombres,0)))</f>
        <v>46276</v>
      </c>
      <c r="J21" s="49" t="s">
        <v>393</v>
      </c>
      <c r="K21" s="12" t="n">
        <f aca="false">IFERROR(VLOOKUP($J21,EstadosAvance,2,FALSE()),0)</f>
        <v>1</v>
      </c>
      <c r="L21" s="50" t="n">
        <f aca="false">F21*K21</f>
        <v>3</v>
      </c>
      <c r="M21" s="11"/>
    </row>
    <row r="22" customFormat="false" ht="15" hidden="false" customHeight="false" outlineLevel="0" collapsed="false">
      <c r="A22" s="10" t="s">
        <v>133</v>
      </c>
      <c r="B22" s="10" t="s">
        <v>23</v>
      </c>
      <c r="C22" s="10" t="s">
        <v>127</v>
      </c>
      <c r="D22" s="11" t="s">
        <v>134</v>
      </c>
      <c r="E22" s="10" t="s">
        <v>28</v>
      </c>
      <c r="F22" s="10" t="n">
        <v>5</v>
      </c>
      <c r="G22" s="10" t="n">
        <v>2</v>
      </c>
      <c r="H22" s="48" t="n">
        <f aca="false">IF($G22=1,INDEX(SprintInicio,MATCH($B22,SprintNombres,0)),INDEX(SprintInicio,MATCH($B22,SprintNombres,0))+8-WEEKDAY(INDEX(SprintInicio,MATCH($B22,SprintNombres,0)),2))</f>
        <v>46272</v>
      </c>
      <c r="I22" s="48" t="n">
        <f aca="false">IF($G22=1,MIN(INDEX(SprintInicio,MATCH($B22,SprintNombres,0))+5-WEEKDAY(INDEX(SprintInicio,MATCH($B22,SprintNombres,0)),2),INDEX(SprintFin,MATCH($B22,SprintNombres,0))),INDEX(SprintFin,MATCH($B22,SprintNombres,0)))</f>
        <v>46276</v>
      </c>
      <c r="J22" s="49" t="s">
        <v>393</v>
      </c>
      <c r="K22" s="12" t="n">
        <f aca="false">IFERROR(VLOOKUP($J22,EstadosAvance,2,FALSE()),0)</f>
        <v>1</v>
      </c>
      <c r="L22" s="50" t="n">
        <f aca="false">F22*K22</f>
        <v>5</v>
      </c>
      <c r="M22" s="11"/>
    </row>
    <row r="23" customFormat="false" ht="15" hidden="false" customHeight="false" outlineLevel="0" collapsed="false">
      <c r="A23" s="10" t="s">
        <v>135</v>
      </c>
      <c r="B23" s="10" t="s">
        <v>23</v>
      </c>
      <c r="C23" s="10" t="s">
        <v>127</v>
      </c>
      <c r="D23" s="11" t="s">
        <v>136</v>
      </c>
      <c r="E23" s="10" t="s">
        <v>29</v>
      </c>
      <c r="F23" s="10" t="n">
        <v>3</v>
      </c>
      <c r="G23" s="10" t="n">
        <v>2</v>
      </c>
      <c r="H23" s="48" t="n">
        <f aca="false">IF($G23=1,INDEX(SprintInicio,MATCH($B23,SprintNombres,0)),INDEX(SprintInicio,MATCH($B23,SprintNombres,0))+8-WEEKDAY(INDEX(SprintInicio,MATCH($B23,SprintNombres,0)),2))</f>
        <v>46272</v>
      </c>
      <c r="I23" s="48" t="n">
        <f aca="false">IF($G23=1,MIN(INDEX(SprintInicio,MATCH($B23,SprintNombres,0))+5-WEEKDAY(INDEX(SprintInicio,MATCH($B23,SprintNombres,0)),2),INDEX(SprintFin,MATCH($B23,SprintNombres,0))),INDEX(SprintFin,MATCH($B23,SprintNombres,0)))</f>
        <v>46276</v>
      </c>
      <c r="J23" s="49" t="s">
        <v>393</v>
      </c>
      <c r="K23" s="12" t="n">
        <f aca="false">IFERROR(VLOOKUP($J23,EstadosAvance,2,FALSE()),0)</f>
        <v>1</v>
      </c>
      <c r="L23" s="50" t="n">
        <f aca="false">F23*K23</f>
        <v>3</v>
      </c>
      <c r="M23" s="11"/>
    </row>
    <row r="24" customFormat="false" ht="23.85" hidden="false" customHeight="false" outlineLevel="0" collapsed="false">
      <c r="A24" s="10" t="s">
        <v>138</v>
      </c>
      <c r="B24" s="10" t="s">
        <v>23</v>
      </c>
      <c r="C24" s="10" t="s">
        <v>394</v>
      </c>
      <c r="D24" s="11" t="s">
        <v>139</v>
      </c>
      <c r="E24" s="10" t="s">
        <v>29</v>
      </c>
      <c r="F24" s="10" t="n">
        <v>3</v>
      </c>
      <c r="G24" s="10" t="n">
        <v>1</v>
      </c>
      <c r="H24" s="48" t="n">
        <f aca="false">IF($G24=1,INDEX(SprintInicio,MATCH($B24,SprintNombres,0)),INDEX(SprintInicio,MATCH($B24,SprintNombres,0))+8-WEEKDAY(INDEX(SprintInicio,MATCH($B24,SprintNombres,0)),2))</f>
        <v>46265</v>
      </c>
      <c r="I24" s="48" t="n">
        <f aca="false">IF($G24=1,MIN(INDEX(SprintInicio,MATCH($B24,SprintNombres,0))+5-WEEKDAY(INDEX(SprintInicio,MATCH($B24,SprintNombres,0)),2),INDEX(SprintFin,MATCH($B24,SprintNombres,0))),INDEX(SprintFin,MATCH($B24,SprintNombres,0)))</f>
        <v>46269</v>
      </c>
      <c r="J24" s="49" t="s">
        <v>393</v>
      </c>
      <c r="K24" s="12" t="n">
        <f aca="false">IFERROR(VLOOKUP($J24,EstadosAvance,2,FALSE()),0)</f>
        <v>1</v>
      </c>
      <c r="L24" s="50" t="n">
        <f aca="false">F24*K24</f>
        <v>3</v>
      </c>
      <c r="M24" s="11"/>
    </row>
    <row r="25" customFormat="false" ht="15" hidden="false" customHeight="false" outlineLevel="0" collapsed="false">
      <c r="A25" s="10" t="s">
        <v>140</v>
      </c>
      <c r="B25" s="10" t="s">
        <v>23</v>
      </c>
      <c r="C25" s="10" t="s">
        <v>394</v>
      </c>
      <c r="D25" s="11" t="s">
        <v>141</v>
      </c>
      <c r="E25" s="10" t="s">
        <v>28</v>
      </c>
      <c r="F25" s="10" t="n">
        <v>2</v>
      </c>
      <c r="G25" s="10" t="n">
        <v>1</v>
      </c>
      <c r="H25" s="48" t="n">
        <f aca="false">IF($G25=1,INDEX(SprintInicio,MATCH($B25,SprintNombres,0)),INDEX(SprintInicio,MATCH($B25,SprintNombres,0))+8-WEEKDAY(INDEX(SprintInicio,MATCH($B25,SprintNombres,0)),2))</f>
        <v>46265</v>
      </c>
      <c r="I25" s="48" t="n">
        <f aca="false">IF($G25=1,MIN(INDEX(SprintInicio,MATCH($B25,SprintNombres,0))+5-WEEKDAY(INDEX(SprintInicio,MATCH($B25,SprintNombres,0)),2),INDEX(SprintFin,MATCH($B25,SprintNombres,0))),INDEX(SprintFin,MATCH($B25,SprintNombres,0)))</f>
        <v>46269</v>
      </c>
      <c r="J25" s="49" t="s">
        <v>393</v>
      </c>
      <c r="K25" s="12" t="n">
        <f aca="false">IFERROR(VLOOKUP($J25,EstadosAvance,2,FALSE()),0)</f>
        <v>1</v>
      </c>
      <c r="L25" s="50" t="n">
        <f aca="false">F25*K25</f>
        <v>2</v>
      </c>
      <c r="M25" s="11"/>
    </row>
    <row r="26" customFormat="false" ht="15" hidden="false" customHeight="false" outlineLevel="0" collapsed="false">
      <c r="A26" s="10" t="s">
        <v>142</v>
      </c>
      <c r="B26" s="10" t="s">
        <v>23</v>
      </c>
      <c r="C26" s="10" t="s">
        <v>394</v>
      </c>
      <c r="D26" s="11" t="s">
        <v>143</v>
      </c>
      <c r="E26" s="10" t="s">
        <v>29</v>
      </c>
      <c r="F26" s="10" t="n">
        <v>2</v>
      </c>
      <c r="G26" s="10" t="n">
        <v>2</v>
      </c>
      <c r="H26" s="48" t="n">
        <f aca="false">IF($G26=1,INDEX(SprintInicio,MATCH($B26,SprintNombres,0)),INDEX(SprintInicio,MATCH($B26,SprintNombres,0))+8-WEEKDAY(INDEX(SprintInicio,MATCH($B26,SprintNombres,0)),2))</f>
        <v>46272</v>
      </c>
      <c r="I26" s="48" t="n">
        <f aca="false">IF($G26=1,MIN(INDEX(SprintInicio,MATCH($B26,SprintNombres,0))+5-WEEKDAY(INDEX(SprintInicio,MATCH($B26,SprintNombres,0)),2),INDEX(SprintFin,MATCH($B26,SprintNombres,0))),INDEX(SprintFin,MATCH($B26,SprintNombres,0)))</f>
        <v>46276</v>
      </c>
      <c r="J26" s="49" t="s">
        <v>393</v>
      </c>
      <c r="K26" s="12" t="n">
        <f aca="false">IFERROR(VLOOKUP($J26,EstadosAvance,2,FALSE()),0)</f>
        <v>1</v>
      </c>
      <c r="L26" s="50" t="n">
        <f aca="false">F26*K26</f>
        <v>2</v>
      </c>
      <c r="M26" s="11"/>
    </row>
    <row r="27" customFormat="false" ht="15" hidden="false" customHeight="false" outlineLevel="0" collapsed="false">
      <c r="A27" s="10" t="s">
        <v>144</v>
      </c>
      <c r="B27" s="10" t="s">
        <v>23</v>
      </c>
      <c r="C27" s="10" t="s">
        <v>394</v>
      </c>
      <c r="D27" s="11" t="s">
        <v>145</v>
      </c>
      <c r="E27" s="10" t="s">
        <v>28</v>
      </c>
      <c r="F27" s="10" t="n">
        <v>2</v>
      </c>
      <c r="G27" s="10" t="n">
        <v>2</v>
      </c>
      <c r="H27" s="48" t="n">
        <f aca="false">IF($G27=1,INDEX(SprintInicio,MATCH($B27,SprintNombres,0)),INDEX(SprintInicio,MATCH($B27,SprintNombres,0))+8-WEEKDAY(INDEX(SprintInicio,MATCH($B27,SprintNombres,0)),2))</f>
        <v>46272</v>
      </c>
      <c r="I27" s="48" t="n">
        <f aca="false">IF($G27=1,MIN(INDEX(SprintInicio,MATCH($B27,SprintNombres,0))+5-WEEKDAY(INDEX(SprintInicio,MATCH($B27,SprintNombres,0)),2),INDEX(SprintFin,MATCH($B27,SprintNombres,0))),INDEX(SprintFin,MATCH($B27,SprintNombres,0)))</f>
        <v>46276</v>
      </c>
      <c r="J27" s="49" t="s">
        <v>393</v>
      </c>
      <c r="K27" s="12" t="n">
        <f aca="false">IFERROR(VLOOKUP($J27,EstadosAvance,2,FALSE()),0)</f>
        <v>1</v>
      </c>
      <c r="L27" s="50" t="n">
        <f aca="false">F27*K27</f>
        <v>2</v>
      </c>
      <c r="M27" s="11"/>
    </row>
    <row r="28" customFormat="false" ht="23.85" hidden="false" customHeight="false" outlineLevel="0" collapsed="false">
      <c r="A28" s="10" t="s">
        <v>152</v>
      </c>
      <c r="B28" s="10" t="s">
        <v>31</v>
      </c>
      <c r="C28" s="10" t="s">
        <v>149</v>
      </c>
      <c r="D28" s="11" t="s">
        <v>153</v>
      </c>
      <c r="E28" s="10" t="s">
        <v>27</v>
      </c>
      <c r="F28" s="10" t="n">
        <v>4</v>
      </c>
      <c r="G28" s="10" t="n">
        <v>1</v>
      </c>
      <c r="H28" s="48" t="n">
        <f aca="false">IF($G28=1,INDEX(SprintInicio,MATCH($B28,SprintNombres,0)),INDEX(SprintInicio,MATCH($B28,SprintNombres,0))+8-WEEKDAY(INDEX(SprintInicio,MATCH($B28,SprintNombres,0)),2))</f>
        <v>46279</v>
      </c>
      <c r="I28" s="48" t="n">
        <f aca="false">IF($G28=1,MIN(INDEX(SprintInicio,MATCH($B28,SprintNombres,0))+5-WEEKDAY(INDEX(SprintInicio,MATCH($B28,SprintNombres,0)),2),INDEX(SprintFin,MATCH($B28,SprintNombres,0))),INDEX(SprintFin,MATCH($B28,SprintNombres,0)))</f>
        <v>46283</v>
      </c>
      <c r="J28" s="49" t="s">
        <v>393</v>
      </c>
      <c r="K28" s="12" t="n">
        <f aca="false">IFERROR(VLOOKUP($J28,EstadosAvance,2,FALSE()),0)</f>
        <v>1</v>
      </c>
      <c r="L28" s="50" t="n">
        <f aca="false">F28*K28</f>
        <v>4</v>
      </c>
      <c r="M28" s="11"/>
    </row>
    <row r="29" customFormat="false" ht="23.85" hidden="false" customHeight="false" outlineLevel="0" collapsed="false">
      <c r="A29" s="10" t="s">
        <v>154</v>
      </c>
      <c r="B29" s="10" t="s">
        <v>31</v>
      </c>
      <c r="C29" s="10" t="s">
        <v>149</v>
      </c>
      <c r="D29" s="11" t="s">
        <v>155</v>
      </c>
      <c r="E29" s="10" t="s">
        <v>28</v>
      </c>
      <c r="F29" s="10" t="n">
        <v>5</v>
      </c>
      <c r="G29" s="10" t="n">
        <v>1</v>
      </c>
      <c r="H29" s="48" t="n">
        <f aca="false">IF($G29=1,INDEX(SprintInicio,MATCH($B29,SprintNombres,0)),INDEX(SprintInicio,MATCH($B29,SprintNombres,0))+8-WEEKDAY(INDEX(SprintInicio,MATCH($B29,SprintNombres,0)),2))</f>
        <v>46279</v>
      </c>
      <c r="I29" s="48" t="n">
        <f aca="false">IF($G29=1,MIN(INDEX(SprintInicio,MATCH($B29,SprintNombres,0))+5-WEEKDAY(INDEX(SprintInicio,MATCH($B29,SprintNombres,0)),2),INDEX(SprintFin,MATCH($B29,SprintNombres,0))),INDEX(SprintFin,MATCH($B29,SprintNombres,0)))</f>
        <v>46283</v>
      </c>
      <c r="J29" s="49" t="s">
        <v>393</v>
      </c>
      <c r="K29" s="12" t="n">
        <f aca="false">IFERROR(VLOOKUP($J29,EstadosAvance,2,FALSE()),0)</f>
        <v>1</v>
      </c>
      <c r="L29" s="50" t="n">
        <f aca="false">F29*K29</f>
        <v>5</v>
      </c>
      <c r="M29" s="11"/>
    </row>
    <row r="30" customFormat="false" ht="23.85" hidden="false" customHeight="false" outlineLevel="0" collapsed="false">
      <c r="A30" s="10" t="s">
        <v>156</v>
      </c>
      <c r="B30" s="10" t="s">
        <v>31</v>
      </c>
      <c r="C30" s="10" t="s">
        <v>149</v>
      </c>
      <c r="D30" s="11" t="s">
        <v>157</v>
      </c>
      <c r="E30" s="10" t="s">
        <v>27</v>
      </c>
      <c r="F30" s="10" t="n">
        <v>3</v>
      </c>
      <c r="G30" s="10" t="n">
        <v>1</v>
      </c>
      <c r="H30" s="48" t="n">
        <f aca="false">IF($G30=1,INDEX(SprintInicio,MATCH($B30,SprintNombres,0)),INDEX(SprintInicio,MATCH($B30,SprintNombres,0))+8-WEEKDAY(INDEX(SprintInicio,MATCH($B30,SprintNombres,0)),2))</f>
        <v>46279</v>
      </c>
      <c r="I30" s="48" t="n">
        <f aca="false">IF($G30=1,MIN(INDEX(SprintInicio,MATCH($B30,SprintNombres,0))+5-WEEKDAY(INDEX(SprintInicio,MATCH($B30,SprintNombres,0)),2),INDEX(SprintFin,MATCH($B30,SprintNombres,0))),INDEX(SprintFin,MATCH($B30,SprintNombres,0)))</f>
        <v>46283</v>
      </c>
      <c r="J30" s="49" t="s">
        <v>393</v>
      </c>
      <c r="K30" s="12" t="n">
        <f aca="false">IFERROR(VLOOKUP($J30,EstadosAvance,2,FALSE()),0)</f>
        <v>1</v>
      </c>
      <c r="L30" s="50" t="n">
        <f aca="false">F30*K30</f>
        <v>3</v>
      </c>
      <c r="M30" s="11"/>
    </row>
    <row r="31" customFormat="false" ht="15" hidden="false" customHeight="false" outlineLevel="0" collapsed="false">
      <c r="A31" s="10" t="s">
        <v>158</v>
      </c>
      <c r="B31" s="10" t="s">
        <v>31</v>
      </c>
      <c r="C31" s="10" t="s">
        <v>149</v>
      </c>
      <c r="D31" s="11" t="s">
        <v>159</v>
      </c>
      <c r="E31" s="10" t="s">
        <v>27</v>
      </c>
      <c r="F31" s="10" t="n">
        <v>2</v>
      </c>
      <c r="G31" s="10" t="n">
        <v>1</v>
      </c>
      <c r="H31" s="48" t="n">
        <f aca="false">IF($G31=1,INDEX(SprintInicio,MATCH($B31,SprintNombres,0)),INDEX(SprintInicio,MATCH($B31,SprintNombres,0))+8-WEEKDAY(INDEX(SprintInicio,MATCH($B31,SprintNombres,0)),2))</f>
        <v>46279</v>
      </c>
      <c r="I31" s="48" t="n">
        <f aca="false">IF($G31=1,MIN(INDEX(SprintInicio,MATCH($B31,SprintNombres,0))+5-WEEKDAY(INDEX(SprintInicio,MATCH($B31,SprintNombres,0)),2),INDEX(SprintFin,MATCH($B31,SprintNombres,0))),INDEX(SprintFin,MATCH($B31,SprintNombres,0)))</f>
        <v>46283</v>
      </c>
      <c r="J31" s="49" t="s">
        <v>393</v>
      </c>
      <c r="K31" s="12" t="n">
        <f aca="false">IFERROR(VLOOKUP($J31,EstadosAvance,2,FALSE()),0)</f>
        <v>1</v>
      </c>
      <c r="L31" s="50" t="n">
        <f aca="false">F31*K31</f>
        <v>2</v>
      </c>
      <c r="M31" s="11"/>
    </row>
    <row r="32" customFormat="false" ht="15" hidden="false" customHeight="false" outlineLevel="0" collapsed="false">
      <c r="A32" s="10" t="s">
        <v>160</v>
      </c>
      <c r="B32" s="10" t="s">
        <v>31</v>
      </c>
      <c r="C32" s="10" t="s">
        <v>149</v>
      </c>
      <c r="D32" s="11" t="s">
        <v>161</v>
      </c>
      <c r="E32" s="10" t="s">
        <v>29</v>
      </c>
      <c r="F32" s="10" t="n">
        <v>3</v>
      </c>
      <c r="G32" s="10" t="n">
        <v>1</v>
      </c>
      <c r="H32" s="48" t="n">
        <f aca="false">IF($G32=1,INDEX(SprintInicio,MATCH($B32,SprintNombres,0)),INDEX(SprintInicio,MATCH($B32,SprintNombres,0))+8-WEEKDAY(INDEX(SprintInicio,MATCH($B32,SprintNombres,0)),2))</f>
        <v>46279</v>
      </c>
      <c r="I32" s="48" t="n">
        <f aca="false">IF($G32=1,MIN(INDEX(SprintInicio,MATCH($B32,SprintNombres,0))+5-WEEKDAY(INDEX(SprintInicio,MATCH($B32,SprintNombres,0)),2),INDEX(SprintFin,MATCH($B32,SprintNombres,0))),INDEX(SprintFin,MATCH($B32,SprintNombres,0)))</f>
        <v>46283</v>
      </c>
      <c r="J32" s="49" t="s">
        <v>393</v>
      </c>
      <c r="K32" s="12" t="n">
        <f aca="false">IFERROR(VLOOKUP($J32,EstadosAvance,2,FALSE()),0)</f>
        <v>1</v>
      </c>
      <c r="L32" s="50" t="n">
        <f aca="false">F32*K32</f>
        <v>3</v>
      </c>
      <c r="M32" s="11"/>
    </row>
    <row r="33" customFormat="false" ht="15" hidden="false" customHeight="false" outlineLevel="0" collapsed="false">
      <c r="A33" s="10" t="s">
        <v>164</v>
      </c>
      <c r="B33" s="10" t="s">
        <v>31</v>
      </c>
      <c r="C33" s="10" t="s">
        <v>162</v>
      </c>
      <c r="D33" s="11" t="s">
        <v>165</v>
      </c>
      <c r="E33" s="10" t="s">
        <v>28</v>
      </c>
      <c r="F33" s="10" t="n">
        <v>3</v>
      </c>
      <c r="G33" s="10" t="n">
        <v>1</v>
      </c>
      <c r="H33" s="48" t="n">
        <f aca="false">IF($G33=1,INDEX(SprintInicio,MATCH($B33,SprintNombres,0)),INDEX(SprintInicio,MATCH($B33,SprintNombres,0))+8-WEEKDAY(INDEX(SprintInicio,MATCH($B33,SprintNombres,0)),2))</f>
        <v>46279</v>
      </c>
      <c r="I33" s="48" t="n">
        <f aca="false">IF($G33=1,MIN(INDEX(SprintInicio,MATCH($B33,SprintNombres,0))+5-WEEKDAY(INDEX(SprintInicio,MATCH($B33,SprintNombres,0)),2),INDEX(SprintFin,MATCH($B33,SprintNombres,0))),INDEX(SprintFin,MATCH($B33,SprintNombres,0)))</f>
        <v>46283</v>
      </c>
      <c r="J33" s="49" t="s">
        <v>393</v>
      </c>
      <c r="K33" s="12" t="n">
        <f aca="false">IFERROR(VLOOKUP($J33,EstadosAvance,2,FALSE()),0)</f>
        <v>1</v>
      </c>
      <c r="L33" s="50" t="n">
        <f aca="false">F33*K33</f>
        <v>3</v>
      </c>
      <c r="M33" s="11"/>
    </row>
    <row r="34" customFormat="false" ht="23.85" hidden="false" customHeight="false" outlineLevel="0" collapsed="false">
      <c r="A34" s="10" t="s">
        <v>166</v>
      </c>
      <c r="B34" s="10" t="s">
        <v>31</v>
      </c>
      <c r="C34" s="10" t="s">
        <v>162</v>
      </c>
      <c r="D34" s="11" t="s">
        <v>167</v>
      </c>
      <c r="E34" s="10" t="s">
        <v>27</v>
      </c>
      <c r="F34" s="10" t="n">
        <v>3</v>
      </c>
      <c r="G34" s="10" t="n">
        <v>1</v>
      </c>
      <c r="H34" s="48" t="n">
        <f aca="false">IF($G34=1,INDEX(SprintInicio,MATCH($B34,SprintNombres,0)),INDEX(SprintInicio,MATCH($B34,SprintNombres,0))+8-WEEKDAY(INDEX(SprintInicio,MATCH($B34,SprintNombres,0)),2))</f>
        <v>46279</v>
      </c>
      <c r="I34" s="48" t="n">
        <f aca="false">IF($G34=1,MIN(INDEX(SprintInicio,MATCH($B34,SprintNombres,0))+5-WEEKDAY(INDEX(SprintInicio,MATCH($B34,SprintNombres,0)),2),INDEX(SprintFin,MATCH($B34,SprintNombres,0))),INDEX(SprintFin,MATCH($B34,SprintNombres,0)))</f>
        <v>46283</v>
      </c>
      <c r="J34" s="49" t="s">
        <v>393</v>
      </c>
      <c r="K34" s="12" t="n">
        <f aca="false">IFERROR(VLOOKUP($J34,EstadosAvance,2,FALSE()),0)</f>
        <v>1</v>
      </c>
      <c r="L34" s="50" t="n">
        <f aca="false">F34*K34</f>
        <v>3</v>
      </c>
      <c r="M34" s="11"/>
    </row>
    <row r="35" customFormat="false" ht="15" hidden="false" customHeight="false" outlineLevel="0" collapsed="false">
      <c r="A35" s="10" t="s">
        <v>168</v>
      </c>
      <c r="B35" s="10" t="s">
        <v>31</v>
      </c>
      <c r="C35" s="10" t="s">
        <v>162</v>
      </c>
      <c r="D35" s="11" t="s">
        <v>169</v>
      </c>
      <c r="E35" s="10" t="s">
        <v>29</v>
      </c>
      <c r="F35" s="10" t="n">
        <v>2</v>
      </c>
      <c r="G35" s="10" t="n">
        <v>1</v>
      </c>
      <c r="H35" s="48" t="n">
        <f aca="false">IF($G35=1,INDEX(SprintInicio,MATCH($B35,SprintNombres,0)),INDEX(SprintInicio,MATCH($B35,SprintNombres,0))+8-WEEKDAY(INDEX(SprintInicio,MATCH($B35,SprintNombres,0)),2))</f>
        <v>46279</v>
      </c>
      <c r="I35" s="48" t="n">
        <f aca="false">IF($G35=1,MIN(INDEX(SprintInicio,MATCH($B35,SprintNombres,0))+5-WEEKDAY(INDEX(SprintInicio,MATCH($B35,SprintNombres,0)),2),INDEX(SprintFin,MATCH($B35,SprintNombres,0))),INDEX(SprintFin,MATCH($B35,SprintNombres,0)))</f>
        <v>46283</v>
      </c>
      <c r="J35" s="49" t="s">
        <v>393</v>
      </c>
      <c r="K35" s="12" t="n">
        <f aca="false">IFERROR(VLOOKUP($J35,EstadosAvance,2,FALSE()),0)</f>
        <v>1</v>
      </c>
      <c r="L35" s="50" t="n">
        <f aca="false">F35*K35</f>
        <v>2</v>
      </c>
      <c r="M35" s="11"/>
    </row>
    <row r="36" customFormat="false" ht="15" hidden="false" customHeight="false" outlineLevel="0" collapsed="false">
      <c r="A36" s="10" t="s">
        <v>170</v>
      </c>
      <c r="B36" s="10" t="s">
        <v>31</v>
      </c>
      <c r="C36" s="10" t="s">
        <v>162</v>
      </c>
      <c r="D36" s="11" t="s">
        <v>171</v>
      </c>
      <c r="E36" s="10" t="s">
        <v>29</v>
      </c>
      <c r="F36" s="10" t="n">
        <v>2</v>
      </c>
      <c r="G36" s="10" t="n">
        <v>1</v>
      </c>
      <c r="H36" s="48" t="n">
        <f aca="false">IF($G36=1,INDEX(SprintInicio,MATCH($B36,SprintNombres,0)),INDEX(SprintInicio,MATCH($B36,SprintNombres,0))+8-WEEKDAY(INDEX(SprintInicio,MATCH($B36,SprintNombres,0)),2))</f>
        <v>46279</v>
      </c>
      <c r="I36" s="48" t="n">
        <f aca="false">IF($G36=1,MIN(INDEX(SprintInicio,MATCH($B36,SprintNombres,0))+5-WEEKDAY(INDEX(SprintInicio,MATCH($B36,SprintNombres,0)),2),INDEX(SprintFin,MATCH($B36,SprintNombres,0))),INDEX(SprintFin,MATCH($B36,SprintNombres,0)))</f>
        <v>46283</v>
      </c>
      <c r="J36" s="49" t="s">
        <v>393</v>
      </c>
      <c r="K36" s="12" t="n">
        <f aca="false">IFERROR(VLOOKUP($J36,EstadosAvance,2,FALSE()),0)</f>
        <v>1</v>
      </c>
      <c r="L36" s="50" t="n">
        <f aca="false">F36*K36</f>
        <v>2</v>
      </c>
      <c r="M36" s="11"/>
    </row>
    <row r="37" customFormat="false" ht="15" hidden="false" customHeight="false" outlineLevel="0" collapsed="false">
      <c r="A37" s="10" t="s">
        <v>174</v>
      </c>
      <c r="B37" s="10" t="s">
        <v>31</v>
      </c>
      <c r="C37" s="10" t="s">
        <v>172</v>
      </c>
      <c r="D37" s="11" t="s">
        <v>175</v>
      </c>
      <c r="E37" s="10" t="s">
        <v>27</v>
      </c>
      <c r="F37" s="10" t="n">
        <v>3</v>
      </c>
      <c r="G37" s="10" t="n">
        <v>2</v>
      </c>
      <c r="H37" s="48" t="n">
        <f aca="false">IF($G37=1,INDEX(SprintInicio,MATCH($B37,SprintNombres,0)),INDEX(SprintInicio,MATCH($B37,SprintNombres,0))+8-WEEKDAY(INDEX(SprintInicio,MATCH($B37,SprintNombres,0)),2))</f>
        <v>46286</v>
      </c>
      <c r="I37" s="48" t="n">
        <f aca="false">IF($G37=1,MIN(INDEX(SprintInicio,MATCH($B37,SprintNombres,0))+5-WEEKDAY(INDEX(SprintInicio,MATCH($B37,SprintNombres,0)),2),INDEX(SprintFin,MATCH($B37,SprintNombres,0))),INDEX(SprintFin,MATCH($B37,SprintNombres,0)))</f>
        <v>46290</v>
      </c>
      <c r="J37" s="49" t="s">
        <v>393</v>
      </c>
      <c r="K37" s="12" t="n">
        <f aca="false">IFERROR(VLOOKUP($J37,EstadosAvance,2,FALSE()),0)</f>
        <v>1</v>
      </c>
      <c r="L37" s="50" t="n">
        <f aca="false">F37*K37</f>
        <v>3</v>
      </c>
      <c r="M37" s="11"/>
    </row>
    <row r="38" customFormat="false" ht="15" hidden="false" customHeight="false" outlineLevel="0" collapsed="false">
      <c r="A38" s="10" t="s">
        <v>176</v>
      </c>
      <c r="B38" s="10" t="s">
        <v>31</v>
      </c>
      <c r="C38" s="10" t="s">
        <v>172</v>
      </c>
      <c r="D38" s="11" t="s">
        <v>177</v>
      </c>
      <c r="E38" s="10" t="s">
        <v>28</v>
      </c>
      <c r="F38" s="10" t="n">
        <v>3</v>
      </c>
      <c r="G38" s="10" t="n">
        <v>2</v>
      </c>
      <c r="H38" s="48" t="n">
        <f aca="false">IF($G38=1,INDEX(SprintInicio,MATCH($B38,SprintNombres,0)),INDEX(SprintInicio,MATCH($B38,SprintNombres,0))+8-WEEKDAY(INDEX(SprintInicio,MATCH($B38,SprintNombres,0)),2))</f>
        <v>46286</v>
      </c>
      <c r="I38" s="48" t="n">
        <f aca="false">IF($G38=1,MIN(INDEX(SprintInicio,MATCH($B38,SprintNombres,0))+5-WEEKDAY(INDEX(SprintInicio,MATCH($B38,SprintNombres,0)),2),INDEX(SprintFin,MATCH($B38,SprintNombres,0))),INDEX(SprintFin,MATCH($B38,SprintNombres,0)))</f>
        <v>46290</v>
      </c>
      <c r="J38" s="49" t="s">
        <v>393</v>
      </c>
      <c r="K38" s="12" t="n">
        <f aca="false">IFERROR(VLOOKUP($J38,EstadosAvance,2,FALSE()),0)</f>
        <v>1</v>
      </c>
      <c r="L38" s="50" t="n">
        <f aca="false">F38*K38</f>
        <v>3</v>
      </c>
      <c r="M38" s="11"/>
    </row>
    <row r="39" customFormat="false" ht="15" hidden="false" customHeight="false" outlineLevel="0" collapsed="false">
      <c r="A39" s="10" t="s">
        <v>178</v>
      </c>
      <c r="B39" s="10" t="s">
        <v>31</v>
      </c>
      <c r="C39" s="10" t="s">
        <v>172</v>
      </c>
      <c r="D39" s="11" t="s">
        <v>179</v>
      </c>
      <c r="E39" s="10" t="s">
        <v>28</v>
      </c>
      <c r="F39" s="10" t="n">
        <v>3</v>
      </c>
      <c r="G39" s="10" t="n">
        <v>2</v>
      </c>
      <c r="H39" s="48" t="n">
        <f aca="false">IF($G39=1,INDEX(SprintInicio,MATCH($B39,SprintNombres,0)),INDEX(SprintInicio,MATCH($B39,SprintNombres,0))+8-WEEKDAY(INDEX(SprintInicio,MATCH($B39,SprintNombres,0)),2))</f>
        <v>46286</v>
      </c>
      <c r="I39" s="48" t="n">
        <f aca="false">IF($G39=1,MIN(INDEX(SprintInicio,MATCH($B39,SprintNombres,0))+5-WEEKDAY(INDEX(SprintInicio,MATCH($B39,SprintNombres,0)),2),INDEX(SprintFin,MATCH($B39,SprintNombres,0))),INDEX(SprintFin,MATCH($B39,SprintNombres,0)))</f>
        <v>46290</v>
      </c>
      <c r="J39" s="49" t="s">
        <v>393</v>
      </c>
      <c r="K39" s="12" t="n">
        <f aca="false">IFERROR(VLOOKUP($J39,EstadosAvance,2,FALSE()),0)</f>
        <v>1</v>
      </c>
      <c r="L39" s="50" t="n">
        <f aca="false">F39*K39</f>
        <v>3</v>
      </c>
      <c r="M39" s="11"/>
    </row>
    <row r="40" customFormat="false" ht="15" hidden="false" customHeight="false" outlineLevel="0" collapsed="false">
      <c r="A40" s="10" t="s">
        <v>180</v>
      </c>
      <c r="B40" s="10" t="s">
        <v>31</v>
      </c>
      <c r="C40" s="10" t="s">
        <v>172</v>
      </c>
      <c r="D40" s="11" t="s">
        <v>181</v>
      </c>
      <c r="E40" s="10" t="s">
        <v>29</v>
      </c>
      <c r="F40" s="10" t="n">
        <v>3</v>
      </c>
      <c r="G40" s="10" t="n">
        <v>2</v>
      </c>
      <c r="H40" s="48" t="n">
        <f aca="false">IF($G40=1,INDEX(SprintInicio,MATCH($B40,SprintNombres,0)),INDEX(SprintInicio,MATCH($B40,SprintNombres,0))+8-WEEKDAY(INDEX(SprintInicio,MATCH($B40,SprintNombres,0)),2))</f>
        <v>46286</v>
      </c>
      <c r="I40" s="48" t="n">
        <f aca="false">IF($G40=1,MIN(INDEX(SprintInicio,MATCH($B40,SprintNombres,0))+5-WEEKDAY(INDEX(SprintInicio,MATCH($B40,SprintNombres,0)),2),INDEX(SprintFin,MATCH($B40,SprintNombres,0))),INDEX(SprintFin,MATCH($B40,SprintNombres,0)))</f>
        <v>46290</v>
      </c>
      <c r="J40" s="49" t="s">
        <v>393</v>
      </c>
      <c r="K40" s="12" t="n">
        <f aca="false">IFERROR(VLOOKUP($J40,EstadosAvance,2,FALSE()),0)</f>
        <v>1</v>
      </c>
      <c r="L40" s="50" t="n">
        <f aca="false">F40*K40</f>
        <v>3</v>
      </c>
      <c r="M40" s="11"/>
    </row>
    <row r="41" customFormat="false" ht="15" hidden="false" customHeight="false" outlineLevel="0" collapsed="false">
      <c r="A41" s="10" t="s">
        <v>184</v>
      </c>
      <c r="B41" s="10" t="s">
        <v>31</v>
      </c>
      <c r="C41" s="10" t="s">
        <v>182</v>
      </c>
      <c r="D41" s="11" t="s">
        <v>185</v>
      </c>
      <c r="E41" s="10" t="s">
        <v>29</v>
      </c>
      <c r="F41" s="10" t="n">
        <v>2</v>
      </c>
      <c r="G41" s="10" t="n">
        <v>2</v>
      </c>
      <c r="H41" s="48" t="n">
        <f aca="false">IF($G41=1,INDEX(SprintInicio,MATCH($B41,SprintNombres,0)),INDEX(SprintInicio,MATCH($B41,SprintNombres,0))+8-WEEKDAY(INDEX(SprintInicio,MATCH($B41,SprintNombres,0)),2))</f>
        <v>46286</v>
      </c>
      <c r="I41" s="48" t="n">
        <f aca="false">IF($G41=1,MIN(INDEX(SprintInicio,MATCH($B41,SprintNombres,0))+5-WEEKDAY(INDEX(SprintInicio,MATCH($B41,SprintNombres,0)),2),INDEX(SprintFin,MATCH($B41,SprintNombres,0))),INDEX(SprintFin,MATCH($B41,SprintNombres,0)))</f>
        <v>46290</v>
      </c>
      <c r="J41" s="49" t="s">
        <v>393</v>
      </c>
      <c r="K41" s="12" t="n">
        <f aca="false">IFERROR(VLOOKUP($J41,EstadosAvance,2,FALSE()),0)</f>
        <v>1</v>
      </c>
      <c r="L41" s="50" t="n">
        <f aca="false">F41*K41</f>
        <v>2</v>
      </c>
      <c r="M41" s="11"/>
    </row>
    <row r="42" customFormat="false" ht="15" hidden="false" customHeight="false" outlineLevel="0" collapsed="false">
      <c r="A42" s="10" t="s">
        <v>186</v>
      </c>
      <c r="B42" s="10" t="s">
        <v>31</v>
      </c>
      <c r="C42" s="10" t="s">
        <v>182</v>
      </c>
      <c r="D42" s="11" t="s">
        <v>187</v>
      </c>
      <c r="E42" s="10" t="s">
        <v>29</v>
      </c>
      <c r="F42" s="10" t="n">
        <v>2</v>
      </c>
      <c r="G42" s="10" t="n">
        <v>2</v>
      </c>
      <c r="H42" s="48" t="n">
        <f aca="false">IF($G42=1,INDEX(SprintInicio,MATCH($B42,SprintNombres,0)),INDEX(SprintInicio,MATCH($B42,SprintNombres,0))+8-WEEKDAY(INDEX(SprintInicio,MATCH($B42,SprintNombres,0)),2))</f>
        <v>46286</v>
      </c>
      <c r="I42" s="48" t="n">
        <f aca="false">IF($G42=1,MIN(INDEX(SprintInicio,MATCH($B42,SprintNombres,0))+5-WEEKDAY(INDEX(SprintInicio,MATCH($B42,SprintNombres,0)),2),INDEX(SprintFin,MATCH($B42,SprintNombres,0))),INDEX(SprintFin,MATCH($B42,SprintNombres,0)))</f>
        <v>46290</v>
      </c>
      <c r="J42" s="49" t="s">
        <v>393</v>
      </c>
      <c r="K42" s="12" t="n">
        <f aca="false">IFERROR(VLOOKUP($J42,EstadosAvance,2,FALSE()),0)</f>
        <v>1</v>
      </c>
      <c r="L42" s="50" t="n">
        <f aca="false">F42*K42</f>
        <v>2</v>
      </c>
      <c r="M42" s="11"/>
    </row>
    <row r="43" customFormat="false" ht="23.85" hidden="false" customHeight="false" outlineLevel="0" collapsed="false">
      <c r="A43" s="10" t="s">
        <v>188</v>
      </c>
      <c r="B43" s="10" t="s">
        <v>31</v>
      </c>
      <c r="C43" s="10" t="s">
        <v>182</v>
      </c>
      <c r="D43" s="11" t="s">
        <v>189</v>
      </c>
      <c r="E43" s="10" t="s">
        <v>27</v>
      </c>
      <c r="F43" s="10" t="n">
        <v>3</v>
      </c>
      <c r="G43" s="10" t="n">
        <v>2</v>
      </c>
      <c r="H43" s="48" t="n">
        <f aca="false">IF($G43=1,INDEX(SprintInicio,MATCH($B43,SprintNombres,0)),INDEX(SprintInicio,MATCH($B43,SprintNombres,0))+8-WEEKDAY(INDEX(SprintInicio,MATCH($B43,SprintNombres,0)),2))</f>
        <v>46286</v>
      </c>
      <c r="I43" s="48" t="n">
        <f aca="false">IF($G43=1,MIN(INDEX(SprintInicio,MATCH($B43,SprintNombres,0))+5-WEEKDAY(INDEX(SprintInicio,MATCH($B43,SprintNombres,0)),2),INDEX(SprintFin,MATCH($B43,SprintNombres,0))),INDEX(SprintFin,MATCH($B43,SprintNombres,0)))</f>
        <v>46290</v>
      </c>
      <c r="J43" s="49" t="s">
        <v>393</v>
      </c>
      <c r="K43" s="12" t="n">
        <f aca="false">IFERROR(VLOOKUP($J43,EstadosAvance,2,FALSE()),0)</f>
        <v>1</v>
      </c>
      <c r="L43" s="50" t="n">
        <f aca="false">F43*K43</f>
        <v>3</v>
      </c>
      <c r="M43" s="11"/>
    </row>
    <row r="44" customFormat="false" ht="15" hidden="false" customHeight="false" outlineLevel="0" collapsed="false">
      <c r="A44" s="10" t="s">
        <v>190</v>
      </c>
      <c r="B44" s="10" t="s">
        <v>31</v>
      </c>
      <c r="C44" s="10" t="s">
        <v>182</v>
      </c>
      <c r="D44" s="11" t="s">
        <v>191</v>
      </c>
      <c r="E44" s="10" t="s">
        <v>28</v>
      </c>
      <c r="F44" s="10" t="n">
        <v>2</v>
      </c>
      <c r="G44" s="10" t="n">
        <v>2</v>
      </c>
      <c r="H44" s="48" t="n">
        <f aca="false">IF($G44=1,INDEX(SprintInicio,MATCH($B44,SprintNombres,0)),INDEX(SprintInicio,MATCH($B44,SprintNombres,0))+8-WEEKDAY(INDEX(SprintInicio,MATCH($B44,SprintNombres,0)),2))</f>
        <v>46286</v>
      </c>
      <c r="I44" s="48" t="n">
        <f aca="false">IF($G44=1,MIN(INDEX(SprintInicio,MATCH($B44,SprintNombres,0))+5-WEEKDAY(INDEX(SprintInicio,MATCH($B44,SprintNombres,0)),2),INDEX(SprintFin,MATCH($B44,SprintNombres,0))),INDEX(SprintFin,MATCH($B44,SprintNombres,0)))</f>
        <v>46290</v>
      </c>
      <c r="J44" s="49" t="s">
        <v>393</v>
      </c>
      <c r="K44" s="12" t="n">
        <f aca="false">IFERROR(VLOOKUP($J44,EstadosAvance,2,FALSE()),0)</f>
        <v>1</v>
      </c>
      <c r="L44" s="50" t="n">
        <f aca="false">F44*K44</f>
        <v>2</v>
      </c>
      <c r="M44" s="11"/>
    </row>
    <row r="45" customFormat="false" ht="15" hidden="false" customHeight="false" outlineLevel="0" collapsed="false">
      <c r="A45" s="10" t="s">
        <v>192</v>
      </c>
      <c r="B45" s="10" t="s">
        <v>31</v>
      </c>
      <c r="C45" s="10" t="s">
        <v>182</v>
      </c>
      <c r="D45" s="11" t="s">
        <v>193</v>
      </c>
      <c r="E45" s="10" t="s">
        <v>27</v>
      </c>
      <c r="F45" s="10" t="n">
        <v>2</v>
      </c>
      <c r="G45" s="10" t="n">
        <v>2</v>
      </c>
      <c r="H45" s="48" t="n">
        <f aca="false">IF($G45=1,INDEX(SprintInicio,MATCH($B45,SprintNombres,0)),INDEX(SprintInicio,MATCH($B45,SprintNombres,0))+8-WEEKDAY(INDEX(SprintInicio,MATCH($B45,SprintNombres,0)),2))</f>
        <v>46286</v>
      </c>
      <c r="I45" s="48" t="n">
        <f aca="false">IF($G45=1,MIN(INDEX(SprintInicio,MATCH($B45,SprintNombres,0))+5-WEEKDAY(INDEX(SprintInicio,MATCH($B45,SprintNombres,0)),2),INDEX(SprintFin,MATCH($B45,SprintNombres,0))),INDEX(SprintFin,MATCH($B45,SprintNombres,0)))</f>
        <v>46290</v>
      </c>
      <c r="J45" s="49" t="s">
        <v>393</v>
      </c>
      <c r="K45" s="12" t="n">
        <f aca="false">IFERROR(VLOOKUP($J45,EstadosAvance,2,FALSE()),0)</f>
        <v>1</v>
      </c>
      <c r="L45" s="50" t="n">
        <f aca="false">F45*K45</f>
        <v>2</v>
      </c>
      <c r="M45" s="11"/>
    </row>
    <row r="46" customFormat="false" ht="15" hidden="false" customHeight="false" outlineLevel="0" collapsed="false">
      <c r="A46" s="10" t="s">
        <v>194</v>
      </c>
      <c r="B46" s="10" t="s">
        <v>31</v>
      </c>
      <c r="C46" s="10" t="s">
        <v>394</v>
      </c>
      <c r="D46" s="11" t="s">
        <v>195</v>
      </c>
      <c r="E46" s="10" t="s">
        <v>28</v>
      </c>
      <c r="F46" s="10" t="n">
        <v>2</v>
      </c>
      <c r="G46" s="10" t="n">
        <v>2</v>
      </c>
      <c r="H46" s="48" t="n">
        <f aca="false">IF($G46=1,INDEX(SprintInicio,MATCH($B46,SprintNombres,0)),INDEX(SprintInicio,MATCH($B46,SprintNombres,0))+8-WEEKDAY(INDEX(SprintInicio,MATCH($B46,SprintNombres,0)),2))</f>
        <v>46286</v>
      </c>
      <c r="I46" s="48" t="n">
        <f aca="false">IF($G46=1,MIN(INDEX(SprintInicio,MATCH($B46,SprintNombres,0))+5-WEEKDAY(INDEX(SprintInicio,MATCH($B46,SprintNombres,0)),2),INDEX(SprintFin,MATCH($B46,SprintNombres,0))),INDEX(SprintFin,MATCH($B46,SprintNombres,0)))</f>
        <v>46290</v>
      </c>
      <c r="J46" s="49" t="s">
        <v>393</v>
      </c>
      <c r="K46" s="12" t="n">
        <f aca="false">IFERROR(VLOOKUP($J46,EstadosAvance,2,FALSE()),0)</f>
        <v>1</v>
      </c>
      <c r="L46" s="50" t="n">
        <f aca="false">F46*K46</f>
        <v>2</v>
      </c>
      <c r="M46" s="11"/>
    </row>
    <row r="47" customFormat="false" ht="15" hidden="false" customHeight="false" outlineLevel="0" collapsed="false">
      <c r="A47" s="10" t="s">
        <v>196</v>
      </c>
      <c r="B47" s="10" t="s">
        <v>31</v>
      </c>
      <c r="C47" s="10" t="s">
        <v>394</v>
      </c>
      <c r="D47" s="11" t="s">
        <v>197</v>
      </c>
      <c r="E47" s="10" t="s">
        <v>27</v>
      </c>
      <c r="F47" s="10" t="n">
        <v>2</v>
      </c>
      <c r="G47" s="10" t="n">
        <v>2</v>
      </c>
      <c r="H47" s="48" t="n">
        <f aca="false">IF($G47=1,INDEX(SprintInicio,MATCH($B47,SprintNombres,0)),INDEX(SprintInicio,MATCH($B47,SprintNombres,0))+8-WEEKDAY(INDEX(SprintInicio,MATCH($B47,SprintNombres,0)),2))</f>
        <v>46286</v>
      </c>
      <c r="I47" s="48" t="n">
        <f aca="false">IF($G47=1,MIN(INDEX(SprintInicio,MATCH($B47,SprintNombres,0))+5-WEEKDAY(INDEX(SprintInicio,MATCH($B47,SprintNombres,0)),2),INDEX(SprintFin,MATCH($B47,SprintNombres,0))),INDEX(SprintFin,MATCH($B47,SprintNombres,0)))</f>
        <v>46290</v>
      </c>
      <c r="J47" s="49" t="s">
        <v>393</v>
      </c>
      <c r="K47" s="12" t="n">
        <f aca="false">IFERROR(VLOOKUP($J47,EstadosAvance,2,FALSE()),0)</f>
        <v>1</v>
      </c>
      <c r="L47" s="50" t="n">
        <f aca="false">F47*K47</f>
        <v>2</v>
      </c>
      <c r="M47" s="11"/>
    </row>
    <row r="48" customFormat="false" ht="15" hidden="false" customHeight="false" outlineLevel="0" collapsed="false">
      <c r="A48" s="10" t="s">
        <v>198</v>
      </c>
      <c r="B48" s="10" t="s">
        <v>31</v>
      </c>
      <c r="C48" s="10" t="s">
        <v>394</v>
      </c>
      <c r="D48" s="11" t="s">
        <v>145</v>
      </c>
      <c r="E48" s="10" t="s">
        <v>29</v>
      </c>
      <c r="F48" s="10" t="n">
        <v>2</v>
      </c>
      <c r="G48" s="10" t="n">
        <v>2</v>
      </c>
      <c r="H48" s="48" t="n">
        <f aca="false">IF($G48=1,INDEX(SprintInicio,MATCH($B48,SprintNombres,0)),INDEX(SprintInicio,MATCH($B48,SprintNombres,0))+8-WEEKDAY(INDEX(SprintInicio,MATCH($B48,SprintNombres,0)),2))</f>
        <v>46286</v>
      </c>
      <c r="I48" s="48" t="n">
        <f aca="false">IF($G48=1,MIN(INDEX(SprintInicio,MATCH($B48,SprintNombres,0))+5-WEEKDAY(INDEX(SprintInicio,MATCH($B48,SprintNombres,0)),2),INDEX(SprintFin,MATCH($B48,SprintNombres,0))),INDEX(SprintFin,MATCH($B48,SprintNombres,0)))</f>
        <v>46290</v>
      </c>
      <c r="J48" s="49" t="s">
        <v>393</v>
      </c>
      <c r="K48" s="12" t="n">
        <f aca="false">IFERROR(VLOOKUP($J48,EstadosAvance,2,FALSE()),0)</f>
        <v>1</v>
      </c>
      <c r="L48" s="50" t="n">
        <f aca="false">F48*K48</f>
        <v>2</v>
      </c>
      <c r="M48" s="11"/>
    </row>
    <row r="49" customFormat="false" ht="23.85" hidden="false" customHeight="false" outlineLevel="0" collapsed="false">
      <c r="A49" s="10" t="s">
        <v>205</v>
      </c>
      <c r="B49" s="10" t="s">
        <v>36</v>
      </c>
      <c r="C49" s="10" t="s">
        <v>202</v>
      </c>
      <c r="D49" s="11" t="s">
        <v>206</v>
      </c>
      <c r="E49" s="10" t="s">
        <v>29</v>
      </c>
      <c r="F49" s="10" t="n">
        <v>4</v>
      </c>
      <c r="G49" s="10" t="n">
        <v>1</v>
      </c>
      <c r="H49" s="48" t="n">
        <f aca="false">IF($G49=1,INDEX(SprintInicio,MATCH($B49,SprintNombres,0)),INDEX(SprintInicio,MATCH($B49,SprintNombres,0))+8-WEEKDAY(INDEX(SprintInicio,MATCH($B49,SprintNombres,0)),2))</f>
        <v>46293</v>
      </c>
      <c r="I49" s="48" t="n">
        <f aca="false">IF($G49=1,MIN(INDEX(SprintInicio,MATCH($B49,SprintNombres,0))+5-WEEKDAY(INDEX(SprintInicio,MATCH($B49,SprintNombres,0)),2),INDEX(SprintFin,MATCH($B49,SprintNombres,0))),INDEX(SprintFin,MATCH($B49,SprintNombres,0)))</f>
        <v>46297</v>
      </c>
      <c r="J49" s="49" t="s">
        <v>393</v>
      </c>
      <c r="K49" s="12" t="n">
        <f aca="false">IFERROR(VLOOKUP($J49,EstadosAvance,2,FALSE()),0)</f>
        <v>1</v>
      </c>
      <c r="L49" s="50" t="n">
        <f aca="false">F49*K49</f>
        <v>4</v>
      </c>
      <c r="M49" s="11"/>
    </row>
    <row r="50" customFormat="false" ht="23.85" hidden="false" customHeight="false" outlineLevel="0" collapsed="false">
      <c r="A50" s="10" t="s">
        <v>207</v>
      </c>
      <c r="B50" s="10" t="s">
        <v>36</v>
      </c>
      <c r="C50" s="10" t="s">
        <v>202</v>
      </c>
      <c r="D50" s="11" t="s">
        <v>208</v>
      </c>
      <c r="E50" s="10" t="s">
        <v>29</v>
      </c>
      <c r="F50" s="10" t="n">
        <v>3</v>
      </c>
      <c r="G50" s="10" t="n">
        <v>1</v>
      </c>
      <c r="H50" s="48" t="n">
        <f aca="false">IF($G50=1,INDEX(SprintInicio,MATCH($B50,SprintNombres,0)),INDEX(SprintInicio,MATCH($B50,SprintNombres,0))+8-WEEKDAY(INDEX(SprintInicio,MATCH($B50,SprintNombres,0)),2))</f>
        <v>46293</v>
      </c>
      <c r="I50" s="48" t="n">
        <f aca="false">IF($G50=1,MIN(INDEX(SprintInicio,MATCH($B50,SprintNombres,0))+5-WEEKDAY(INDEX(SprintInicio,MATCH($B50,SprintNombres,0)),2),INDEX(SprintFin,MATCH($B50,SprintNombres,0))),INDEX(SprintFin,MATCH($B50,SprintNombres,0)))</f>
        <v>46297</v>
      </c>
      <c r="J50" s="49" t="s">
        <v>393</v>
      </c>
      <c r="K50" s="12" t="n">
        <f aca="false">IFERROR(VLOOKUP($J50,EstadosAvance,2,FALSE()),0)</f>
        <v>1</v>
      </c>
      <c r="L50" s="50" t="n">
        <f aca="false">F50*K50</f>
        <v>3</v>
      </c>
      <c r="M50" s="11"/>
    </row>
    <row r="51" customFormat="false" ht="15" hidden="false" customHeight="false" outlineLevel="0" collapsed="false">
      <c r="A51" s="10" t="s">
        <v>209</v>
      </c>
      <c r="B51" s="10" t="s">
        <v>36</v>
      </c>
      <c r="C51" s="10" t="s">
        <v>202</v>
      </c>
      <c r="D51" s="11" t="s">
        <v>210</v>
      </c>
      <c r="E51" s="10" t="s">
        <v>27</v>
      </c>
      <c r="F51" s="10" t="n">
        <v>1</v>
      </c>
      <c r="G51" s="10" t="n">
        <v>1</v>
      </c>
      <c r="H51" s="48" t="n">
        <f aca="false">IF($G51=1,INDEX(SprintInicio,MATCH($B51,SprintNombres,0)),INDEX(SprintInicio,MATCH($B51,SprintNombres,0))+8-WEEKDAY(INDEX(SprintInicio,MATCH($B51,SprintNombres,0)),2))</f>
        <v>46293</v>
      </c>
      <c r="I51" s="48" t="n">
        <f aca="false">IF($G51=1,MIN(INDEX(SprintInicio,MATCH($B51,SprintNombres,0))+5-WEEKDAY(INDEX(SprintInicio,MATCH($B51,SprintNombres,0)),2),INDEX(SprintFin,MATCH($B51,SprintNombres,0))),INDEX(SprintFin,MATCH($B51,SprintNombres,0)))</f>
        <v>46297</v>
      </c>
      <c r="J51" s="49" t="s">
        <v>393</v>
      </c>
      <c r="K51" s="12" t="n">
        <f aca="false">IFERROR(VLOOKUP($J51,EstadosAvance,2,FALSE()),0)</f>
        <v>1</v>
      </c>
      <c r="L51" s="50" t="n">
        <f aca="false">F51*K51</f>
        <v>1</v>
      </c>
      <c r="M51" s="11"/>
    </row>
    <row r="52" customFormat="false" ht="15" hidden="false" customHeight="false" outlineLevel="0" collapsed="false">
      <c r="A52" s="10" t="s">
        <v>211</v>
      </c>
      <c r="B52" s="10" t="s">
        <v>36</v>
      </c>
      <c r="C52" s="10" t="s">
        <v>202</v>
      </c>
      <c r="D52" s="11" t="s">
        <v>212</v>
      </c>
      <c r="E52" s="10" t="s">
        <v>27</v>
      </c>
      <c r="F52" s="10" t="n">
        <v>4</v>
      </c>
      <c r="G52" s="10" t="n">
        <v>1</v>
      </c>
      <c r="H52" s="48" t="n">
        <f aca="false">IF($G52=1,INDEX(SprintInicio,MATCH($B52,SprintNombres,0)),INDEX(SprintInicio,MATCH($B52,SprintNombres,0))+8-WEEKDAY(INDEX(SprintInicio,MATCH($B52,SprintNombres,0)),2))</f>
        <v>46293</v>
      </c>
      <c r="I52" s="48" t="n">
        <f aca="false">IF($G52=1,MIN(INDEX(SprintInicio,MATCH($B52,SprintNombres,0))+5-WEEKDAY(INDEX(SprintInicio,MATCH($B52,SprintNombres,0)),2),INDEX(SprintFin,MATCH($B52,SprintNombres,0))),INDEX(SprintFin,MATCH($B52,SprintNombres,0)))</f>
        <v>46297</v>
      </c>
      <c r="J52" s="49" t="s">
        <v>393</v>
      </c>
      <c r="K52" s="12" t="n">
        <f aca="false">IFERROR(VLOOKUP($J52,EstadosAvance,2,FALSE()),0)</f>
        <v>1</v>
      </c>
      <c r="L52" s="50" t="n">
        <f aca="false">F52*K52</f>
        <v>4</v>
      </c>
      <c r="M52" s="11"/>
    </row>
    <row r="53" customFormat="false" ht="15" hidden="false" customHeight="false" outlineLevel="0" collapsed="false">
      <c r="A53" s="10" t="s">
        <v>213</v>
      </c>
      <c r="B53" s="10" t="s">
        <v>36</v>
      </c>
      <c r="C53" s="10" t="s">
        <v>202</v>
      </c>
      <c r="D53" s="11" t="s">
        <v>214</v>
      </c>
      <c r="E53" s="10" t="s">
        <v>27</v>
      </c>
      <c r="F53" s="10" t="n">
        <v>2</v>
      </c>
      <c r="G53" s="10" t="n">
        <v>1</v>
      </c>
      <c r="H53" s="48" t="n">
        <f aca="false">IF($G53=1,INDEX(SprintInicio,MATCH($B53,SprintNombres,0)),INDEX(SprintInicio,MATCH($B53,SprintNombres,0))+8-WEEKDAY(INDEX(SprintInicio,MATCH($B53,SprintNombres,0)),2))</f>
        <v>46293</v>
      </c>
      <c r="I53" s="48" t="n">
        <f aca="false">IF($G53=1,MIN(INDEX(SprintInicio,MATCH($B53,SprintNombres,0))+5-WEEKDAY(INDEX(SprintInicio,MATCH($B53,SprintNombres,0)),2),INDEX(SprintFin,MATCH($B53,SprintNombres,0))),INDEX(SprintFin,MATCH($B53,SprintNombres,0)))</f>
        <v>46297</v>
      </c>
      <c r="J53" s="49" t="s">
        <v>393</v>
      </c>
      <c r="K53" s="12" t="n">
        <f aca="false">IFERROR(VLOOKUP($J53,EstadosAvance,2,FALSE()),0)</f>
        <v>1</v>
      </c>
      <c r="L53" s="50" t="n">
        <f aca="false">F53*K53</f>
        <v>2</v>
      </c>
      <c r="M53" s="11"/>
    </row>
    <row r="54" customFormat="false" ht="15" hidden="false" customHeight="false" outlineLevel="0" collapsed="false">
      <c r="A54" s="10" t="s">
        <v>215</v>
      </c>
      <c r="B54" s="10" t="s">
        <v>36</v>
      </c>
      <c r="C54" s="10" t="s">
        <v>202</v>
      </c>
      <c r="D54" s="11" t="s">
        <v>216</v>
      </c>
      <c r="E54" s="10" t="s">
        <v>27</v>
      </c>
      <c r="F54" s="10" t="n">
        <v>2</v>
      </c>
      <c r="G54" s="10" t="n">
        <v>1</v>
      </c>
      <c r="H54" s="48" t="n">
        <f aca="false">IF($G54=1,INDEX(SprintInicio,MATCH($B54,SprintNombres,0)),INDEX(SprintInicio,MATCH($B54,SprintNombres,0))+8-WEEKDAY(INDEX(SprintInicio,MATCH($B54,SprintNombres,0)),2))</f>
        <v>46293</v>
      </c>
      <c r="I54" s="48" t="n">
        <f aca="false">IF($G54=1,MIN(INDEX(SprintInicio,MATCH($B54,SprintNombres,0))+5-WEEKDAY(INDEX(SprintInicio,MATCH($B54,SprintNombres,0)),2),INDEX(SprintFin,MATCH($B54,SprintNombres,0))),INDEX(SprintFin,MATCH($B54,SprintNombres,0)))</f>
        <v>46297</v>
      </c>
      <c r="J54" s="49" t="s">
        <v>393</v>
      </c>
      <c r="K54" s="12" t="n">
        <f aca="false">IFERROR(VLOOKUP($J54,EstadosAvance,2,FALSE()),0)</f>
        <v>1</v>
      </c>
      <c r="L54" s="50" t="n">
        <f aca="false">F54*K54</f>
        <v>2</v>
      </c>
      <c r="M54" s="11"/>
    </row>
    <row r="55" customFormat="false" ht="23.85" hidden="false" customHeight="false" outlineLevel="0" collapsed="false">
      <c r="A55" s="10" t="s">
        <v>220</v>
      </c>
      <c r="B55" s="10" t="s">
        <v>36</v>
      </c>
      <c r="C55" s="10" t="s">
        <v>217</v>
      </c>
      <c r="D55" s="11" t="s">
        <v>221</v>
      </c>
      <c r="E55" s="10" t="s">
        <v>29</v>
      </c>
      <c r="F55" s="10" t="n">
        <v>3</v>
      </c>
      <c r="G55" s="10" t="n">
        <v>1</v>
      </c>
      <c r="H55" s="48" t="n">
        <f aca="false">IF($G55=1,INDEX(SprintInicio,MATCH($B55,SprintNombres,0)),INDEX(SprintInicio,MATCH($B55,SprintNombres,0))+8-WEEKDAY(INDEX(SprintInicio,MATCH($B55,SprintNombres,0)),2))</f>
        <v>46293</v>
      </c>
      <c r="I55" s="48" t="n">
        <f aca="false">IF($G55=1,MIN(INDEX(SprintInicio,MATCH($B55,SprintNombres,0))+5-WEEKDAY(INDEX(SprintInicio,MATCH($B55,SprintNombres,0)),2),INDEX(SprintFin,MATCH($B55,SprintNombres,0))),INDEX(SprintFin,MATCH($B55,SprintNombres,0)))</f>
        <v>46297</v>
      </c>
      <c r="J55" s="49" t="s">
        <v>393</v>
      </c>
      <c r="K55" s="12" t="n">
        <f aca="false">IFERROR(VLOOKUP($J55,EstadosAvance,2,FALSE()),0)</f>
        <v>1</v>
      </c>
      <c r="L55" s="50" t="n">
        <f aca="false">F55*K55</f>
        <v>3</v>
      </c>
      <c r="M55" s="11"/>
    </row>
    <row r="56" customFormat="false" ht="15" hidden="false" customHeight="false" outlineLevel="0" collapsed="false">
      <c r="A56" s="10" t="s">
        <v>222</v>
      </c>
      <c r="B56" s="10" t="s">
        <v>36</v>
      </c>
      <c r="C56" s="10" t="s">
        <v>217</v>
      </c>
      <c r="D56" s="11" t="s">
        <v>223</v>
      </c>
      <c r="E56" s="10" t="s">
        <v>28</v>
      </c>
      <c r="F56" s="10" t="n">
        <v>3</v>
      </c>
      <c r="G56" s="10" t="n">
        <v>1</v>
      </c>
      <c r="H56" s="48" t="n">
        <f aca="false">IF($G56=1,INDEX(SprintInicio,MATCH($B56,SprintNombres,0)),INDEX(SprintInicio,MATCH($B56,SprintNombres,0))+8-WEEKDAY(INDEX(SprintInicio,MATCH($B56,SprintNombres,0)),2))</f>
        <v>46293</v>
      </c>
      <c r="I56" s="48" t="n">
        <f aca="false">IF($G56=1,MIN(INDEX(SprintInicio,MATCH($B56,SprintNombres,0))+5-WEEKDAY(INDEX(SprintInicio,MATCH($B56,SprintNombres,0)),2),INDEX(SprintFin,MATCH($B56,SprintNombres,0))),INDEX(SprintFin,MATCH($B56,SprintNombres,0)))</f>
        <v>46297</v>
      </c>
      <c r="J56" s="49" t="s">
        <v>393</v>
      </c>
      <c r="K56" s="12" t="n">
        <f aca="false">IFERROR(VLOOKUP($J56,EstadosAvance,2,FALSE()),0)</f>
        <v>1</v>
      </c>
      <c r="L56" s="50" t="n">
        <f aca="false">F56*K56</f>
        <v>3</v>
      </c>
      <c r="M56" s="11"/>
    </row>
    <row r="57" customFormat="false" ht="23.85" hidden="false" customHeight="false" outlineLevel="0" collapsed="false">
      <c r="A57" s="10" t="s">
        <v>224</v>
      </c>
      <c r="B57" s="10" t="s">
        <v>36</v>
      </c>
      <c r="C57" s="10" t="s">
        <v>217</v>
      </c>
      <c r="D57" s="11" t="s">
        <v>225</v>
      </c>
      <c r="E57" s="10" t="s">
        <v>28</v>
      </c>
      <c r="F57" s="10" t="n">
        <v>3</v>
      </c>
      <c r="G57" s="10" t="n">
        <v>1</v>
      </c>
      <c r="H57" s="48" t="n">
        <f aca="false">IF($G57=1,INDEX(SprintInicio,MATCH($B57,SprintNombres,0)),INDEX(SprintInicio,MATCH($B57,SprintNombres,0))+8-WEEKDAY(INDEX(SprintInicio,MATCH($B57,SprintNombres,0)),2))</f>
        <v>46293</v>
      </c>
      <c r="I57" s="48" t="n">
        <f aca="false">IF($G57=1,MIN(INDEX(SprintInicio,MATCH($B57,SprintNombres,0))+5-WEEKDAY(INDEX(SprintInicio,MATCH($B57,SprintNombres,0)),2),INDEX(SprintFin,MATCH($B57,SprintNombres,0))),INDEX(SprintFin,MATCH($B57,SprintNombres,0)))</f>
        <v>46297</v>
      </c>
      <c r="J57" s="49" t="s">
        <v>393</v>
      </c>
      <c r="K57" s="12" t="n">
        <f aca="false">IFERROR(VLOOKUP($J57,EstadosAvance,2,FALSE()),0)</f>
        <v>1</v>
      </c>
      <c r="L57" s="50" t="n">
        <f aca="false">F57*K57</f>
        <v>3</v>
      </c>
      <c r="M57" s="11"/>
    </row>
    <row r="58" customFormat="false" ht="15" hidden="false" customHeight="false" outlineLevel="0" collapsed="false">
      <c r="A58" s="10" t="s">
        <v>226</v>
      </c>
      <c r="B58" s="10" t="s">
        <v>36</v>
      </c>
      <c r="C58" s="10" t="s">
        <v>217</v>
      </c>
      <c r="D58" s="11" t="s">
        <v>227</v>
      </c>
      <c r="E58" s="10" t="s">
        <v>28</v>
      </c>
      <c r="F58" s="10" t="n">
        <v>1</v>
      </c>
      <c r="G58" s="10" t="n">
        <v>1</v>
      </c>
      <c r="H58" s="48" t="n">
        <f aca="false">IF($G58=1,INDEX(SprintInicio,MATCH($B58,SprintNombres,0)),INDEX(SprintInicio,MATCH($B58,SprintNombres,0))+8-WEEKDAY(INDEX(SprintInicio,MATCH($B58,SprintNombres,0)),2))</f>
        <v>46293</v>
      </c>
      <c r="I58" s="48" t="n">
        <f aca="false">IF($G58=1,MIN(INDEX(SprintInicio,MATCH($B58,SprintNombres,0))+5-WEEKDAY(INDEX(SprintInicio,MATCH($B58,SprintNombres,0)),2),INDEX(SprintFin,MATCH($B58,SprintNombres,0))),INDEX(SprintFin,MATCH($B58,SprintNombres,0)))</f>
        <v>46297</v>
      </c>
      <c r="J58" s="49" t="s">
        <v>393</v>
      </c>
      <c r="K58" s="12" t="n">
        <f aca="false">IFERROR(VLOOKUP($J58,EstadosAvance,2,FALSE()),0)</f>
        <v>1</v>
      </c>
      <c r="L58" s="50" t="n">
        <f aca="false">F58*K58</f>
        <v>1</v>
      </c>
      <c r="M58" s="11"/>
    </row>
    <row r="59" customFormat="false" ht="15" hidden="false" customHeight="false" outlineLevel="0" collapsed="false">
      <c r="A59" s="10" t="s">
        <v>228</v>
      </c>
      <c r="B59" s="10" t="s">
        <v>36</v>
      </c>
      <c r="C59" s="10" t="s">
        <v>217</v>
      </c>
      <c r="D59" s="11" t="s">
        <v>229</v>
      </c>
      <c r="E59" s="10" t="s">
        <v>27</v>
      </c>
      <c r="F59" s="10" t="n">
        <v>2</v>
      </c>
      <c r="G59" s="10" t="n">
        <v>1</v>
      </c>
      <c r="H59" s="48" t="n">
        <f aca="false">IF($G59=1,INDEX(SprintInicio,MATCH($B59,SprintNombres,0)),INDEX(SprintInicio,MATCH($B59,SprintNombres,0))+8-WEEKDAY(INDEX(SprintInicio,MATCH($B59,SprintNombres,0)),2))</f>
        <v>46293</v>
      </c>
      <c r="I59" s="48" t="n">
        <f aca="false">IF($G59=1,MIN(INDEX(SprintInicio,MATCH($B59,SprintNombres,0))+5-WEEKDAY(INDEX(SprintInicio,MATCH($B59,SprintNombres,0)),2),INDEX(SprintFin,MATCH($B59,SprintNombres,0))),INDEX(SprintFin,MATCH($B59,SprintNombres,0)))</f>
        <v>46297</v>
      </c>
      <c r="J59" s="49" t="s">
        <v>393</v>
      </c>
      <c r="K59" s="12" t="n">
        <f aca="false">IFERROR(VLOOKUP($J59,EstadosAvance,2,FALSE()),0)</f>
        <v>1</v>
      </c>
      <c r="L59" s="50" t="n">
        <f aca="false">F59*K59</f>
        <v>2</v>
      </c>
      <c r="M59" s="11"/>
    </row>
    <row r="60" customFormat="false" ht="15" hidden="false" customHeight="false" outlineLevel="0" collapsed="false">
      <c r="A60" s="10" t="s">
        <v>233</v>
      </c>
      <c r="B60" s="10" t="s">
        <v>36</v>
      </c>
      <c r="C60" s="10" t="s">
        <v>230</v>
      </c>
      <c r="D60" s="11" t="s">
        <v>234</v>
      </c>
      <c r="E60" s="10" t="s">
        <v>29</v>
      </c>
      <c r="F60" s="10" t="n">
        <v>3</v>
      </c>
      <c r="G60" s="10" t="n">
        <v>2</v>
      </c>
      <c r="H60" s="48" t="n">
        <f aca="false">IF($G60=1,INDEX(SprintInicio,MATCH($B60,SprintNombres,0)),INDEX(SprintInicio,MATCH($B60,SprintNombres,0))+8-WEEKDAY(INDEX(SprintInicio,MATCH($B60,SprintNombres,0)),2))</f>
        <v>46300</v>
      </c>
      <c r="I60" s="48" t="n">
        <f aca="false">IF($G60=1,MIN(INDEX(SprintInicio,MATCH($B60,SprintNombres,0))+5-WEEKDAY(INDEX(SprintInicio,MATCH($B60,SprintNombres,0)),2),INDEX(SprintFin,MATCH($B60,SprintNombres,0))),INDEX(SprintFin,MATCH($B60,SprintNombres,0)))</f>
        <v>46304</v>
      </c>
      <c r="J60" s="49" t="s">
        <v>393</v>
      </c>
      <c r="K60" s="12" t="n">
        <f aca="false">IFERROR(VLOOKUP($J60,EstadosAvance,2,FALSE()),0)</f>
        <v>1</v>
      </c>
      <c r="L60" s="50" t="n">
        <f aca="false">F60*K60</f>
        <v>3</v>
      </c>
      <c r="M60" s="11"/>
    </row>
    <row r="61" customFormat="false" ht="15" hidden="false" customHeight="false" outlineLevel="0" collapsed="false">
      <c r="A61" s="10" t="s">
        <v>235</v>
      </c>
      <c r="B61" s="10" t="s">
        <v>36</v>
      </c>
      <c r="C61" s="10" t="s">
        <v>230</v>
      </c>
      <c r="D61" s="11" t="s">
        <v>236</v>
      </c>
      <c r="E61" s="10" t="s">
        <v>28</v>
      </c>
      <c r="F61" s="10" t="n">
        <v>4</v>
      </c>
      <c r="G61" s="10" t="n">
        <v>2</v>
      </c>
      <c r="H61" s="48" t="n">
        <f aca="false">IF($G61=1,INDEX(SprintInicio,MATCH($B61,SprintNombres,0)),INDEX(SprintInicio,MATCH($B61,SprintNombres,0))+8-WEEKDAY(INDEX(SprintInicio,MATCH($B61,SprintNombres,0)),2))</f>
        <v>46300</v>
      </c>
      <c r="I61" s="48" t="n">
        <f aca="false">IF($G61=1,MIN(INDEX(SprintInicio,MATCH($B61,SprintNombres,0))+5-WEEKDAY(INDEX(SprintInicio,MATCH($B61,SprintNombres,0)),2),INDEX(SprintFin,MATCH($B61,SprintNombres,0))),INDEX(SprintFin,MATCH($B61,SprintNombres,0)))</f>
        <v>46304</v>
      </c>
      <c r="J61" s="49" t="s">
        <v>393</v>
      </c>
      <c r="K61" s="12" t="n">
        <f aca="false">IFERROR(VLOOKUP($J61,EstadosAvance,2,FALSE()),0)</f>
        <v>1</v>
      </c>
      <c r="L61" s="50" t="n">
        <f aca="false">F61*K61</f>
        <v>4</v>
      </c>
      <c r="M61" s="11"/>
    </row>
    <row r="62" customFormat="false" ht="15" hidden="false" customHeight="false" outlineLevel="0" collapsed="false">
      <c r="A62" s="10" t="s">
        <v>237</v>
      </c>
      <c r="B62" s="10" t="s">
        <v>36</v>
      </c>
      <c r="C62" s="10" t="s">
        <v>230</v>
      </c>
      <c r="D62" s="11" t="s">
        <v>238</v>
      </c>
      <c r="E62" s="10" t="s">
        <v>29</v>
      </c>
      <c r="F62" s="10" t="n">
        <v>3</v>
      </c>
      <c r="G62" s="10" t="n">
        <v>2</v>
      </c>
      <c r="H62" s="48" t="n">
        <f aca="false">IF($G62=1,INDEX(SprintInicio,MATCH($B62,SprintNombres,0)),INDEX(SprintInicio,MATCH($B62,SprintNombres,0))+8-WEEKDAY(INDEX(SprintInicio,MATCH($B62,SprintNombres,0)),2))</f>
        <v>46300</v>
      </c>
      <c r="I62" s="48" t="n">
        <f aca="false">IF($G62=1,MIN(INDEX(SprintInicio,MATCH($B62,SprintNombres,0))+5-WEEKDAY(INDEX(SprintInicio,MATCH($B62,SprintNombres,0)),2),INDEX(SprintFin,MATCH($B62,SprintNombres,0))),INDEX(SprintFin,MATCH($B62,SprintNombres,0)))</f>
        <v>46304</v>
      </c>
      <c r="J62" s="49" t="s">
        <v>393</v>
      </c>
      <c r="K62" s="12" t="n">
        <f aca="false">IFERROR(VLOOKUP($J62,EstadosAvance,2,FALSE()),0)</f>
        <v>1</v>
      </c>
      <c r="L62" s="50" t="n">
        <f aca="false">F62*K62</f>
        <v>3</v>
      </c>
      <c r="M62" s="11"/>
    </row>
    <row r="63" customFormat="false" ht="15" hidden="false" customHeight="false" outlineLevel="0" collapsed="false">
      <c r="A63" s="10" t="s">
        <v>239</v>
      </c>
      <c r="B63" s="10" t="s">
        <v>36</v>
      </c>
      <c r="C63" s="10" t="s">
        <v>230</v>
      </c>
      <c r="D63" s="11" t="s">
        <v>240</v>
      </c>
      <c r="E63" s="10" t="s">
        <v>29</v>
      </c>
      <c r="F63" s="10" t="n">
        <v>2</v>
      </c>
      <c r="G63" s="10" t="n">
        <v>2</v>
      </c>
      <c r="H63" s="48" t="n">
        <f aca="false">IF($G63=1,INDEX(SprintInicio,MATCH($B63,SprintNombres,0)),INDEX(SprintInicio,MATCH($B63,SprintNombres,0))+8-WEEKDAY(INDEX(SprintInicio,MATCH($B63,SprintNombres,0)),2))</f>
        <v>46300</v>
      </c>
      <c r="I63" s="48" t="n">
        <f aca="false">IF($G63=1,MIN(INDEX(SprintInicio,MATCH($B63,SprintNombres,0))+5-WEEKDAY(INDEX(SprintInicio,MATCH($B63,SprintNombres,0)),2),INDEX(SprintFin,MATCH($B63,SprintNombres,0))),INDEX(SprintFin,MATCH($B63,SprintNombres,0)))</f>
        <v>46304</v>
      </c>
      <c r="J63" s="49" t="s">
        <v>393</v>
      </c>
      <c r="K63" s="12" t="n">
        <f aca="false">IFERROR(VLOOKUP($J63,EstadosAvance,2,FALSE()),0)</f>
        <v>1</v>
      </c>
      <c r="L63" s="50" t="n">
        <f aca="false">F63*K63</f>
        <v>2</v>
      </c>
      <c r="M63" s="11"/>
    </row>
    <row r="64" customFormat="false" ht="15" hidden="false" customHeight="false" outlineLevel="0" collapsed="false">
      <c r="A64" s="10" t="s">
        <v>241</v>
      </c>
      <c r="B64" s="10" t="s">
        <v>36</v>
      </c>
      <c r="C64" s="10" t="s">
        <v>230</v>
      </c>
      <c r="D64" s="11" t="s">
        <v>242</v>
      </c>
      <c r="E64" s="10" t="s">
        <v>27</v>
      </c>
      <c r="F64" s="10" t="n">
        <v>2</v>
      </c>
      <c r="G64" s="10" t="n">
        <v>2</v>
      </c>
      <c r="H64" s="48" t="n">
        <f aca="false">IF($G64=1,INDEX(SprintInicio,MATCH($B64,SprintNombres,0)),INDEX(SprintInicio,MATCH($B64,SprintNombres,0))+8-WEEKDAY(INDEX(SprintInicio,MATCH($B64,SprintNombres,0)),2))</f>
        <v>46300</v>
      </c>
      <c r="I64" s="48" t="n">
        <f aca="false">IF($G64=1,MIN(INDEX(SprintInicio,MATCH($B64,SprintNombres,0))+5-WEEKDAY(INDEX(SprintInicio,MATCH($B64,SprintNombres,0)),2),INDEX(SprintFin,MATCH($B64,SprintNombres,0))),INDEX(SprintFin,MATCH($B64,SprintNombres,0)))</f>
        <v>46304</v>
      </c>
      <c r="J64" s="49" t="s">
        <v>393</v>
      </c>
      <c r="K64" s="12" t="n">
        <f aca="false">IFERROR(VLOOKUP($J64,EstadosAvance,2,FALSE()),0)</f>
        <v>1</v>
      </c>
      <c r="L64" s="50" t="n">
        <f aca="false">F64*K64</f>
        <v>2</v>
      </c>
      <c r="M64" s="11"/>
    </row>
    <row r="65" customFormat="false" ht="23.85" hidden="false" customHeight="false" outlineLevel="0" collapsed="false">
      <c r="A65" s="10" t="s">
        <v>245</v>
      </c>
      <c r="B65" s="10" t="s">
        <v>36</v>
      </c>
      <c r="C65" s="10" t="s">
        <v>243</v>
      </c>
      <c r="D65" s="11" t="s">
        <v>246</v>
      </c>
      <c r="E65" s="10" t="s">
        <v>27</v>
      </c>
      <c r="F65" s="10" t="n">
        <v>2</v>
      </c>
      <c r="G65" s="10" t="n">
        <v>2</v>
      </c>
      <c r="H65" s="48" t="n">
        <f aca="false">IF($G65=1,INDEX(SprintInicio,MATCH($B65,SprintNombres,0)),INDEX(SprintInicio,MATCH($B65,SprintNombres,0))+8-WEEKDAY(INDEX(SprintInicio,MATCH($B65,SprintNombres,0)),2))</f>
        <v>46300</v>
      </c>
      <c r="I65" s="48" t="n">
        <f aca="false">IF($G65=1,MIN(INDEX(SprintInicio,MATCH($B65,SprintNombres,0))+5-WEEKDAY(INDEX(SprintInicio,MATCH($B65,SprintNombres,0)),2),INDEX(SprintFin,MATCH($B65,SprintNombres,0))),INDEX(SprintFin,MATCH($B65,SprintNombres,0)))</f>
        <v>46304</v>
      </c>
      <c r="J65" s="49" t="s">
        <v>393</v>
      </c>
      <c r="K65" s="12" t="n">
        <f aca="false">IFERROR(VLOOKUP($J65,EstadosAvance,2,FALSE()),0)</f>
        <v>1</v>
      </c>
      <c r="L65" s="50" t="n">
        <f aca="false">F65*K65</f>
        <v>2</v>
      </c>
      <c r="M65" s="11"/>
    </row>
    <row r="66" customFormat="false" ht="15" hidden="false" customHeight="false" outlineLevel="0" collapsed="false">
      <c r="A66" s="10" t="s">
        <v>247</v>
      </c>
      <c r="B66" s="10" t="s">
        <v>36</v>
      </c>
      <c r="C66" s="10" t="s">
        <v>243</v>
      </c>
      <c r="D66" s="11" t="s">
        <v>248</v>
      </c>
      <c r="E66" s="10" t="s">
        <v>28</v>
      </c>
      <c r="F66" s="10" t="n">
        <v>2</v>
      </c>
      <c r="G66" s="10" t="n">
        <v>2</v>
      </c>
      <c r="H66" s="48" t="n">
        <f aca="false">IF($G66=1,INDEX(SprintInicio,MATCH($B66,SprintNombres,0)),INDEX(SprintInicio,MATCH($B66,SprintNombres,0))+8-WEEKDAY(INDEX(SprintInicio,MATCH($B66,SprintNombres,0)),2))</f>
        <v>46300</v>
      </c>
      <c r="I66" s="48" t="n">
        <f aca="false">IF($G66=1,MIN(INDEX(SprintInicio,MATCH($B66,SprintNombres,0))+5-WEEKDAY(INDEX(SprintInicio,MATCH($B66,SprintNombres,0)),2),INDEX(SprintFin,MATCH($B66,SprintNombres,0))),INDEX(SprintFin,MATCH($B66,SprintNombres,0)))</f>
        <v>46304</v>
      </c>
      <c r="J66" s="49" t="s">
        <v>393</v>
      </c>
      <c r="K66" s="12" t="n">
        <f aca="false">IFERROR(VLOOKUP($J66,EstadosAvance,2,FALSE()),0)</f>
        <v>1</v>
      </c>
      <c r="L66" s="50" t="n">
        <f aca="false">F66*K66</f>
        <v>2</v>
      </c>
      <c r="M66" s="11"/>
    </row>
    <row r="67" customFormat="false" ht="23.85" hidden="false" customHeight="false" outlineLevel="0" collapsed="false">
      <c r="A67" s="10" t="s">
        <v>249</v>
      </c>
      <c r="B67" s="10" t="s">
        <v>36</v>
      </c>
      <c r="C67" s="10" t="s">
        <v>243</v>
      </c>
      <c r="D67" s="11" t="s">
        <v>250</v>
      </c>
      <c r="E67" s="10" t="s">
        <v>28</v>
      </c>
      <c r="F67" s="10" t="n">
        <v>3</v>
      </c>
      <c r="G67" s="10" t="n">
        <v>2</v>
      </c>
      <c r="H67" s="48" t="n">
        <f aca="false">IF($G67=1,INDEX(SprintInicio,MATCH($B67,SprintNombres,0)),INDEX(SprintInicio,MATCH($B67,SprintNombres,0))+8-WEEKDAY(INDEX(SprintInicio,MATCH($B67,SprintNombres,0)),2))</f>
        <v>46300</v>
      </c>
      <c r="I67" s="48" t="n">
        <f aca="false">IF($G67=1,MIN(INDEX(SprintInicio,MATCH($B67,SprintNombres,0))+5-WEEKDAY(INDEX(SprintInicio,MATCH($B67,SprintNombres,0)),2),INDEX(SprintFin,MATCH($B67,SprintNombres,0))),INDEX(SprintFin,MATCH($B67,SprintNombres,0)))</f>
        <v>46304</v>
      </c>
      <c r="J67" s="49" t="s">
        <v>393</v>
      </c>
      <c r="K67" s="12" t="n">
        <f aca="false">IFERROR(VLOOKUP($J67,EstadosAvance,2,FALSE()),0)</f>
        <v>1</v>
      </c>
      <c r="L67" s="50" t="n">
        <f aca="false">F67*K67</f>
        <v>3</v>
      </c>
      <c r="M67" s="11"/>
    </row>
    <row r="68" customFormat="false" ht="15" hidden="false" customHeight="false" outlineLevel="0" collapsed="false">
      <c r="A68" s="10" t="s">
        <v>251</v>
      </c>
      <c r="B68" s="10" t="s">
        <v>36</v>
      </c>
      <c r="C68" s="10" t="s">
        <v>243</v>
      </c>
      <c r="D68" s="11" t="s">
        <v>252</v>
      </c>
      <c r="E68" s="10" t="s">
        <v>29</v>
      </c>
      <c r="F68" s="10" t="n">
        <v>2</v>
      </c>
      <c r="G68" s="10" t="n">
        <v>2</v>
      </c>
      <c r="H68" s="48" t="n">
        <f aca="false">IF($G68=1,INDEX(SprintInicio,MATCH($B68,SprintNombres,0)),INDEX(SprintInicio,MATCH($B68,SprintNombres,0))+8-WEEKDAY(INDEX(SprintInicio,MATCH($B68,SprintNombres,0)),2))</f>
        <v>46300</v>
      </c>
      <c r="I68" s="48" t="n">
        <f aca="false">IF($G68=1,MIN(INDEX(SprintInicio,MATCH($B68,SprintNombres,0))+5-WEEKDAY(INDEX(SprintInicio,MATCH($B68,SprintNombres,0)),2),INDEX(SprintFin,MATCH($B68,SprintNombres,0))),INDEX(SprintFin,MATCH($B68,SprintNombres,0)))</f>
        <v>46304</v>
      </c>
      <c r="J68" s="49" t="s">
        <v>393</v>
      </c>
      <c r="K68" s="12" t="n">
        <f aca="false">IFERROR(VLOOKUP($J68,EstadosAvance,2,FALSE()),0)</f>
        <v>1</v>
      </c>
      <c r="L68" s="50" t="n">
        <f aca="false">F68*K68</f>
        <v>2</v>
      </c>
      <c r="M68" s="11"/>
    </row>
    <row r="69" customFormat="false" ht="15" hidden="false" customHeight="false" outlineLevel="0" collapsed="false">
      <c r="A69" s="10" t="s">
        <v>253</v>
      </c>
      <c r="B69" s="10" t="s">
        <v>36</v>
      </c>
      <c r="C69" s="10" t="s">
        <v>394</v>
      </c>
      <c r="D69" s="11" t="s">
        <v>254</v>
      </c>
      <c r="E69" s="10" t="s">
        <v>27</v>
      </c>
      <c r="F69" s="10" t="n">
        <v>2</v>
      </c>
      <c r="G69" s="10" t="n">
        <v>2</v>
      </c>
      <c r="H69" s="48" t="n">
        <f aca="false">IF($G69=1,INDEX(SprintInicio,MATCH($B69,SprintNombres,0)),INDEX(SprintInicio,MATCH($B69,SprintNombres,0))+8-WEEKDAY(INDEX(SprintInicio,MATCH($B69,SprintNombres,0)),2))</f>
        <v>46300</v>
      </c>
      <c r="I69" s="48" t="n">
        <f aca="false">IF($G69=1,MIN(INDEX(SprintInicio,MATCH($B69,SprintNombres,0))+5-WEEKDAY(INDEX(SprintInicio,MATCH($B69,SprintNombres,0)),2),INDEX(SprintFin,MATCH($B69,SprintNombres,0))),INDEX(SprintFin,MATCH($B69,SprintNombres,0)))</f>
        <v>46304</v>
      </c>
      <c r="J69" s="49" t="s">
        <v>393</v>
      </c>
      <c r="K69" s="12" t="n">
        <f aca="false">IFERROR(VLOOKUP($J69,EstadosAvance,2,FALSE()),0)</f>
        <v>1</v>
      </c>
      <c r="L69" s="50" t="n">
        <f aca="false">F69*K69</f>
        <v>2</v>
      </c>
      <c r="M69" s="11"/>
    </row>
    <row r="70" customFormat="false" ht="23.85" hidden="false" customHeight="false" outlineLevel="0" collapsed="false">
      <c r="A70" s="10" t="s">
        <v>255</v>
      </c>
      <c r="B70" s="10" t="s">
        <v>36</v>
      </c>
      <c r="C70" s="10" t="s">
        <v>394</v>
      </c>
      <c r="D70" s="11" t="s">
        <v>256</v>
      </c>
      <c r="E70" s="10" t="s">
        <v>29</v>
      </c>
      <c r="F70" s="10" t="n">
        <v>2</v>
      </c>
      <c r="G70" s="10" t="n">
        <v>2</v>
      </c>
      <c r="H70" s="48" t="n">
        <f aca="false">IF($G70=1,INDEX(SprintInicio,MATCH($B70,SprintNombres,0)),INDEX(SprintInicio,MATCH($B70,SprintNombres,0))+8-WEEKDAY(INDEX(SprintInicio,MATCH($B70,SprintNombres,0)),2))</f>
        <v>46300</v>
      </c>
      <c r="I70" s="48" t="n">
        <f aca="false">IF($G70=1,MIN(INDEX(SprintInicio,MATCH($B70,SprintNombres,0))+5-WEEKDAY(INDEX(SprintInicio,MATCH($B70,SprintNombres,0)),2),INDEX(SprintFin,MATCH($B70,SprintNombres,0))),INDEX(SprintFin,MATCH($B70,SprintNombres,0)))</f>
        <v>46304</v>
      </c>
      <c r="J70" s="49" t="s">
        <v>393</v>
      </c>
      <c r="K70" s="12" t="n">
        <f aca="false">IFERROR(VLOOKUP($J70,EstadosAvance,2,FALSE()),0)</f>
        <v>1</v>
      </c>
      <c r="L70" s="50" t="n">
        <f aca="false">F70*K70</f>
        <v>2</v>
      </c>
      <c r="M70" s="11"/>
    </row>
    <row r="71" customFormat="false" ht="15" hidden="false" customHeight="false" outlineLevel="0" collapsed="false">
      <c r="A71" s="10" t="s">
        <v>257</v>
      </c>
      <c r="B71" s="10" t="s">
        <v>36</v>
      </c>
      <c r="C71" s="10" t="s">
        <v>394</v>
      </c>
      <c r="D71" s="11" t="s">
        <v>258</v>
      </c>
      <c r="E71" s="10" t="s">
        <v>28</v>
      </c>
      <c r="F71" s="10" t="n">
        <v>2</v>
      </c>
      <c r="G71" s="10" t="n">
        <v>2</v>
      </c>
      <c r="H71" s="48" t="n">
        <f aca="false">IF($G71=1,INDEX(SprintInicio,MATCH($B71,SprintNombres,0)),INDEX(SprintInicio,MATCH($B71,SprintNombres,0))+8-WEEKDAY(INDEX(SprintInicio,MATCH($B71,SprintNombres,0)),2))</f>
        <v>46300</v>
      </c>
      <c r="I71" s="48" t="n">
        <f aca="false">IF($G71=1,MIN(INDEX(SprintInicio,MATCH($B71,SprintNombres,0))+5-WEEKDAY(INDEX(SprintInicio,MATCH($B71,SprintNombres,0)),2),INDEX(SprintFin,MATCH($B71,SprintNombres,0))),INDEX(SprintFin,MATCH($B71,SprintNombres,0)))</f>
        <v>46304</v>
      </c>
      <c r="J71" s="49" t="s">
        <v>393</v>
      </c>
      <c r="K71" s="12" t="n">
        <f aca="false">IFERROR(VLOOKUP($J71,EstadosAvance,2,FALSE()),0)</f>
        <v>1</v>
      </c>
      <c r="L71" s="50" t="n">
        <f aca="false">F71*K71</f>
        <v>2</v>
      </c>
      <c r="M71" s="11"/>
    </row>
    <row r="72" customFormat="false" ht="15" hidden="false" customHeight="false" outlineLevel="0" collapsed="false">
      <c r="A72" s="10" t="s">
        <v>259</v>
      </c>
      <c r="B72" s="10" t="s">
        <v>36</v>
      </c>
      <c r="C72" s="10" t="s">
        <v>394</v>
      </c>
      <c r="D72" s="11" t="s">
        <v>145</v>
      </c>
      <c r="E72" s="10" t="s">
        <v>27</v>
      </c>
      <c r="F72" s="10" t="n">
        <v>2</v>
      </c>
      <c r="G72" s="10" t="n">
        <v>2</v>
      </c>
      <c r="H72" s="48" t="n">
        <f aca="false">IF($G72=1,INDEX(SprintInicio,MATCH($B72,SprintNombres,0)),INDEX(SprintInicio,MATCH($B72,SprintNombres,0))+8-WEEKDAY(INDEX(SprintInicio,MATCH($B72,SprintNombres,0)),2))</f>
        <v>46300</v>
      </c>
      <c r="I72" s="48" t="n">
        <f aca="false">IF($G72=1,MIN(INDEX(SprintInicio,MATCH($B72,SprintNombres,0))+5-WEEKDAY(INDEX(SprintInicio,MATCH($B72,SprintNombres,0)),2),INDEX(SprintFin,MATCH($B72,SprintNombres,0))),INDEX(SprintFin,MATCH($B72,SprintNombres,0)))</f>
        <v>46304</v>
      </c>
      <c r="J72" s="49" t="s">
        <v>393</v>
      </c>
      <c r="K72" s="12" t="n">
        <f aca="false">IFERROR(VLOOKUP($J72,EstadosAvance,2,FALSE()),0)</f>
        <v>1</v>
      </c>
      <c r="L72" s="50" t="n">
        <f aca="false">F72*K72</f>
        <v>2</v>
      </c>
      <c r="M72" s="11"/>
    </row>
    <row r="73" customFormat="false" ht="15" hidden="false" customHeight="false" outlineLevel="0" collapsed="false">
      <c r="A73" s="10" t="s">
        <v>264</v>
      </c>
      <c r="B73" s="10" t="s">
        <v>41</v>
      </c>
      <c r="C73" s="10" t="s">
        <v>262</v>
      </c>
      <c r="D73" s="11" t="s">
        <v>265</v>
      </c>
      <c r="E73" s="10" t="s">
        <v>28</v>
      </c>
      <c r="F73" s="10" t="n">
        <v>3</v>
      </c>
      <c r="G73" s="10" t="n">
        <v>1</v>
      </c>
      <c r="H73" s="48" t="n">
        <f aca="false">IF($G73=1,INDEX(SprintInicio,MATCH($B73,SprintNombres,0)),INDEX(SprintInicio,MATCH($B73,SprintNombres,0))+8-WEEKDAY(INDEX(SprintInicio,MATCH($B73,SprintNombres,0)),2))</f>
        <v>46308</v>
      </c>
      <c r="I73" s="48" t="n">
        <f aca="false">IF($G73=1,MIN(INDEX(SprintInicio,MATCH($B73,SprintNombres,0))+5-WEEKDAY(INDEX(SprintInicio,MATCH($B73,SprintNombres,0)),2),INDEX(SprintFin,MATCH($B73,SprintNombres,0))),INDEX(SprintFin,MATCH($B73,SprintNombres,0)))</f>
        <v>46311</v>
      </c>
      <c r="J73" s="49" t="s">
        <v>395</v>
      </c>
      <c r="K73" s="12" t="n">
        <f aca="false">IFERROR(VLOOKUP($J73,EstadosAvance,2,FALSE()),0)</f>
        <v>0</v>
      </c>
      <c r="L73" s="50" t="n">
        <f aca="false">F73*K73</f>
        <v>0</v>
      </c>
      <c r="M73" s="11"/>
    </row>
    <row r="74" customFormat="false" ht="23.85" hidden="false" customHeight="false" outlineLevel="0" collapsed="false">
      <c r="A74" s="10" t="s">
        <v>266</v>
      </c>
      <c r="B74" s="10" t="s">
        <v>41</v>
      </c>
      <c r="C74" s="10" t="s">
        <v>262</v>
      </c>
      <c r="D74" s="11" t="s">
        <v>267</v>
      </c>
      <c r="E74" s="10" t="s">
        <v>29</v>
      </c>
      <c r="F74" s="10" t="n">
        <v>3</v>
      </c>
      <c r="G74" s="10" t="n">
        <v>1</v>
      </c>
      <c r="H74" s="48" t="n">
        <f aca="false">IF($G74=1,INDEX(SprintInicio,MATCH($B74,SprintNombres,0)),INDEX(SprintInicio,MATCH($B74,SprintNombres,0))+8-WEEKDAY(INDEX(SprintInicio,MATCH($B74,SprintNombres,0)),2))</f>
        <v>46308</v>
      </c>
      <c r="I74" s="48" t="n">
        <f aca="false">IF($G74=1,MIN(INDEX(SprintInicio,MATCH($B74,SprintNombres,0))+5-WEEKDAY(INDEX(SprintInicio,MATCH($B74,SprintNombres,0)),2),INDEX(SprintFin,MATCH($B74,SprintNombres,0))),INDEX(SprintFin,MATCH($B74,SprintNombres,0)))</f>
        <v>46311</v>
      </c>
      <c r="J74" s="49" t="s">
        <v>395</v>
      </c>
      <c r="K74" s="12" t="n">
        <f aca="false">IFERROR(VLOOKUP($J74,EstadosAvance,2,FALSE()),0)</f>
        <v>0</v>
      </c>
      <c r="L74" s="50" t="n">
        <f aca="false">F74*K74</f>
        <v>0</v>
      </c>
      <c r="M74" s="11"/>
    </row>
    <row r="75" customFormat="false" ht="15" hidden="false" customHeight="false" outlineLevel="0" collapsed="false">
      <c r="A75" s="10" t="s">
        <v>268</v>
      </c>
      <c r="B75" s="10" t="s">
        <v>41</v>
      </c>
      <c r="C75" s="10" t="s">
        <v>262</v>
      </c>
      <c r="D75" s="11" t="s">
        <v>269</v>
      </c>
      <c r="E75" s="10" t="s">
        <v>29</v>
      </c>
      <c r="F75" s="10" t="n">
        <v>2</v>
      </c>
      <c r="G75" s="10" t="n">
        <v>1</v>
      </c>
      <c r="H75" s="48" t="n">
        <f aca="false">IF($G75=1,INDEX(SprintInicio,MATCH($B75,SprintNombres,0)),INDEX(SprintInicio,MATCH($B75,SprintNombres,0))+8-WEEKDAY(INDEX(SprintInicio,MATCH($B75,SprintNombres,0)),2))</f>
        <v>46308</v>
      </c>
      <c r="I75" s="48" t="n">
        <f aca="false">IF($G75=1,MIN(INDEX(SprintInicio,MATCH($B75,SprintNombres,0))+5-WEEKDAY(INDEX(SprintInicio,MATCH($B75,SprintNombres,0)),2),INDEX(SprintFin,MATCH($B75,SprintNombres,0))),INDEX(SprintFin,MATCH($B75,SprintNombres,0)))</f>
        <v>46311</v>
      </c>
      <c r="J75" s="49" t="s">
        <v>395</v>
      </c>
      <c r="K75" s="12" t="n">
        <f aca="false">IFERROR(VLOOKUP($J75,EstadosAvance,2,FALSE()),0)</f>
        <v>0</v>
      </c>
      <c r="L75" s="50" t="n">
        <f aca="false">F75*K75</f>
        <v>0</v>
      </c>
      <c r="M75" s="11"/>
    </row>
    <row r="76" customFormat="false" ht="15" hidden="false" customHeight="false" outlineLevel="0" collapsed="false">
      <c r="A76" s="10" t="s">
        <v>270</v>
      </c>
      <c r="B76" s="10" t="s">
        <v>41</v>
      </c>
      <c r="C76" s="10" t="s">
        <v>262</v>
      </c>
      <c r="D76" s="11" t="s">
        <v>271</v>
      </c>
      <c r="E76" s="10" t="s">
        <v>27</v>
      </c>
      <c r="F76" s="10" t="n">
        <v>2</v>
      </c>
      <c r="G76" s="10" t="n">
        <v>1</v>
      </c>
      <c r="H76" s="48" t="n">
        <f aca="false">IF($G76=1,INDEX(SprintInicio,MATCH($B76,SprintNombres,0)),INDEX(SprintInicio,MATCH($B76,SprintNombres,0))+8-WEEKDAY(INDEX(SprintInicio,MATCH($B76,SprintNombres,0)),2))</f>
        <v>46308</v>
      </c>
      <c r="I76" s="48" t="n">
        <f aca="false">IF($G76=1,MIN(INDEX(SprintInicio,MATCH($B76,SprintNombres,0))+5-WEEKDAY(INDEX(SprintInicio,MATCH($B76,SprintNombres,0)),2),INDEX(SprintFin,MATCH($B76,SprintNombres,0))),INDEX(SprintFin,MATCH($B76,SprintNombres,0)))</f>
        <v>46311</v>
      </c>
      <c r="J76" s="49" t="s">
        <v>395</v>
      </c>
      <c r="K76" s="12" t="n">
        <f aca="false">IFERROR(VLOOKUP($J76,EstadosAvance,2,FALSE()),0)</f>
        <v>0</v>
      </c>
      <c r="L76" s="50" t="n">
        <f aca="false">F76*K76</f>
        <v>0</v>
      </c>
      <c r="M76" s="11"/>
    </row>
    <row r="77" customFormat="false" ht="15" hidden="false" customHeight="false" outlineLevel="0" collapsed="false">
      <c r="A77" s="10" t="s">
        <v>274</v>
      </c>
      <c r="B77" s="10" t="s">
        <v>41</v>
      </c>
      <c r="C77" s="10" t="s">
        <v>272</v>
      </c>
      <c r="D77" s="11" t="s">
        <v>275</v>
      </c>
      <c r="E77" s="10" t="s">
        <v>29</v>
      </c>
      <c r="F77" s="10" t="n">
        <v>5</v>
      </c>
      <c r="G77" s="10" t="n">
        <v>1</v>
      </c>
      <c r="H77" s="48" t="n">
        <f aca="false">IF($G77=1,INDEX(SprintInicio,MATCH($B77,SprintNombres,0)),INDEX(SprintInicio,MATCH($B77,SprintNombres,0))+8-WEEKDAY(INDEX(SprintInicio,MATCH($B77,SprintNombres,0)),2))</f>
        <v>46308</v>
      </c>
      <c r="I77" s="48" t="n">
        <f aca="false">IF($G77=1,MIN(INDEX(SprintInicio,MATCH($B77,SprintNombres,0))+5-WEEKDAY(INDEX(SprintInicio,MATCH($B77,SprintNombres,0)),2),INDEX(SprintFin,MATCH($B77,SprintNombres,0))),INDEX(SprintFin,MATCH($B77,SprintNombres,0)))</f>
        <v>46311</v>
      </c>
      <c r="J77" s="49" t="s">
        <v>395</v>
      </c>
      <c r="K77" s="12" t="n">
        <f aca="false">IFERROR(VLOOKUP($J77,EstadosAvance,2,FALSE()),0)</f>
        <v>0</v>
      </c>
      <c r="L77" s="50" t="n">
        <f aca="false">F77*K77</f>
        <v>0</v>
      </c>
      <c r="M77" s="11"/>
    </row>
    <row r="78" customFormat="false" ht="15" hidden="false" customHeight="false" outlineLevel="0" collapsed="false">
      <c r="A78" s="10" t="s">
        <v>276</v>
      </c>
      <c r="B78" s="10" t="s">
        <v>41</v>
      </c>
      <c r="C78" s="10" t="s">
        <v>272</v>
      </c>
      <c r="D78" s="11" t="s">
        <v>277</v>
      </c>
      <c r="E78" s="10" t="s">
        <v>27</v>
      </c>
      <c r="F78" s="10" t="n">
        <v>2</v>
      </c>
      <c r="G78" s="10" t="n">
        <v>1</v>
      </c>
      <c r="H78" s="48" t="n">
        <f aca="false">IF($G78=1,INDEX(SprintInicio,MATCH($B78,SprintNombres,0)),INDEX(SprintInicio,MATCH($B78,SprintNombres,0))+8-WEEKDAY(INDEX(SprintInicio,MATCH($B78,SprintNombres,0)),2))</f>
        <v>46308</v>
      </c>
      <c r="I78" s="48" t="n">
        <f aca="false">IF($G78=1,MIN(INDEX(SprintInicio,MATCH($B78,SprintNombres,0))+5-WEEKDAY(INDEX(SprintInicio,MATCH($B78,SprintNombres,0)),2),INDEX(SprintFin,MATCH($B78,SprintNombres,0))),INDEX(SprintFin,MATCH($B78,SprintNombres,0)))</f>
        <v>46311</v>
      </c>
      <c r="J78" s="49" t="s">
        <v>395</v>
      </c>
      <c r="K78" s="12" t="n">
        <f aca="false">IFERROR(VLOOKUP($J78,EstadosAvance,2,FALSE()),0)</f>
        <v>0</v>
      </c>
      <c r="L78" s="50" t="n">
        <f aca="false">F78*K78</f>
        <v>0</v>
      </c>
      <c r="M78" s="11"/>
    </row>
    <row r="79" customFormat="false" ht="15" hidden="false" customHeight="false" outlineLevel="0" collapsed="false">
      <c r="A79" s="10" t="s">
        <v>278</v>
      </c>
      <c r="B79" s="10" t="s">
        <v>41</v>
      </c>
      <c r="C79" s="10" t="s">
        <v>272</v>
      </c>
      <c r="D79" s="11" t="s">
        <v>279</v>
      </c>
      <c r="E79" s="10" t="s">
        <v>27</v>
      </c>
      <c r="F79" s="10" t="n">
        <v>2</v>
      </c>
      <c r="G79" s="10" t="n">
        <v>1</v>
      </c>
      <c r="H79" s="48" t="n">
        <f aca="false">IF($G79=1,INDEX(SprintInicio,MATCH($B79,SprintNombres,0)),INDEX(SprintInicio,MATCH($B79,SprintNombres,0))+8-WEEKDAY(INDEX(SprintInicio,MATCH($B79,SprintNombres,0)),2))</f>
        <v>46308</v>
      </c>
      <c r="I79" s="48" t="n">
        <f aca="false">IF($G79=1,MIN(INDEX(SprintInicio,MATCH($B79,SprintNombres,0))+5-WEEKDAY(INDEX(SprintInicio,MATCH($B79,SprintNombres,0)),2),INDEX(SprintFin,MATCH($B79,SprintNombres,0))),INDEX(SprintFin,MATCH($B79,SprintNombres,0)))</f>
        <v>46311</v>
      </c>
      <c r="J79" s="49" t="s">
        <v>395</v>
      </c>
      <c r="K79" s="12" t="n">
        <f aca="false">IFERROR(VLOOKUP($J79,EstadosAvance,2,FALSE()),0)</f>
        <v>0</v>
      </c>
      <c r="L79" s="50" t="n">
        <f aca="false">F79*K79</f>
        <v>0</v>
      </c>
      <c r="M79" s="11"/>
    </row>
    <row r="80" customFormat="false" ht="15" hidden="false" customHeight="false" outlineLevel="0" collapsed="false">
      <c r="A80" s="10" t="s">
        <v>280</v>
      </c>
      <c r="B80" s="10" t="s">
        <v>41</v>
      </c>
      <c r="C80" s="10" t="s">
        <v>272</v>
      </c>
      <c r="D80" s="11" t="s">
        <v>281</v>
      </c>
      <c r="E80" s="10" t="s">
        <v>29</v>
      </c>
      <c r="F80" s="10" t="n">
        <v>2</v>
      </c>
      <c r="G80" s="10" t="n">
        <v>1</v>
      </c>
      <c r="H80" s="48" t="n">
        <f aca="false">IF($G80=1,INDEX(SprintInicio,MATCH($B80,SprintNombres,0)),INDEX(SprintInicio,MATCH($B80,SprintNombres,0))+8-WEEKDAY(INDEX(SprintInicio,MATCH($B80,SprintNombres,0)),2))</f>
        <v>46308</v>
      </c>
      <c r="I80" s="48" t="n">
        <f aca="false">IF($G80=1,MIN(INDEX(SprintInicio,MATCH($B80,SprintNombres,0))+5-WEEKDAY(INDEX(SprintInicio,MATCH($B80,SprintNombres,0)),2),INDEX(SprintFin,MATCH($B80,SprintNombres,0))),INDEX(SprintFin,MATCH($B80,SprintNombres,0)))</f>
        <v>46311</v>
      </c>
      <c r="J80" s="49" t="s">
        <v>395</v>
      </c>
      <c r="K80" s="12" t="n">
        <f aca="false">IFERROR(VLOOKUP($J80,EstadosAvance,2,FALSE()),0)</f>
        <v>0</v>
      </c>
      <c r="L80" s="50" t="n">
        <f aca="false">F80*K80</f>
        <v>0</v>
      </c>
      <c r="M80" s="11"/>
    </row>
    <row r="81" customFormat="false" ht="15" hidden="false" customHeight="false" outlineLevel="0" collapsed="false">
      <c r="A81" s="10" t="s">
        <v>282</v>
      </c>
      <c r="B81" s="10" t="s">
        <v>41</v>
      </c>
      <c r="C81" s="10" t="s">
        <v>272</v>
      </c>
      <c r="D81" s="11" t="s">
        <v>283</v>
      </c>
      <c r="E81" s="10" t="s">
        <v>28</v>
      </c>
      <c r="F81" s="10" t="n">
        <v>2</v>
      </c>
      <c r="G81" s="10" t="n">
        <v>1</v>
      </c>
      <c r="H81" s="48" t="n">
        <f aca="false">IF($G81=1,INDEX(SprintInicio,MATCH($B81,SprintNombres,0)),INDEX(SprintInicio,MATCH($B81,SprintNombres,0))+8-WEEKDAY(INDEX(SprintInicio,MATCH($B81,SprintNombres,0)),2))</f>
        <v>46308</v>
      </c>
      <c r="I81" s="48" t="n">
        <f aca="false">IF($G81=1,MIN(INDEX(SprintInicio,MATCH($B81,SprintNombres,0))+5-WEEKDAY(INDEX(SprintInicio,MATCH($B81,SprintNombres,0)),2),INDEX(SprintFin,MATCH($B81,SprintNombres,0))),INDEX(SprintFin,MATCH($B81,SprintNombres,0)))</f>
        <v>46311</v>
      </c>
      <c r="J81" s="49" t="s">
        <v>395</v>
      </c>
      <c r="K81" s="12" t="n">
        <f aca="false">IFERROR(VLOOKUP($J81,EstadosAvance,2,FALSE()),0)</f>
        <v>0</v>
      </c>
      <c r="L81" s="50" t="n">
        <f aca="false">F81*K81</f>
        <v>0</v>
      </c>
      <c r="M81" s="11"/>
    </row>
    <row r="82" customFormat="false" ht="23.85" hidden="false" customHeight="false" outlineLevel="0" collapsed="false">
      <c r="A82" s="10" t="s">
        <v>286</v>
      </c>
      <c r="B82" s="10" t="s">
        <v>41</v>
      </c>
      <c r="C82" s="10" t="s">
        <v>284</v>
      </c>
      <c r="D82" s="11" t="s">
        <v>287</v>
      </c>
      <c r="E82" s="10" t="s">
        <v>27</v>
      </c>
      <c r="F82" s="10" t="n">
        <v>3</v>
      </c>
      <c r="G82" s="10" t="n">
        <v>2</v>
      </c>
      <c r="H82" s="48" t="n">
        <f aca="false">IF($G82=1,INDEX(SprintInicio,MATCH($B82,SprintNombres,0)),INDEX(SprintInicio,MATCH($B82,SprintNombres,0))+8-WEEKDAY(INDEX(SprintInicio,MATCH($B82,SprintNombres,0)),2))</f>
        <v>46314</v>
      </c>
      <c r="I82" s="48" t="n">
        <f aca="false">IF($G82=1,MIN(INDEX(SprintInicio,MATCH($B82,SprintNombres,0))+5-WEEKDAY(INDEX(SprintInicio,MATCH($B82,SprintNombres,0)),2),INDEX(SprintFin,MATCH($B82,SprintNombres,0))),INDEX(SprintFin,MATCH($B82,SprintNombres,0)))</f>
        <v>46318</v>
      </c>
      <c r="J82" s="49" t="s">
        <v>395</v>
      </c>
      <c r="K82" s="12" t="n">
        <f aca="false">IFERROR(VLOOKUP($J82,EstadosAvance,2,FALSE()),0)</f>
        <v>0</v>
      </c>
      <c r="L82" s="50" t="n">
        <f aca="false">F82*K82</f>
        <v>0</v>
      </c>
      <c r="M82" s="11"/>
    </row>
    <row r="83" customFormat="false" ht="15" hidden="false" customHeight="false" outlineLevel="0" collapsed="false">
      <c r="A83" s="10" t="s">
        <v>288</v>
      </c>
      <c r="B83" s="10" t="s">
        <v>41</v>
      </c>
      <c r="C83" s="10" t="s">
        <v>284</v>
      </c>
      <c r="D83" s="11" t="s">
        <v>289</v>
      </c>
      <c r="E83" s="10" t="s">
        <v>28</v>
      </c>
      <c r="F83" s="10" t="n">
        <v>2</v>
      </c>
      <c r="G83" s="10" t="n">
        <v>2</v>
      </c>
      <c r="H83" s="48" t="n">
        <f aca="false">IF($G83=1,INDEX(SprintInicio,MATCH($B83,SprintNombres,0)),INDEX(SprintInicio,MATCH($B83,SprintNombres,0))+8-WEEKDAY(INDEX(SprintInicio,MATCH($B83,SprintNombres,0)),2))</f>
        <v>46314</v>
      </c>
      <c r="I83" s="48" t="n">
        <f aca="false">IF($G83=1,MIN(INDEX(SprintInicio,MATCH($B83,SprintNombres,0))+5-WEEKDAY(INDEX(SprintInicio,MATCH($B83,SprintNombres,0)),2),INDEX(SprintFin,MATCH($B83,SprintNombres,0))),INDEX(SprintFin,MATCH($B83,SprintNombres,0)))</f>
        <v>46318</v>
      </c>
      <c r="J83" s="49" t="s">
        <v>395</v>
      </c>
      <c r="K83" s="12" t="n">
        <f aca="false">IFERROR(VLOOKUP($J83,EstadosAvance,2,FALSE()),0)</f>
        <v>0</v>
      </c>
      <c r="L83" s="50" t="n">
        <f aca="false">F83*K83</f>
        <v>0</v>
      </c>
      <c r="M83" s="11"/>
    </row>
    <row r="84" customFormat="false" ht="15" hidden="false" customHeight="false" outlineLevel="0" collapsed="false">
      <c r="A84" s="10" t="s">
        <v>290</v>
      </c>
      <c r="B84" s="10" t="s">
        <v>41</v>
      </c>
      <c r="C84" s="10" t="s">
        <v>284</v>
      </c>
      <c r="D84" s="11" t="s">
        <v>291</v>
      </c>
      <c r="E84" s="10" t="s">
        <v>29</v>
      </c>
      <c r="F84" s="10" t="n">
        <v>4</v>
      </c>
      <c r="G84" s="10" t="n">
        <v>2</v>
      </c>
      <c r="H84" s="48" t="n">
        <f aca="false">IF($G84=1,INDEX(SprintInicio,MATCH($B84,SprintNombres,0)),INDEX(SprintInicio,MATCH($B84,SprintNombres,0))+8-WEEKDAY(INDEX(SprintInicio,MATCH($B84,SprintNombres,0)),2))</f>
        <v>46314</v>
      </c>
      <c r="I84" s="48" t="n">
        <f aca="false">IF($G84=1,MIN(INDEX(SprintInicio,MATCH($B84,SprintNombres,0))+5-WEEKDAY(INDEX(SprintInicio,MATCH($B84,SprintNombres,0)),2),INDEX(SprintFin,MATCH($B84,SprintNombres,0))),INDEX(SprintFin,MATCH($B84,SprintNombres,0)))</f>
        <v>46318</v>
      </c>
      <c r="J84" s="49" t="s">
        <v>395</v>
      </c>
      <c r="K84" s="12" t="n">
        <f aca="false">IFERROR(VLOOKUP($J84,EstadosAvance,2,FALSE()),0)</f>
        <v>0</v>
      </c>
      <c r="L84" s="50" t="n">
        <f aca="false">F84*K84</f>
        <v>0</v>
      </c>
      <c r="M84" s="11"/>
    </row>
    <row r="85" customFormat="false" ht="15" hidden="false" customHeight="false" outlineLevel="0" collapsed="false">
      <c r="A85" s="10" t="s">
        <v>292</v>
      </c>
      <c r="B85" s="10" t="s">
        <v>41</v>
      </c>
      <c r="C85" s="10" t="s">
        <v>284</v>
      </c>
      <c r="D85" s="11" t="s">
        <v>293</v>
      </c>
      <c r="E85" s="10" t="s">
        <v>27</v>
      </c>
      <c r="F85" s="10" t="n">
        <v>2</v>
      </c>
      <c r="G85" s="10" t="n">
        <v>2</v>
      </c>
      <c r="H85" s="48" t="n">
        <f aca="false">IF($G85=1,INDEX(SprintInicio,MATCH($B85,SprintNombres,0)),INDEX(SprintInicio,MATCH($B85,SprintNombres,0))+8-WEEKDAY(INDEX(SprintInicio,MATCH($B85,SprintNombres,0)),2))</f>
        <v>46314</v>
      </c>
      <c r="I85" s="48" t="n">
        <f aca="false">IF($G85=1,MIN(INDEX(SprintInicio,MATCH($B85,SprintNombres,0))+5-WEEKDAY(INDEX(SprintInicio,MATCH($B85,SprintNombres,0)),2),INDEX(SprintFin,MATCH($B85,SprintNombres,0))),INDEX(SprintFin,MATCH($B85,SprintNombres,0)))</f>
        <v>46318</v>
      </c>
      <c r="J85" s="49" t="s">
        <v>395</v>
      </c>
      <c r="K85" s="12" t="n">
        <f aca="false">IFERROR(VLOOKUP($J85,EstadosAvance,2,FALSE()),0)</f>
        <v>0</v>
      </c>
      <c r="L85" s="50" t="n">
        <f aca="false">F85*K85</f>
        <v>0</v>
      </c>
      <c r="M85" s="11"/>
    </row>
    <row r="86" customFormat="false" ht="15" hidden="false" customHeight="false" outlineLevel="0" collapsed="false">
      <c r="A86" s="10" t="s">
        <v>294</v>
      </c>
      <c r="B86" s="10" t="s">
        <v>41</v>
      </c>
      <c r="C86" s="10" t="s">
        <v>284</v>
      </c>
      <c r="D86" s="11" t="s">
        <v>295</v>
      </c>
      <c r="E86" s="10" t="s">
        <v>28</v>
      </c>
      <c r="F86" s="10" t="n">
        <v>2</v>
      </c>
      <c r="G86" s="10" t="n">
        <v>2</v>
      </c>
      <c r="H86" s="48" t="n">
        <f aca="false">IF($G86=1,INDEX(SprintInicio,MATCH($B86,SprintNombres,0)),INDEX(SprintInicio,MATCH($B86,SprintNombres,0))+8-WEEKDAY(INDEX(SprintInicio,MATCH($B86,SprintNombres,0)),2))</f>
        <v>46314</v>
      </c>
      <c r="I86" s="48" t="n">
        <f aca="false">IF($G86=1,MIN(INDEX(SprintInicio,MATCH($B86,SprintNombres,0))+5-WEEKDAY(INDEX(SprintInicio,MATCH($B86,SprintNombres,0)),2),INDEX(SprintFin,MATCH($B86,SprintNombres,0))),INDEX(SprintFin,MATCH($B86,SprintNombres,0)))</f>
        <v>46318</v>
      </c>
      <c r="J86" s="49" t="s">
        <v>395</v>
      </c>
      <c r="K86" s="12" t="n">
        <f aca="false">IFERROR(VLOOKUP($J86,EstadosAvance,2,FALSE()),0)</f>
        <v>0</v>
      </c>
      <c r="L86" s="50" t="n">
        <f aca="false">F86*K86</f>
        <v>0</v>
      </c>
      <c r="M86" s="11"/>
    </row>
    <row r="87" customFormat="false" ht="15" hidden="false" customHeight="false" outlineLevel="0" collapsed="false">
      <c r="A87" s="10" t="s">
        <v>298</v>
      </c>
      <c r="B87" s="10" t="s">
        <v>41</v>
      </c>
      <c r="C87" s="10" t="s">
        <v>296</v>
      </c>
      <c r="D87" s="11" t="s">
        <v>299</v>
      </c>
      <c r="E87" s="10" t="s">
        <v>27</v>
      </c>
      <c r="F87" s="10" t="n">
        <v>3</v>
      </c>
      <c r="G87" s="10" t="n">
        <v>2</v>
      </c>
      <c r="H87" s="48" t="n">
        <f aca="false">IF($G87=1,INDEX(SprintInicio,MATCH($B87,SprintNombres,0)),INDEX(SprintInicio,MATCH($B87,SprintNombres,0))+8-WEEKDAY(INDEX(SprintInicio,MATCH($B87,SprintNombres,0)),2))</f>
        <v>46314</v>
      </c>
      <c r="I87" s="48" t="n">
        <f aca="false">IF($G87=1,MIN(INDEX(SprintInicio,MATCH($B87,SprintNombres,0))+5-WEEKDAY(INDEX(SprintInicio,MATCH($B87,SprintNombres,0)),2),INDEX(SprintFin,MATCH($B87,SprintNombres,0))),INDEX(SprintFin,MATCH($B87,SprintNombres,0)))</f>
        <v>46318</v>
      </c>
      <c r="J87" s="49" t="s">
        <v>395</v>
      </c>
      <c r="K87" s="12" t="n">
        <f aca="false">IFERROR(VLOOKUP($J87,EstadosAvance,2,FALSE()),0)</f>
        <v>0</v>
      </c>
      <c r="L87" s="50" t="n">
        <f aca="false">F87*K87</f>
        <v>0</v>
      </c>
      <c r="M87" s="11"/>
    </row>
    <row r="88" customFormat="false" ht="15" hidden="false" customHeight="false" outlineLevel="0" collapsed="false">
      <c r="A88" s="10" t="s">
        <v>300</v>
      </c>
      <c r="B88" s="10" t="s">
        <v>41</v>
      </c>
      <c r="C88" s="10" t="s">
        <v>296</v>
      </c>
      <c r="D88" s="11" t="s">
        <v>301</v>
      </c>
      <c r="E88" s="10" t="s">
        <v>28</v>
      </c>
      <c r="F88" s="10" t="n">
        <v>3</v>
      </c>
      <c r="G88" s="10" t="n">
        <v>2</v>
      </c>
      <c r="H88" s="48" t="n">
        <f aca="false">IF($G88=1,INDEX(SprintInicio,MATCH($B88,SprintNombres,0)),INDEX(SprintInicio,MATCH($B88,SprintNombres,0))+8-WEEKDAY(INDEX(SprintInicio,MATCH($B88,SprintNombres,0)),2))</f>
        <v>46314</v>
      </c>
      <c r="I88" s="48" t="n">
        <f aca="false">IF($G88=1,MIN(INDEX(SprintInicio,MATCH($B88,SprintNombres,0))+5-WEEKDAY(INDEX(SprintInicio,MATCH($B88,SprintNombres,0)),2),INDEX(SprintFin,MATCH($B88,SprintNombres,0))),INDEX(SprintFin,MATCH($B88,SprintNombres,0)))</f>
        <v>46318</v>
      </c>
      <c r="J88" s="49" t="s">
        <v>395</v>
      </c>
      <c r="K88" s="12" t="n">
        <f aca="false">IFERROR(VLOOKUP($J88,EstadosAvance,2,FALSE()),0)</f>
        <v>0</v>
      </c>
      <c r="L88" s="50" t="n">
        <f aca="false">F88*K88</f>
        <v>0</v>
      </c>
      <c r="M88" s="11"/>
    </row>
    <row r="89" customFormat="false" ht="15" hidden="false" customHeight="false" outlineLevel="0" collapsed="false">
      <c r="A89" s="10" t="s">
        <v>302</v>
      </c>
      <c r="B89" s="10" t="s">
        <v>41</v>
      </c>
      <c r="C89" s="10" t="s">
        <v>296</v>
      </c>
      <c r="D89" s="11" t="s">
        <v>303</v>
      </c>
      <c r="E89" s="10" t="s">
        <v>29</v>
      </c>
      <c r="F89" s="10" t="n">
        <v>3</v>
      </c>
      <c r="G89" s="10" t="n">
        <v>2</v>
      </c>
      <c r="H89" s="48" t="n">
        <f aca="false">IF($G89=1,INDEX(SprintInicio,MATCH($B89,SprintNombres,0)),INDEX(SprintInicio,MATCH($B89,SprintNombres,0))+8-WEEKDAY(INDEX(SprintInicio,MATCH($B89,SprintNombres,0)),2))</f>
        <v>46314</v>
      </c>
      <c r="I89" s="48" t="n">
        <f aca="false">IF($G89=1,MIN(INDEX(SprintInicio,MATCH($B89,SprintNombres,0))+5-WEEKDAY(INDEX(SprintInicio,MATCH($B89,SprintNombres,0)),2),INDEX(SprintFin,MATCH($B89,SprintNombres,0))),INDEX(SprintFin,MATCH($B89,SprintNombres,0)))</f>
        <v>46318</v>
      </c>
      <c r="J89" s="49" t="s">
        <v>395</v>
      </c>
      <c r="K89" s="12" t="n">
        <f aca="false">IFERROR(VLOOKUP($J89,EstadosAvance,2,FALSE()),0)</f>
        <v>0</v>
      </c>
      <c r="L89" s="50" t="n">
        <f aca="false">F89*K89</f>
        <v>0</v>
      </c>
      <c r="M89" s="11"/>
    </row>
    <row r="90" customFormat="false" ht="15" hidden="false" customHeight="false" outlineLevel="0" collapsed="false">
      <c r="A90" s="10" t="s">
        <v>304</v>
      </c>
      <c r="B90" s="10" t="s">
        <v>41</v>
      </c>
      <c r="C90" s="10" t="s">
        <v>296</v>
      </c>
      <c r="D90" s="11" t="s">
        <v>305</v>
      </c>
      <c r="E90" s="10" t="s">
        <v>28</v>
      </c>
      <c r="F90" s="10" t="n">
        <v>2</v>
      </c>
      <c r="G90" s="10" t="n">
        <v>2</v>
      </c>
      <c r="H90" s="48" t="n">
        <f aca="false">IF($G90=1,INDEX(SprintInicio,MATCH($B90,SprintNombres,0)),INDEX(SprintInicio,MATCH($B90,SprintNombres,0))+8-WEEKDAY(INDEX(SprintInicio,MATCH($B90,SprintNombres,0)),2))</f>
        <v>46314</v>
      </c>
      <c r="I90" s="48" t="n">
        <f aca="false">IF($G90=1,MIN(INDEX(SprintInicio,MATCH($B90,SprintNombres,0))+5-WEEKDAY(INDEX(SprintInicio,MATCH($B90,SprintNombres,0)),2),INDEX(SprintFin,MATCH($B90,SprintNombres,0))),INDEX(SprintFin,MATCH($B90,SprintNombres,0)))</f>
        <v>46318</v>
      </c>
      <c r="J90" s="49" t="s">
        <v>395</v>
      </c>
      <c r="K90" s="12" t="n">
        <f aca="false">IFERROR(VLOOKUP($J90,EstadosAvance,2,FALSE()),0)</f>
        <v>0</v>
      </c>
      <c r="L90" s="50" t="n">
        <f aca="false">F90*K90</f>
        <v>0</v>
      </c>
      <c r="M90" s="11"/>
    </row>
    <row r="91" customFormat="false" ht="15" hidden="false" customHeight="false" outlineLevel="0" collapsed="false">
      <c r="A91" s="10" t="s">
        <v>306</v>
      </c>
      <c r="B91" s="10" t="s">
        <v>41</v>
      </c>
      <c r="C91" s="10" t="s">
        <v>296</v>
      </c>
      <c r="D91" s="11" t="s">
        <v>307</v>
      </c>
      <c r="E91" s="10" t="s">
        <v>27</v>
      </c>
      <c r="F91" s="10" t="n">
        <v>2</v>
      </c>
      <c r="G91" s="10" t="n">
        <v>2</v>
      </c>
      <c r="H91" s="48" t="n">
        <f aca="false">IF($G91=1,INDEX(SprintInicio,MATCH($B91,SprintNombres,0)),INDEX(SprintInicio,MATCH($B91,SprintNombres,0))+8-WEEKDAY(INDEX(SprintInicio,MATCH($B91,SprintNombres,0)),2))</f>
        <v>46314</v>
      </c>
      <c r="I91" s="48" t="n">
        <f aca="false">IF($G91=1,MIN(INDEX(SprintInicio,MATCH($B91,SprintNombres,0))+5-WEEKDAY(INDEX(SprintInicio,MATCH($B91,SprintNombres,0)),2),INDEX(SprintFin,MATCH($B91,SprintNombres,0))),INDEX(SprintFin,MATCH($B91,SprintNombres,0)))</f>
        <v>46318</v>
      </c>
      <c r="J91" s="49" t="s">
        <v>395</v>
      </c>
      <c r="K91" s="12" t="n">
        <f aca="false">IFERROR(VLOOKUP($J91,EstadosAvance,2,FALSE()),0)</f>
        <v>0</v>
      </c>
      <c r="L91" s="50" t="n">
        <f aca="false">F91*K91</f>
        <v>0</v>
      </c>
      <c r="M91" s="11"/>
    </row>
    <row r="92" customFormat="false" ht="23.85" hidden="false" customHeight="false" outlineLevel="0" collapsed="false">
      <c r="A92" s="10" t="s">
        <v>308</v>
      </c>
      <c r="B92" s="10" t="s">
        <v>41</v>
      </c>
      <c r="C92" s="10" t="s">
        <v>394</v>
      </c>
      <c r="D92" s="11" t="s">
        <v>309</v>
      </c>
      <c r="E92" s="10" t="s">
        <v>27</v>
      </c>
      <c r="F92" s="10" t="n">
        <v>2</v>
      </c>
      <c r="G92" s="10" t="n">
        <v>2</v>
      </c>
      <c r="H92" s="48" t="n">
        <f aca="false">IF($G92=1,INDEX(SprintInicio,MATCH($B92,SprintNombres,0)),INDEX(SprintInicio,MATCH($B92,SprintNombres,0))+8-WEEKDAY(INDEX(SprintInicio,MATCH($B92,SprintNombres,0)),2))</f>
        <v>46314</v>
      </c>
      <c r="I92" s="48" t="n">
        <f aca="false">IF($G92=1,MIN(INDEX(SprintInicio,MATCH($B92,SprintNombres,0))+5-WEEKDAY(INDEX(SprintInicio,MATCH($B92,SprintNombres,0)),2),INDEX(SprintFin,MATCH($B92,SprintNombres,0))),INDEX(SprintFin,MATCH($B92,SprintNombres,0)))</f>
        <v>46318</v>
      </c>
      <c r="J92" s="49" t="s">
        <v>395</v>
      </c>
      <c r="K92" s="12" t="n">
        <f aca="false">IFERROR(VLOOKUP($J92,EstadosAvance,2,FALSE()),0)</f>
        <v>0</v>
      </c>
      <c r="L92" s="50" t="n">
        <f aca="false">F92*K92</f>
        <v>0</v>
      </c>
      <c r="M92" s="11"/>
    </row>
    <row r="93" customFormat="false" ht="15" hidden="false" customHeight="false" outlineLevel="0" collapsed="false">
      <c r="A93" s="10" t="s">
        <v>310</v>
      </c>
      <c r="B93" s="10" t="s">
        <v>41</v>
      </c>
      <c r="C93" s="10" t="s">
        <v>394</v>
      </c>
      <c r="D93" s="11" t="s">
        <v>311</v>
      </c>
      <c r="E93" s="10" t="s">
        <v>29</v>
      </c>
      <c r="F93" s="10" t="n">
        <v>2</v>
      </c>
      <c r="G93" s="10" t="n">
        <v>2</v>
      </c>
      <c r="H93" s="48" t="n">
        <f aca="false">IF($G93=1,INDEX(SprintInicio,MATCH($B93,SprintNombres,0)),INDEX(SprintInicio,MATCH($B93,SprintNombres,0))+8-WEEKDAY(INDEX(SprintInicio,MATCH($B93,SprintNombres,0)),2))</f>
        <v>46314</v>
      </c>
      <c r="I93" s="48" t="n">
        <f aca="false">IF($G93=1,MIN(INDEX(SprintInicio,MATCH($B93,SprintNombres,0))+5-WEEKDAY(INDEX(SprintInicio,MATCH($B93,SprintNombres,0)),2),INDEX(SprintFin,MATCH($B93,SprintNombres,0))),INDEX(SprintFin,MATCH($B93,SprintNombres,0)))</f>
        <v>46318</v>
      </c>
      <c r="J93" s="49" t="s">
        <v>395</v>
      </c>
      <c r="K93" s="12" t="n">
        <f aca="false">IFERROR(VLOOKUP($J93,EstadosAvance,2,FALSE()),0)</f>
        <v>0</v>
      </c>
      <c r="L93" s="50" t="n">
        <f aca="false">F93*K93</f>
        <v>0</v>
      </c>
      <c r="M93" s="11"/>
    </row>
    <row r="94" customFormat="false" ht="15" hidden="false" customHeight="false" outlineLevel="0" collapsed="false">
      <c r="A94" s="10" t="s">
        <v>312</v>
      </c>
      <c r="B94" s="10" t="s">
        <v>41</v>
      </c>
      <c r="C94" s="10" t="s">
        <v>394</v>
      </c>
      <c r="D94" s="11" t="s">
        <v>145</v>
      </c>
      <c r="E94" s="10" t="s">
        <v>28</v>
      </c>
      <c r="F94" s="10" t="n">
        <v>2</v>
      </c>
      <c r="G94" s="10" t="n">
        <v>2</v>
      </c>
      <c r="H94" s="48" t="n">
        <f aca="false">IF($G94=1,INDEX(SprintInicio,MATCH($B94,SprintNombres,0)),INDEX(SprintInicio,MATCH($B94,SprintNombres,0))+8-WEEKDAY(INDEX(SprintInicio,MATCH($B94,SprintNombres,0)),2))</f>
        <v>46314</v>
      </c>
      <c r="I94" s="48" t="n">
        <f aca="false">IF($G94=1,MIN(INDEX(SprintInicio,MATCH($B94,SprintNombres,0))+5-WEEKDAY(INDEX(SprintInicio,MATCH($B94,SprintNombres,0)),2),INDEX(SprintFin,MATCH($B94,SprintNombres,0))),INDEX(SprintFin,MATCH($B94,SprintNombres,0)))</f>
        <v>46318</v>
      </c>
      <c r="J94" s="49" t="s">
        <v>395</v>
      </c>
      <c r="K94" s="12" t="n">
        <f aca="false">IFERROR(VLOOKUP($J94,EstadosAvance,2,FALSE()),0)</f>
        <v>0</v>
      </c>
      <c r="L94" s="50" t="n">
        <f aca="false">F94*K94</f>
        <v>0</v>
      </c>
      <c r="M94" s="11"/>
    </row>
    <row r="95" customFormat="false" ht="23.85" hidden="false" customHeight="false" outlineLevel="0" collapsed="false">
      <c r="A95" s="10" t="s">
        <v>317</v>
      </c>
      <c r="B95" s="10" t="s">
        <v>46</v>
      </c>
      <c r="C95" s="10" t="s">
        <v>315</v>
      </c>
      <c r="D95" s="11" t="s">
        <v>318</v>
      </c>
      <c r="E95" s="10" t="s">
        <v>29</v>
      </c>
      <c r="F95" s="10" t="n">
        <v>3</v>
      </c>
      <c r="G95" s="10" t="n">
        <v>1</v>
      </c>
      <c r="H95" s="48" t="n">
        <f aca="false">IF($G95=1,INDEX(SprintInicio,MATCH($B95,SprintNombres,0)),INDEX(SprintInicio,MATCH($B95,SprintNombres,0))+8-WEEKDAY(INDEX(SprintInicio,MATCH($B95,SprintNombres,0)),2))</f>
        <v>46321</v>
      </c>
      <c r="I95" s="48" t="n">
        <f aca="false">IF($G95=1,MIN(INDEX(SprintInicio,MATCH($B95,SprintNombres,0))+5-WEEKDAY(INDEX(SprintInicio,MATCH($B95,SprintNombres,0)),2),INDEX(SprintFin,MATCH($B95,SprintNombres,0))),INDEX(SprintFin,MATCH($B95,SprintNombres,0)))</f>
        <v>46325</v>
      </c>
      <c r="J95" s="49" t="s">
        <v>395</v>
      </c>
      <c r="K95" s="12" t="n">
        <f aca="false">IFERROR(VLOOKUP($J95,EstadosAvance,2,FALSE()),0)</f>
        <v>0</v>
      </c>
      <c r="L95" s="50" t="n">
        <f aca="false">F95*K95</f>
        <v>0</v>
      </c>
      <c r="M95" s="11"/>
    </row>
    <row r="96" customFormat="false" ht="23.85" hidden="false" customHeight="false" outlineLevel="0" collapsed="false">
      <c r="A96" s="10" t="s">
        <v>319</v>
      </c>
      <c r="B96" s="10" t="s">
        <v>46</v>
      </c>
      <c r="C96" s="10" t="s">
        <v>315</v>
      </c>
      <c r="D96" s="11" t="s">
        <v>320</v>
      </c>
      <c r="E96" s="10" t="s">
        <v>28</v>
      </c>
      <c r="F96" s="10" t="n">
        <v>4</v>
      </c>
      <c r="G96" s="10" t="n">
        <v>1</v>
      </c>
      <c r="H96" s="48" t="n">
        <f aca="false">IF($G96=1,INDEX(SprintInicio,MATCH($B96,SprintNombres,0)),INDEX(SprintInicio,MATCH($B96,SprintNombres,0))+8-WEEKDAY(INDEX(SprintInicio,MATCH($B96,SprintNombres,0)),2))</f>
        <v>46321</v>
      </c>
      <c r="I96" s="48" t="n">
        <f aca="false">IF($G96=1,MIN(INDEX(SprintInicio,MATCH($B96,SprintNombres,0))+5-WEEKDAY(INDEX(SprintInicio,MATCH($B96,SprintNombres,0)),2),INDEX(SprintFin,MATCH($B96,SprintNombres,0))),INDEX(SprintFin,MATCH($B96,SprintNombres,0)))</f>
        <v>46325</v>
      </c>
      <c r="J96" s="49" t="s">
        <v>395</v>
      </c>
      <c r="K96" s="12" t="n">
        <f aca="false">IFERROR(VLOOKUP($J96,EstadosAvance,2,FALSE()),0)</f>
        <v>0</v>
      </c>
      <c r="L96" s="50" t="n">
        <f aca="false">F96*K96</f>
        <v>0</v>
      </c>
      <c r="M96" s="11"/>
    </row>
    <row r="97" customFormat="false" ht="15" hidden="false" customHeight="false" outlineLevel="0" collapsed="false">
      <c r="A97" s="10" t="s">
        <v>321</v>
      </c>
      <c r="B97" s="10" t="s">
        <v>46</v>
      </c>
      <c r="C97" s="10" t="s">
        <v>315</v>
      </c>
      <c r="D97" s="11" t="s">
        <v>322</v>
      </c>
      <c r="E97" s="10" t="s">
        <v>29</v>
      </c>
      <c r="F97" s="10" t="n">
        <v>3</v>
      </c>
      <c r="G97" s="10" t="n">
        <v>1</v>
      </c>
      <c r="H97" s="48" t="n">
        <f aca="false">IF($G97=1,INDEX(SprintInicio,MATCH($B97,SprintNombres,0)),INDEX(SprintInicio,MATCH($B97,SprintNombres,0))+8-WEEKDAY(INDEX(SprintInicio,MATCH($B97,SprintNombres,0)),2))</f>
        <v>46321</v>
      </c>
      <c r="I97" s="48" t="n">
        <f aca="false">IF($G97=1,MIN(INDEX(SprintInicio,MATCH($B97,SprintNombres,0))+5-WEEKDAY(INDEX(SprintInicio,MATCH($B97,SprintNombres,0)),2),INDEX(SprintFin,MATCH($B97,SprintNombres,0))),INDEX(SprintFin,MATCH($B97,SprintNombres,0)))</f>
        <v>46325</v>
      </c>
      <c r="J97" s="49" t="s">
        <v>395</v>
      </c>
      <c r="K97" s="12" t="n">
        <f aca="false">IFERROR(VLOOKUP($J97,EstadosAvance,2,FALSE()),0)</f>
        <v>0</v>
      </c>
      <c r="L97" s="50" t="n">
        <f aca="false">F97*K97</f>
        <v>0</v>
      </c>
      <c r="M97" s="11"/>
    </row>
    <row r="98" customFormat="false" ht="15" hidden="false" customHeight="false" outlineLevel="0" collapsed="false">
      <c r="A98" s="10" t="s">
        <v>323</v>
      </c>
      <c r="B98" s="10" t="s">
        <v>46</v>
      </c>
      <c r="C98" s="10" t="s">
        <v>315</v>
      </c>
      <c r="D98" s="11" t="s">
        <v>324</v>
      </c>
      <c r="E98" s="10" t="s">
        <v>29</v>
      </c>
      <c r="F98" s="10" t="n">
        <v>2</v>
      </c>
      <c r="G98" s="10" t="n">
        <v>1</v>
      </c>
      <c r="H98" s="48" t="n">
        <f aca="false">IF($G98=1,INDEX(SprintInicio,MATCH($B98,SprintNombres,0)),INDEX(SprintInicio,MATCH($B98,SprintNombres,0))+8-WEEKDAY(INDEX(SprintInicio,MATCH($B98,SprintNombres,0)),2))</f>
        <v>46321</v>
      </c>
      <c r="I98" s="48" t="n">
        <f aca="false">IF($G98=1,MIN(INDEX(SprintInicio,MATCH($B98,SprintNombres,0))+5-WEEKDAY(INDEX(SprintInicio,MATCH($B98,SprintNombres,0)),2),INDEX(SprintFin,MATCH($B98,SprintNombres,0))),INDEX(SprintFin,MATCH($B98,SprintNombres,0)))</f>
        <v>46325</v>
      </c>
      <c r="J98" s="49" t="s">
        <v>395</v>
      </c>
      <c r="K98" s="12" t="n">
        <f aca="false">IFERROR(VLOOKUP($J98,EstadosAvance,2,FALSE()),0)</f>
        <v>0</v>
      </c>
      <c r="L98" s="50" t="n">
        <f aca="false">F98*K98</f>
        <v>0</v>
      </c>
      <c r="M98" s="11"/>
    </row>
    <row r="99" customFormat="false" ht="15" hidden="false" customHeight="false" outlineLevel="0" collapsed="false">
      <c r="A99" s="10" t="s">
        <v>325</v>
      </c>
      <c r="B99" s="10" t="s">
        <v>46</v>
      </c>
      <c r="C99" s="10" t="s">
        <v>315</v>
      </c>
      <c r="D99" s="11" t="s">
        <v>326</v>
      </c>
      <c r="E99" s="10" t="s">
        <v>27</v>
      </c>
      <c r="F99" s="10" t="n">
        <v>2</v>
      </c>
      <c r="G99" s="10" t="n">
        <v>1</v>
      </c>
      <c r="H99" s="48" t="n">
        <f aca="false">IF($G99=1,INDEX(SprintInicio,MATCH($B99,SprintNombres,0)),INDEX(SprintInicio,MATCH($B99,SprintNombres,0))+8-WEEKDAY(INDEX(SprintInicio,MATCH($B99,SprintNombres,0)),2))</f>
        <v>46321</v>
      </c>
      <c r="I99" s="48" t="n">
        <f aca="false">IF($G99=1,MIN(INDEX(SprintInicio,MATCH($B99,SprintNombres,0))+5-WEEKDAY(INDEX(SprintInicio,MATCH($B99,SprintNombres,0)),2),INDEX(SprintFin,MATCH($B99,SprintNombres,0))),INDEX(SprintFin,MATCH($B99,SprintNombres,0)))</f>
        <v>46325</v>
      </c>
      <c r="J99" s="49" t="s">
        <v>395</v>
      </c>
      <c r="K99" s="12" t="n">
        <f aca="false">IFERROR(VLOOKUP($J99,EstadosAvance,2,FALSE()),0)</f>
        <v>0</v>
      </c>
      <c r="L99" s="50" t="n">
        <f aca="false">F99*K99</f>
        <v>0</v>
      </c>
      <c r="M99" s="11"/>
    </row>
    <row r="100" customFormat="false" ht="23.85" hidden="false" customHeight="false" outlineLevel="0" collapsed="false">
      <c r="A100" s="10" t="s">
        <v>329</v>
      </c>
      <c r="B100" s="10" t="s">
        <v>46</v>
      </c>
      <c r="C100" s="10" t="s">
        <v>327</v>
      </c>
      <c r="D100" s="11" t="s">
        <v>330</v>
      </c>
      <c r="E100" s="10" t="s">
        <v>28</v>
      </c>
      <c r="F100" s="10" t="n">
        <v>2</v>
      </c>
      <c r="G100" s="10" t="n">
        <v>1</v>
      </c>
      <c r="H100" s="48" t="n">
        <f aca="false">IF($G100=1,INDEX(SprintInicio,MATCH($B100,SprintNombres,0)),INDEX(SprintInicio,MATCH($B100,SprintNombres,0))+8-WEEKDAY(INDEX(SprintInicio,MATCH($B100,SprintNombres,0)),2))</f>
        <v>46321</v>
      </c>
      <c r="I100" s="48" t="n">
        <f aca="false">IF($G100=1,MIN(INDEX(SprintInicio,MATCH($B100,SprintNombres,0))+5-WEEKDAY(INDEX(SprintInicio,MATCH($B100,SprintNombres,0)),2),INDEX(SprintFin,MATCH($B100,SprintNombres,0))),INDEX(SprintFin,MATCH($B100,SprintNombres,0)))</f>
        <v>46325</v>
      </c>
      <c r="J100" s="49" t="s">
        <v>395</v>
      </c>
      <c r="K100" s="12" t="n">
        <f aca="false">IFERROR(VLOOKUP($J100,EstadosAvance,2,FALSE()),0)</f>
        <v>0</v>
      </c>
      <c r="L100" s="50" t="n">
        <f aca="false">F100*K100</f>
        <v>0</v>
      </c>
      <c r="M100" s="11"/>
    </row>
    <row r="101" customFormat="false" ht="15" hidden="false" customHeight="false" outlineLevel="0" collapsed="false">
      <c r="A101" s="10" t="s">
        <v>331</v>
      </c>
      <c r="B101" s="10" t="s">
        <v>46</v>
      </c>
      <c r="C101" s="10" t="s">
        <v>327</v>
      </c>
      <c r="D101" s="11" t="s">
        <v>332</v>
      </c>
      <c r="E101" s="10" t="s">
        <v>27</v>
      </c>
      <c r="F101" s="10" t="n">
        <v>3</v>
      </c>
      <c r="G101" s="10" t="n">
        <v>1</v>
      </c>
      <c r="H101" s="48" t="n">
        <f aca="false">IF($G101=1,INDEX(SprintInicio,MATCH($B101,SprintNombres,0)),INDEX(SprintInicio,MATCH($B101,SprintNombres,0))+8-WEEKDAY(INDEX(SprintInicio,MATCH($B101,SprintNombres,0)),2))</f>
        <v>46321</v>
      </c>
      <c r="I101" s="48" t="n">
        <f aca="false">IF($G101=1,MIN(INDEX(SprintInicio,MATCH($B101,SprintNombres,0))+5-WEEKDAY(INDEX(SprintInicio,MATCH($B101,SprintNombres,0)),2),INDEX(SprintFin,MATCH($B101,SprintNombres,0))),INDEX(SprintFin,MATCH($B101,SprintNombres,0)))</f>
        <v>46325</v>
      </c>
      <c r="J101" s="49" t="s">
        <v>395</v>
      </c>
      <c r="K101" s="12" t="n">
        <f aca="false">IFERROR(VLOOKUP($J101,EstadosAvance,2,FALSE()),0)</f>
        <v>0</v>
      </c>
      <c r="L101" s="50" t="n">
        <f aca="false">F101*K101</f>
        <v>0</v>
      </c>
      <c r="M101" s="11"/>
    </row>
    <row r="102" customFormat="false" ht="15" hidden="false" customHeight="false" outlineLevel="0" collapsed="false">
      <c r="A102" s="10" t="s">
        <v>333</v>
      </c>
      <c r="B102" s="10" t="s">
        <v>46</v>
      </c>
      <c r="C102" s="10" t="s">
        <v>327</v>
      </c>
      <c r="D102" s="11" t="s">
        <v>334</v>
      </c>
      <c r="E102" s="10" t="s">
        <v>27</v>
      </c>
      <c r="F102" s="10" t="n">
        <v>3</v>
      </c>
      <c r="G102" s="10" t="n">
        <v>2</v>
      </c>
      <c r="H102" s="48" t="n">
        <f aca="false">IF($G102=1,INDEX(SprintInicio,MATCH($B102,SprintNombres,0)),INDEX(SprintInicio,MATCH($B102,SprintNombres,0))+8-WEEKDAY(INDEX(SprintInicio,MATCH($B102,SprintNombres,0)),2))</f>
        <v>46328</v>
      </c>
      <c r="I102" s="48" t="n">
        <f aca="false">IF($G102=1,MIN(INDEX(SprintInicio,MATCH($B102,SprintNombres,0))+5-WEEKDAY(INDEX(SprintInicio,MATCH($B102,SprintNombres,0)),2),INDEX(SprintFin,MATCH($B102,SprintNombres,0))),INDEX(SprintFin,MATCH($B102,SprintNombres,0)))</f>
        <v>46332</v>
      </c>
      <c r="J102" s="49" t="s">
        <v>395</v>
      </c>
      <c r="K102" s="12" t="n">
        <f aca="false">IFERROR(VLOOKUP($J102,EstadosAvance,2,FALSE()),0)</f>
        <v>0</v>
      </c>
      <c r="L102" s="50" t="n">
        <f aca="false">F102*K102</f>
        <v>0</v>
      </c>
      <c r="M102" s="11"/>
    </row>
    <row r="103" customFormat="false" ht="15" hidden="false" customHeight="false" outlineLevel="0" collapsed="false">
      <c r="A103" s="10" t="s">
        <v>335</v>
      </c>
      <c r="B103" s="10" t="s">
        <v>46</v>
      </c>
      <c r="C103" s="10" t="s">
        <v>327</v>
      </c>
      <c r="D103" s="11" t="s">
        <v>336</v>
      </c>
      <c r="E103" s="10" t="s">
        <v>28</v>
      </c>
      <c r="F103" s="10" t="n">
        <v>2</v>
      </c>
      <c r="G103" s="10" t="n">
        <v>2</v>
      </c>
      <c r="H103" s="48" t="n">
        <f aca="false">IF($G103=1,INDEX(SprintInicio,MATCH($B103,SprintNombres,0)),INDEX(SprintInicio,MATCH($B103,SprintNombres,0))+8-WEEKDAY(INDEX(SprintInicio,MATCH($B103,SprintNombres,0)),2))</f>
        <v>46328</v>
      </c>
      <c r="I103" s="48" t="n">
        <f aca="false">IF($G103=1,MIN(INDEX(SprintInicio,MATCH($B103,SprintNombres,0))+5-WEEKDAY(INDEX(SprintInicio,MATCH($B103,SprintNombres,0)),2),INDEX(SprintFin,MATCH($B103,SprintNombres,0))),INDEX(SprintFin,MATCH($B103,SprintNombres,0)))</f>
        <v>46332</v>
      </c>
      <c r="J103" s="49" t="s">
        <v>395</v>
      </c>
      <c r="K103" s="12" t="n">
        <f aca="false">IFERROR(VLOOKUP($J103,EstadosAvance,2,FALSE()),0)</f>
        <v>0</v>
      </c>
      <c r="L103" s="50" t="n">
        <f aca="false">F103*K103</f>
        <v>0</v>
      </c>
      <c r="M103" s="11"/>
    </row>
    <row r="104" customFormat="false" ht="15" hidden="false" customHeight="false" outlineLevel="0" collapsed="false">
      <c r="A104" s="10" t="s">
        <v>337</v>
      </c>
      <c r="B104" s="10" t="s">
        <v>46</v>
      </c>
      <c r="C104" s="10" t="s">
        <v>327</v>
      </c>
      <c r="D104" s="11" t="s">
        <v>338</v>
      </c>
      <c r="E104" s="10" t="s">
        <v>29</v>
      </c>
      <c r="F104" s="10" t="n">
        <v>2</v>
      </c>
      <c r="G104" s="10" t="n">
        <v>2</v>
      </c>
      <c r="H104" s="48" t="n">
        <f aca="false">IF($G104=1,INDEX(SprintInicio,MATCH($B104,SprintNombres,0)),INDEX(SprintInicio,MATCH($B104,SprintNombres,0))+8-WEEKDAY(INDEX(SprintInicio,MATCH($B104,SprintNombres,0)),2))</f>
        <v>46328</v>
      </c>
      <c r="I104" s="48" t="n">
        <f aca="false">IF($G104=1,MIN(INDEX(SprintInicio,MATCH($B104,SprintNombres,0))+5-WEEKDAY(INDEX(SprintInicio,MATCH($B104,SprintNombres,0)),2),INDEX(SprintFin,MATCH($B104,SprintNombres,0))),INDEX(SprintFin,MATCH($B104,SprintNombres,0)))</f>
        <v>46332</v>
      </c>
      <c r="J104" s="49" t="s">
        <v>395</v>
      </c>
      <c r="K104" s="12" t="n">
        <f aca="false">IFERROR(VLOOKUP($J104,EstadosAvance,2,FALSE()),0)</f>
        <v>0</v>
      </c>
      <c r="L104" s="50" t="n">
        <f aca="false">F104*K104</f>
        <v>0</v>
      </c>
      <c r="M104" s="11"/>
    </row>
    <row r="105" customFormat="false" ht="15" hidden="false" customHeight="false" outlineLevel="0" collapsed="false">
      <c r="A105" s="10" t="s">
        <v>341</v>
      </c>
      <c r="B105" s="10" t="s">
        <v>46</v>
      </c>
      <c r="C105" s="10" t="s">
        <v>339</v>
      </c>
      <c r="D105" s="11" t="s">
        <v>342</v>
      </c>
      <c r="E105" s="10" t="s">
        <v>27</v>
      </c>
      <c r="F105" s="10" t="n">
        <v>4</v>
      </c>
      <c r="G105" s="10" t="n">
        <v>2</v>
      </c>
      <c r="H105" s="48" t="n">
        <f aca="false">IF($G105=1,INDEX(SprintInicio,MATCH($B105,SprintNombres,0)),INDEX(SprintInicio,MATCH($B105,SprintNombres,0))+8-WEEKDAY(INDEX(SprintInicio,MATCH($B105,SprintNombres,0)),2))</f>
        <v>46328</v>
      </c>
      <c r="I105" s="48" t="n">
        <f aca="false">IF($G105=1,MIN(INDEX(SprintInicio,MATCH($B105,SprintNombres,0))+5-WEEKDAY(INDEX(SprintInicio,MATCH($B105,SprintNombres,0)),2),INDEX(SprintFin,MATCH($B105,SprintNombres,0))),INDEX(SprintFin,MATCH($B105,SprintNombres,0)))</f>
        <v>46332</v>
      </c>
      <c r="J105" s="49" t="s">
        <v>395</v>
      </c>
      <c r="K105" s="12" t="n">
        <f aca="false">IFERROR(VLOOKUP($J105,EstadosAvance,2,FALSE()),0)</f>
        <v>0</v>
      </c>
      <c r="L105" s="50" t="n">
        <f aca="false">F105*K105</f>
        <v>0</v>
      </c>
      <c r="M105" s="11"/>
    </row>
    <row r="106" customFormat="false" ht="15" hidden="false" customHeight="false" outlineLevel="0" collapsed="false">
      <c r="A106" s="10" t="s">
        <v>343</v>
      </c>
      <c r="B106" s="10" t="s">
        <v>46</v>
      </c>
      <c r="C106" s="10" t="s">
        <v>339</v>
      </c>
      <c r="D106" s="11" t="s">
        <v>344</v>
      </c>
      <c r="E106" s="10" t="s">
        <v>28</v>
      </c>
      <c r="F106" s="10" t="n">
        <v>3</v>
      </c>
      <c r="G106" s="10" t="n">
        <v>2</v>
      </c>
      <c r="H106" s="48" t="n">
        <f aca="false">IF($G106=1,INDEX(SprintInicio,MATCH($B106,SprintNombres,0)),INDEX(SprintInicio,MATCH($B106,SprintNombres,0))+8-WEEKDAY(INDEX(SprintInicio,MATCH($B106,SprintNombres,0)),2))</f>
        <v>46328</v>
      </c>
      <c r="I106" s="48" t="n">
        <f aca="false">IF($G106=1,MIN(INDEX(SprintInicio,MATCH($B106,SprintNombres,0))+5-WEEKDAY(INDEX(SprintInicio,MATCH($B106,SprintNombres,0)),2),INDEX(SprintFin,MATCH($B106,SprintNombres,0))),INDEX(SprintFin,MATCH($B106,SprintNombres,0)))</f>
        <v>46332</v>
      </c>
      <c r="J106" s="49" t="s">
        <v>395</v>
      </c>
      <c r="K106" s="12" t="n">
        <f aca="false">IFERROR(VLOOKUP($J106,EstadosAvance,2,FALSE()),0)</f>
        <v>0</v>
      </c>
      <c r="L106" s="50" t="n">
        <f aca="false">F106*K106</f>
        <v>0</v>
      </c>
      <c r="M106" s="11"/>
    </row>
    <row r="107" customFormat="false" ht="15" hidden="false" customHeight="false" outlineLevel="0" collapsed="false">
      <c r="A107" s="10" t="s">
        <v>345</v>
      </c>
      <c r="B107" s="10" t="s">
        <v>46</v>
      </c>
      <c r="C107" s="10" t="s">
        <v>339</v>
      </c>
      <c r="D107" s="11" t="s">
        <v>346</v>
      </c>
      <c r="E107" s="10" t="s">
        <v>27</v>
      </c>
      <c r="F107" s="10" t="n">
        <v>2</v>
      </c>
      <c r="G107" s="10" t="n">
        <v>2</v>
      </c>
      <c r="H107" s="48" t="n">
        <f aca="false">IF($G107=1,INDEX(SprintInicio,MATCH($B107,SprintNombres,0)),INDEX(SprintInicio,MATCH($B107,SprintNombres,0))+8-WEEKDAY(INDEX(SprintInicio,MATCH($B107,SprintNombres,0)),2))</f>
        <v>46328</v>
      </c>
      <c r="I107" s="48" t="n">
        <f aca="false">IF($G107=1,MIN(INDEX(SprintInicio,MATCH($B107,SprintNombres,0))+5-WEEKDAY(INDEX(SprintInicio,MATCH($B107,SprintNombres,0)),2),INDEX(SprintFin,MATCH($B107,SprintNombres,0))),INDEX(SprintFin,MATCH($B107,SprintNombres,0)))</f>
        <v>46332</v>
      </c>
      <c r="J107" s="49" t="s">
        <v>395</v>
      </c>
      <c r="K107" s="12" t="n">
        <f aca="false">IFERROR(VLOOKUP($J107,EstadosAvance,2,FALSE()),0)</f>
        <v>0</v>
      </c>
      <c r="L107" s="50" t="n">
        <f aca="false">F107*K107</f>
        <v>0</v>
      </c>
      <c r="M107" s="11"/>
    </row>
    <row r="108" customFormat="false" ht="15" hidden="false" customHeight="false" outlineLevel="0" collapsed="false">
      <c r="A108" s="10" t="s">
        <v>347</v>
      </c>
      <c r="B108" s="10" t="s">
        <v>46</v>
      </c>
      <c r="C108" s="10" t="s">
        <v>339</v>
      </c>
      <c r="D108" s="11" t="s">
        <v>348</v>
      </c>
      <c r="E108" s="10" t="s">
        <v>27</v>
      </c>
      <c r="F108" s="10" t="n">
        <v>2</v>
      </c>
      <c r="G108" s="10" t="n">
        <v>2</v>
      </c>
      <c r="H108" s="48" t="n">
        <f aca="false">IF($G108=1,INDEX(SprintInicio,MATCH($B108,SprintNombres,0)),INDEX(SprintInicio,MATCH($B108,SprintNombres,0))+8-WEEKDAY(INDEX(SprintInicio,MATCH($B108,SprintNombres,0)),2))</f>
        <v>46328</v>
      </c>
      <c r="I108" s="48" t="n">
        <f aca="false">IF($G108=1,MIN(INDEX(SprintInicio,MATCH($B108,SprintNombres,0))+5-WEEKDAY(INDEX(SprintInicio,MATCH($B108,SprintNombres,0)),2),INDEX(SprintFin,MATCH($B108,SprintNombres,0))),INDEX(SprintFin,MATCH($B108,SprintNombres,0)))</f>
        <v>46332</v>
      </c>
      <c r="J108" s="49" t="s">
        <v>395</v>
      </c>
      <c r="K108" s="12" t="n">
        <f aca="false">IFERROR(VLOOKUP($J108,EstadosAvance,2,FALSE()),0)</f>
        <v>0</v>
      </c>
      <c r="L108" s="50" t="n">
        <f aca="false">F108*K108</f>
        <v>0</v>
      </c>
      <c r="M108" s="11"/>
    </row>
    <row r="109" customFormat="false" ht="15" hidden="false" customHeight="false" outlineLevel="0" collapsed="false">
      <c r="A109" s="10" t="s">
        <v>349</v>
      </c>
      <c r="B109" s="10" t="s">
        <v>46</v>
      </c>
      <c r="C109" s="10" t="s">
        <v>339</v>
      </c>
      <c r="D109" s="11" t="s">
        <v>350</v>
      </c>
      <c r="E109" s="10" t="s">
        <v>29</v>
      </c>
      <c r="F109" s="10" t="n">
        <v>2</v>
      </c>
      <c r="G109" s="10" t="n">
        <v>2</v>
      </c>
      <c r="H109" s="48" t="n">
        <f aca="false">IF($G109=1,INDEX(SprintInicio,MATCH($B109,SprintNombres,0)),INDEX(SprintInicio,MATCH($B109,SprintNombres,0))+8-WEEKDAY(INDEX(SprintInicio,MATCH($B109,SprintNombres,0)),2))</f>
        <v>46328</v>
      </c>
      <c r="I109" s="48" t="n">
        <f aca="false">IF($G109=1,MIN(INDEX(SprintInicio,MATCH($B109,SprintNombres,0))+5-WEEKDAY(INDEX(SprintInicio,MATCH($B109,SprintNombres,0)),2),INDEX(SprintFin,MATCH($B109,SprintNombres,0))),INDEX(SprintFin,MATCH($B109,SprintNombres,0)))</f>
        <v>46332</v>
      </c>
      <c r="J109" s="49" t="s">
        <v>395</v>
      </c>
      <c r="K109" s="12" t="n">
        <f aca="false">IFERROR(VLOOKUP($J109,EstadosAvance,2,FALSE()),0)</f>
        <v>0</v>
      </c>
      <c r="L109" s="50" t="n">
        <f aca="false">F109*K109</f>
        <v>0</v>
      </c>
      <c r="M109" s="11"/>
    </row>
    <row r="110" customFormat="false" ht="15" hidden="false" customHeight="false" outlineLevel="0" collapsed="false">
      <c r="A110" s="10" t="s">
        <v>351</v>
      </c>
      <c r="B110" s="10" t="s">
        <v>46</v>
      </c>
      <c r="C110" s="10" t="s">
        <v>394</v>
      </c>
      <c r="D110" s="11" t="s">
        <v>352</v>
      </c>
      <c r="E110" s="10" t="s">
        <v>29</v>
      </c>
      <c r="F110" s="10" t="n">
        <v>3</v>
      </c>
      <c r="G110" s="10" t="n">
        <v>2</v>
      </c>
      <c r="H110" s="48" t="n">
        <f aca="false">IF($G110=1,INDEX(SprintInicio,MATCH($B110,SprintNombres,0)),INDEX(SprintInicio,MATCH($B110,SprintNombres,0))+8-WEEKDAY(INDEX(SprintInicio,MATCH($B110,SprintNombres,0)),2))</f>
        <v>46328</v>
      </c>
      <c r="I110" s="48" t="n">
        <f aca="false">IF($G110=1,MIN(INDEX(SprintInicio,MATCH($B110,SprintNombres,0))+5-WEEKDAY(INDEX(SprintInicio,MATCH($B110,SprintNombres,0)),2),INDEX(SprintFin,MATCH($B110,SprintNombres,0))),INDEX(SprintFin,MATCH($B110,SprintNombres,0)))</f>
        <v>46332</v>
      </c>
      <c r="J110" s="49" t="s">
        <v>395</v>
      </c>
      <c r="K110" s="12" t="n">
        <f aca="false">IFERROR(VLOOKUP($J110,EstadosAvance,2,FALSE()),0)</f>
        <v>0</v>
      </c>
      <c r="L110" s="50" t="n">
        <f aca="false">F110*K110</f>
        <v>0</v>
      </c>
      <c r="M110" s="11"/>
    </row>
    <row r="111" customFormat="false" ht="23.85" hidden="false" customHeight="false" outlineLevel="0" collapsed="false">
      <c r="A111" s="10" t="s">
        <v>353</v>
      </c>
      <c r="B111" s="10" t="s">
        <v>46</v>
      </c>
      <c r="C111" s="10" t="s">
        <v>394</v>
      </c>
      <c r="D111" s="11" t="s">
        <v>354</v>
      </c>
      <c r="E111" s="10" t="s">
        <v>28</v>
      </c>
      <c r="F111" s="10" t="n">
        <v>3</v>
      </c>
      <c r="G111" s="10" t="n">
        <v>2</v>
      </c>
      <c r="H111" s="48" t="n">
        <f aca="false">IF($G111=1,INDEX(SprintInicio,MATCH($B111,SprintNombres,0)),INDEX(SprintInicio,MATCH($B111,SprintNombres,0))+8-WEEKDAY(INDEX(SprintInicio,MATCH($B111,SprintNombres,0)),2))</f>
        <v>46328</v>
      </c>
      <c r="I111" s="48" t="n">
        <f aca="false">IF($G111=1,MIN(INDEX(SprintInicio,MATCH($B111,SprintNombres,0))+5-WEEKDAY(INDEX(SprintInicio,MATCH($B111,SprintNombres,0)),2),INDEX(SprintFin,MATCH($B111,SprintNombres,0))),INDEX(SprintFin,MATCH($B111,SprintNombres,0)))</f>
        <v>46332</v>
      </c>
      <c r="J111" s="49" t="s">
        <v>395</v>
      </c>
      <c r="K111" s="12" t="n">
        <f aca="false">IFERROR(VLOOKUP($J111,EstadosAvance,2,FALSE()),0)</f>
        <v>0</v>
      </c>
      <c r="L111" s="50" t="n">
        <f aca="false">F111*K111</f>
        <v>0</v>
      </c>
      <c r="M111" s="11"/>
    </row>
    <row r="112" customFormat="false" ht="15" hidden="false" customHeight="false" outlineLevel="0" collapsed="false">
      <c r="A112" s="10" t="s">
        <v>355</v>
      </c>
      <c r="B112" s="10" t="s">
        <v>46</v>
      </c>
      <c r="C112" s="10" t="s">
        <v>394</v>
      </c>
      <c r="D112" s="11" t="s">
        <v>356</v>
      </c>
      <c r="E112" s="10" t="s">
        <v>28</v>
      </c>
      <c r="F112" s="10" t="n">
        <v>2</v>
      </c>
      <c r="G112" s="10" t="n">
        <v>2</v>
      </c>
      <c r="H112" s="48" t="n">
        <f aca="false">IF($G112=1,INDEX(SprintInicio,MATCH($B112,SprintNombres,0)),INDEX(SprintInicio,MATCH($B112,SprintNombres,0))+8-WEEKDAY(INDEX(SprintInicio,MATCH($B112,SprintNombres,0)),2))</f>
        <v>46328</v>
      </c>
      <c r="I112" s="48" t="n">
        <f aca="false">IF($G112=1,MIN(INDEX(SprintInicio,MATCH($B112,SprintNombres,0))+5-WEEKDAY(INDEX(SprintInicio,MATCH($B112,SprintNombres,0)),2),INDEX(SprintFin,MATCH($B112,SprintNombres,0))),INDEX(SprintFin,MATCH($B112,SprintNombres,0)))</f>
        <v>46332</v>
      </c>
      <c r="J112" s="49" t="s">
        <v>395</v>
      </c>
      <c r="K112" s="12" t="n">
        <f aca="false">IFERROR(VLOOKUP($J112,EstadosAvance,2,FALSE()),0)</f>
        <v>0</v>
      </c>
      <c r="L112" s="50" t="n">
        <f aca="false">F112*K112</f>
        <v>0</v>
      </c>
      <c r="M112" s="11"/>
    </row>
    <row r="113" customFormat="false" ht="15" hidden="false" customHeight="false" outlineLevel="0" collapsed="false">
      <c r="A113" s="10" t="s">
        <v>357</v>
      </c>
      <c r="B113" s="10" t="s">
        <v>46</v>
      </c>
      <c r="C113" s="10" t="s">
        <v>394</v>
      </c>
      <c r="D113" s="11" t="s">
        <v>358</v>
      </c>
      <c r="E113" s="10" t="s">
        <v>27</v>
      </c>
      <c r="F113" s="10" t="n">
        <v>2</v>
      </c>
      <c r="G113" s="10" t="n">
        <v>2</v>
      </c>
      <c r="H113" s="48" t="n">
        <f aca="false">IF($G113=1,INDEX(SprintInicio,MATCH($B113,SprintNombres,0)),INDEX(SprintInicio,MATCH($B113,SprintNombres,0))+8-WEEKDAY(INDEX(SprintInicio,MATCH($B113,SprintNombres,0)),2))</f>
        <v>46328</v>
      </c>
      <c r="I113" s="48" t="n">
        <f aca="false">IF($G113=1,MIN(INDEX(SprintInicio,MATCH($B113,SprintNombres,0))+5-WEEKDAY(INDEX(SprintInicio,MATCH($B113,SprintNombres,0)),2),INDEX(SprintFin,MATCH($B113,SprintNombres,0))),INDEX(SprintFin,MATCH($B113,SprintNombres,0)))</f>
        <v>46332</v>
      </c>
      <c r="J113" s="49" t="s">
        <v>395</v>
      </c>
      <c r="K113" s="12" t="n">
        <f aca="false">IFERROR(VLOOKUP($J113,EstadosAvance,2,FALSE()),0)</f>
        <v>0</v>
      </c>
      <c r="L113" s="50" t="n">
        <f aca="false">F113*K113</f>
        <v>0</v>
      </c>
      <c r="M113" s="11"/>
    </row>
    <row r="114" customFormat="false" ht="15" hidden="false" customHeight="false" outlineLevel="0" collapsed="false">
      <c r="A114" s="10" t="s">
        <v>359</v>
      </c>
      <c r="B114" s="10" t="s">
        <v>46</v>
      </c>
      <c r="C114" s="10" t="s">
        <v>394</v>
      </c>
      <c r="D114" s="11" t="s">
        <v>145</v>
      </c>
      <c r="E114" s="10" t="s">
        <v>29</v>
      </c>
      <c r="F114" s="10" t="n">
        <v>2</v>
      </c>
      <c r="G114" s="10" t="n">
        <v>2</v>
      </c>
      <c r="H114" s="48" t="n">
        <f aca="false">IF($G114=1,INDEX(SprintInicio,MATCH($B114,SprintNombres,0)),INDEX(SprintInicio,MATCH($B114,SprintNombres,0))+8-WEEKDAY(INDEX(SprintInicio,MATCH($B114,SprintNombres,0)),2))</f>
        <v>46328</v>
      </c>
      <c r="I114" s="48" t="n">
        <f aca="false">IF($G114=1,MIN(INDEX(SprintInicio,MATCH($B114,SprintNombres,0))+5-WEEKDAY(INDEX(SprintInicio,MATCH($B114,SprintNombres,0)),2),INDEX(SprintFin,MATCH($B114,SprintNombres,0))),INDEX(SprintFin,MATCH($B114,SprintNombres,0)))</f>
        <v>46332</v>
      </c>
      <c r="J114" s="49" t="s">
        <v>395</v>
      </c>
      <c r="K114" s="12" t="n">
        <f aca="false">IFERROR(VLOOKUP($J114,EstadosAvance,2,FALSE()),0)</f>
        <v>0</v>
      </c>
      <c r="L114" s="50" t="n">
        <f aca="false">F114*K114</f>
        <v>0</v>
      </c>
      <c r="M114" s="11"/>
    </row>
    <row r="115" customFormat="false" ht="23.85" hidden="false" customHeight="false" outlineLevel="0" collapsed="false">
      <c r="A115" s="10" t="s">
        <v>363</v>
      </c>
      <c r="B115" s="10" t="s">
        <v>51</v>
      </c>
      <c r="C115" s="10" t="s">
        <v>54</v>
      </c>
      <c r="D115" s="11" t="s">
        <v>364</v>
      </c>
      <c r="E115" s="10" t="s">
        <v>29</v>
      </c>
      <c r="F115" s="10" t="n">
        <v>3</v>
      </c>
      <c r="G115" s="10" t="n">
        <v>1</v>
      </c>
      <c r="H115" s="48" t="n">
        <f aca="false">IF($G115=1,INDEX(SprintInicio,MATCH($B115,SprintNombres,0)),INDEX(SprintInicio,MATCH($B115,SprintNombres,0))+8-WEEKDAY(INDEX(SprintInicio,MATCH($B115,SprintNombres,0)),2))</f>
        <v>46335</v>
      </c>
      <c r="I115" s="48" t="n">
        <f aca="false">IF($G115=1,MIN(INDEX(SprintInicio,MATCH($B115,SprintNombres,0))+5-WEEKDAY(INDEX(SprintInicio,MATCH($B115,SprintNombres,0)),2),INDEX(SprintFin,MATCH($B115,SprintNombres,0))),INDEX(SprintFin,MATCH($B115,SprintNombres,0)))</f>
        <v>46339</v>
      </c>
      <c r="J115" s="49" t="s">
        <v>395</v>
      </c>
      <c r="K115" s="12" t="n">
        <f aca="false">IFERROR(VLOOKUP($J115,EstadosAvance,2,FALSE()),0)</f>
        <v>0</v>
      </c>
      <c r="L115" s="50" t="n">
        <f aca="false">F115*K115</f>
        <v>0</v>
      </c>
      <c r="M115" s="11"/>
    </row>
    <row r="116" customFormat="false" ht="15" hidden="false" customHeight="false" outlineLevel="0" collapsed="false">
      <c r="A116" s="10" t="s">
        <v>365</v>
      </c>
      <c r="B116" s="10" t="s">
        <v>51</v>
      </c>
      <c r="C116" s="10" t="s">
        <v>54</v>
      </c>
      <c r="D116" s="11" t="s">
        <v>366</v>
      </c>
      <c r="E116" s="10" t="s">
        <v>29</v>
      </c>
      <c r="F116" s="10" t="n">
        <v>2</v>
      </c>
      <c r="G116" s="10" t="n">
        <v>1</v>
      </c>
      <c r="H116" s="48" t="n">
        <f aca="false">IF($G116=1,INDEX(SprintInicio,MATCH($B116,SprintNombres,0)),INDEX(SprintInicio,MATCH($B116,SprintNombres,0))+8-WEEKDAY(INDEX(SprintInicio,MATCH($B116,SprintNombres,0)),2))</f>
        <v>46335</v>
      </c>
      <c r="I116" s="48" t="n">
        <f aca="false">IF($G116=1,MIN(INDEX(SprintInicio,MATCH($B116,SprintNombres,0))+5-WEEKDAY(INDEX(SprintInicio,MATCH($B116,SprintNombres,0)),2),INDEX(SprintFin,MATCH($B116,SprintNombres,0))),INDEX(SprintFin,MATCH($B116,SprintNombres,0)))</f>
        <v>46339</v>
      </c>
      <c r="J116" s="49" t="s">
        <v>395</v>
      </c>
      <c r="K116" s="12" t="n">
        <f aca="false">IFERROR(VLOOKUP($J116,EstadosAvance,2,FALSE()),0)</f>
        <v>0</v>
      </c>
      <c r="L116" s="50" t="n">
        <f aca="false">F116*K116</f>
        <v>0</v>
      </c>
      <c r="M116" s="11"/>
    </row>
    <row r="117" customFormat="false" ht="15" hidden="false" customHeight="false" outlineLevel="0" collapsed="false">
      <c r="A117" s="10" t="s">
        <v>367</v>
      </c>
      <c r="B117" s="10" t="s">
        <v>51</v>
      </c>
      <c r="C117" s="10" t="s">
        <v>54</v>
      </c>
      <c r="D117" s="11" t="s">
        <v>368</v>
      </c>
      <c r="E117" s="10" t="s">
        <v>28</v>
      </c>
      <c r="F117" s="10" t="n">
        <v>2</v>
      </c>
      <c r="G117" s="10" t="n">
        <v>1</v>
      </c>
      <c r="H117" s="48" t="n">
        <f aca="false">IF($G117=1,INDEX(SprintInicio,MATCH($B117,SprintNombres,0)),INDEX(SprintInicio,MATCH($B117,SprintNombres,0))+8-WEEKDAY(INDEX(SprintInicio,MATCH($B117,SprintNombres,0)),2))</f>
        <v>46335</v>
      </c>
      <c r="I117" s="48" t="n">
        <f aca="false">IF($G117=1,MIN(INDEX(SprintInicio,MATCH($B117,SprintNombres,0))+5-WEEKDAY(INDEX(SprintInicio,MATCH($B117,SprintNombres,0)),2),INDEX(SprintFin,MATCH($B117,SprintNombres,0))),INDEX(SprintFin,MATCH($B117,SprintNombres,0)))</f>
        <v>46339</v>
      </c>
      <c r="J117" s="49" t="s">
        <v>395</v>
      </c>
      <c r="K117" s="12" t="n">
        <f aca="false">IFERROR(VLOOKUP($J117,EstadosAvance,2,FALSE()),0)</f>
        <v>0</v>
      </c>
      <c r="L117" s="50" t="n">
        <f aca="false">F117*K117</f>
        <v>0</v>
      </c>
      <c r="M117" s="11"/>
    </row>
    <row r="118" customFormat="false" ht="15" hidden="false" customHeight="false" outlineLevel="0" collapsed="false">
      <c r="A118" s="10" t="s">
        <v>369</v>
      </c>
      <c r="B118" s="10" t="s">
        <v>51</v>
      </c>
      <c r="C118" s="10" t="s">
        <v>54</v>
      </c>
      <c r="D118" s="11" t="s">
        <v>370</v>
      </c>
      <c r="E118" s="10" t="s">
        <v>28</v>
      </c>
      <c r="F118" s="10" t="n">
        <v>2</v>
      </c>
      <c r="G118" s="10" t="n">
        <v>1</v>
      </c>
      <c r="H118" s="48" t="n">
        <f aca="false">IF($G118=1,INDEX(SprintInicio,MATCH($B118,SprintNombres,0)),INDEX(SprintInicio,MATCH($B118,SprintNombres,0))+8-WEEKDAY(INDEX(SprintInicio,MATCH($B118,SprintNombres,0)),2))</f>
        <v>46335</v>
      </c>
      <c r="I118" s="48" t="n">
        <f aca="false">IF($G118=1,MIN(INDEX(SprintInicio,MATCH($B118,SprintNombres,0))+5-WEEKDAY(INDEX(SprintInicio,MATCH($B118,SprintNombres,0)),2),INDEX(SprintFin,MATCH($B118,SprintNombres,0))),INDEX(SprintFin,MATCH($B118,SprintNombres,0)))</f>
        <v>46339</v>
      </c>
      <c r="J118" s="49" t="s">
        <v>395</v>
      </c>
      <c r="K118" s="12" t="n">
        <f aca="false">IFERROR(VLOOKUP($J118,EstadosAvance,2,FALSE()),0)</f>
        <v>0</v>
      </c>
      <c r="L118" s="50" t="n">
        <f aca="false">F118*K118</f>
        <v>0</v>
      </c>
      <c r="M118" s="11"/>
    </row>
    <row r="119" customFormat="false" ht="15" hidden="false" customHeight="false" outlineLevel="0" collapsed="false">
      <c r="A119" s="10" t="s">
        <v>371</v>
      </c>
      <c r="B119" s="10" t="s">
        <v>51</v>
      </c>
      <c r="C119" s="10" t="s">
        <v>54</v>
      </c>
      <c r="D119" s="11" t="s">
        <v>372</v>
      </c>
      <c r="E119" s="10" t="s">
        <v>27</v>
      </c>
      <c r="F119" s="10" t="n">
        <v>2</v>
      </c>
      <c r="G119" s="10" t="n">
        <v>1</v>
      </c>
      <c r="H119" s="48" t="n">
        <f aca="false">IF($G119=1,INDEX(SprintInicio,MATCH($B119,SprintNombres,0)),INDEX(SprintInicio,MATCH($B119,SprintNombres,0))+8-WEEKDAY(INDEX(SprintInicio,MATCH($B119,SprintNombres,0)),2))</f>
        <v>46335</v>
      </c>
      <c r="I119" s="48" t="n">
        <f aca="false">IF($G119=1,MIN(INDEX(SprintInicio,MATCH($B119,SprintNombres,0))+5-WEEKDAY(INDEX(SprintInicio,MATCH($B119,SprintNombres,0)),2),INDEX(SprintFin,MATCH($B119,SprintNombres,0))),INDEX(SprintFin,MATCH($B119,SprintNombres,0)))</f>
        <v>46339</v>
      </c>
      <c r="J119" s="49" t="s">
        <v>395</v>
      </c>
      <c r="K119" s="12" t="n">
        <f aca="false">IFERROR(VLOOKUP($J119,EstadosAvance,2,FALSE()),0)</f>
        <v>0</v>
      </c>
      <c r="L119" s="50" t="n">
        <f aca="false">F119*K119</f>
        <v>0</v>
      </c>
      <c r="M119" s="11"/>
    </row>
    <row r="120" customFormat="false" ht="15" hidden="false" customHeight="false" outlineLevel="0" collapsed="false">
      <c r="A120" s="10" t="s">
        <v>373</v>
      </c>
      <c r="B120" s="10" t="s">
        <v>51</v>
      </c>
      <c r="C120" s="10" t="s">
        <v>394</v>
      </c>
      <c r="D120" s="11" t="s">
        <v>374</v>
      </c>
      <c r="E120" s="10" t="s">
        <v>27</v>
      </c>
      <c r="F120" s="10" t="n">
        <v>3</v>
      </c>
      <c r="G120" s="10" t="n">
        <v>1</v>
      </c>
      <c r="H120" s="48" t="n">
        <f aca="false">IF($G120=1,INDEX(SprintInicio,MATCH($B120,SprintNombres,0)),INDEX(SprintInicio,MATCH($B120,SprintNombres,0))+8-WEEKDAY(INDEX(SprintInicio,MATCH($B120,SprintNombres,0)),2))</f>
        <v>46335</v>
      </c>
      <c r="I120" s="48" t="n">
        <f aca="false">IF($G120=1,MIN(INDEX(SprintInicio,MATCH($B120,SprintNombres,0))+5-WEEKDAY(INDEX(SprintInicio,MATCH($B120,SprintNombres,0)),2),INDEX(SprintFin,MATCH($B120,SprintNombres,0))),INDEX(SprintFin,MATCH($B120,SprintNombres,0)))</f>
        <v>46339</v>
      </c>
      <c r="J120" s="49" t="s">
        <v>395</v>
      </c>
      <c r="K120" s="12" t="n">
        <f aca="false">IFERROR(VLOOKUP($J120,EstadosAvance,2,FALSE()),0)</f>
        <v>0</v>
      </c>
      <c r="L120" s="50" t="n">
        <f aca="false">F120*K120</f>
        <v>0</v>
      </c>
      <c r="M120" s="11"/>
    </row>
    <row r="121" customFormat="false" ht="15" hidden="false" customHeight="false" outlineLevel="0" collapsed="false">
      <c r="A121" s="10" t="s">
        <v>375</v>
      </c>
      <c r="B121" s="10" t="s">
        <v>51</v>
      </c>
      <c r="C121" s="10" t="s">
        <v>394</v>
      </c>
      <c r="D121" s="11" t="s">
        <v>376</v>
      </c>
      <c r="E121" s="10" t="s">
        <v>27</v>
      </c>
      <c r="F121" s="10" t="n">
        <v>3</v>
      </c>
      <c r="G121" s="10" t="n">
        <v>1</v>
      </c>
      <c r="H121" s="48" t="n">
        <f aca="false">IF($G121=1,INDEX(SprintInicio,MATCH($B121,SprintNombres,0)),INDEX(SprintInicio,MATCH($B121,SprintNombres,0))+8-WEEKDAY(INDEX(SprintInicio,MATCH($B121,SprintNombres,0)),2))</f>
        <v>46335</v>
      </c>
      <c r="I121" s="48" t="n">
        <f aca="false">IF($G121=1,MIN(INDEX(SprintInicio,MATCH($B121,SprintNombres,0))+5-WEEKDAY(INDEX(SprintInicio,MATCH($B121,SprintNombres,0)),2),INDEX(SprintFin,MATCH($B121,SprintNombres,0))),INDEX(SprintFin,MATCH($B121,SprintNombres,0)))</f>
        <v>46339</v>
      </c>
      <c r="J121" s="49" t="s">
        <v>395</v>
      </c>
      <c r="K121" s="12" t="n">
        <f aca="false">IFERROR(VLOOKUP($J121,EstadosAvance,2,FALSE()),0)</f>
        <v>0</v>
      </c>
      <c r="L121" s="50" t="n">
        <f aca="false">F121*K121</f>
        <v>0</v>
      </c>
      <c r="M121" s="11"/>
    </row>
    <row r="122" customFormat="false" ht="15" hidden="false" customHeight="false" outlineLevel="0" collapsed="false">
      <c r="A122" s="10" t="s">
        <v>377</v>
      </c>
      <c r="B122" s="10" t="s">
        <v>51</v>
      </c>
      <c r="C122" s="10" t="s">
        <v>394</v>
      </c>
      <c r="D122" s="11" t="s">
        <v>378</v>
      </c>
      <c r="E122" s="10" t="s">
        <v>29</v>
      </c>
      <c r="F122" s="10" t="n">
        <v>1</v>
      </c>
      <c r="G122" s="10" t="n">
        <v>1</v>
      </c>
      <c r="H122" s="48" t="n">
        <f aca="false">IF($G122=1,INDEX(SprintInicio,MATCH($B122,SprintNombres,0)),INDEX(SprintInicio,MATCH($B122,SprintNombres,0))+8-WEEKDAY(INDEX(SprintInicio,MATCH($B122,SprintNombres,0)),2))</f>
        <v>46335</v>
      </c>
      <c r="I122" s="48" t="n">
        <f aca="false">IF($G122=1,MIN(INDEX(SprintInicio,MATCH($B122,SprintNombres,0))+5-WEEKDAY(INDEX(SprintInicio,MATCH($B122,SprintNombres,0)),2),INDEX(SprintFin,MATCH($B122,SprintNombres,0))),INDEX(SprintFin,MATCH($B122,SprintNombres,0)))</f>
        <v>46339</v>
      </c>
      <c r="J122" s="49" t="s">
        <v>395</v>
      </c>
      <c r="K122" s="12" t="n">
        <f aca="false">IFERROR(VLOOKUP($J122,EstadosAvance,2,FALSE()),0)</f>
        <v>0</v>
      </c>
      <c r="L122" s="50" t="n">
        <f aca="false">F122*K122</f>
        <v>0</v>
      </c>
      <c r="M122" s="11"/>
    </row>
    <row r="123" customFormat="false" ht="15" hidden="false" customHeight="false" outlineLevel="0" collapsed="false">
      <c r="A123" s="10" t="s">
        <v>379</v>
      </c>
      <c r="B123" s="10" t="s">
        <v>51</v>
      </c>
      <c r="C123" s="10" t="s">
        <v>394</v>
      </c>
      <c r="D123" s="11" t="s">
        <v>380</v>
      </c>
      <c r="E123" s="10" t="s">
        <v>28</v>
      </c>
      <c r="F123" s="10" t="n">
        <v>2</v>
      </c>
      <c r="G123" s="10" t="n">
        <v>1</v>
      </c>
      <c r="H123" s="48" t="n">
        <f aca="false">IF($G123=1,INDEX(SprintInicio,MATCH($B123,SprintNombres,0)),INDEX(SprintInicio,MATCH($B123,SprintNombres,0))+8-WEEKDAY(INDEX(SprintInicio,MATCH($B123,SprintNombres,0)),2))</f>
        <v>46335</v>
      </c>
      <c r="I123" s="48" t="n">
        <f aca="false">IF($G123=1,MIN(INDEX(SprintInicio,MATCH($B123,SprintNombres,0))+5-WEEKDAY(INDEX(SprintInicio,MATCH($B123,SprintNombres,0)),2),INDEX(SprintFin,MATCH($B123,SprintNombres,0))),INDEX(SprintFin,MATCH($B123,SprintNombres,0)))</f>
        <v>46339</v>
      </c>
      <c r="J123" s="49" t="s">
        <v>395</v>
      </c>
      <c r="K123" s="12" t="n">
        <f aca="false">IFERROR(VLOOKUP($J123,EstadosAvance,2,FALSE()),0)</f>
        <v>0</v>
      </c>
      <c r="L123" s="50" t="n">
        <f aca="false">F123*K123</f>
        <v>0</v>
      </c>
      <c r="M123" s="11"/>
    </row>
    <row r="124" customFormat="false" ht="15" hidden="false" customHeight="false" outlineLevel="0" collapsed="false">
      <c r="A124" s="10" t="s">
        <v>381</v>
      </c>
      <c r="B124" s="10" t="s">
        <v>51</v>
      </c>
      <c r="C124" s="10" t="s">
        <v>394</v>
      </c>
      <c r="D124" s="11" t="s">
        <v>145</v>
      </c>
      <c r="E124" s="10" t="s">
        <v>27</v>
      </c>
      <c r="F124" s="10" t="n">
        <v>1</v>
      </c>
      <c r="G124" s="10" t="n">
        <v>1</v>
      </c>
      <c r="H124" s="48" t="n">
        <f aca="false">IF($G124=1,INDEX(SprintInicio,MATCH($B124,SprintNombres,0)),INDEX(SprintInicio,MATCH($B124,SprintNombres,0))+8-WEEKDAY(INDEX(SprintInicio,MATCH($B124,SprintNombres,0)),2))</f>
        <v>46335</v>
      </c>
      <c r="I124" s="48" t="n">
        <f aca="false">IF($G124=1,MIN(INDEX(SprintInicio,MATCH($B124,SprintNombres,0))+5-WEEKDAY(INDEX(SprintInicio,MATCH($B124,SprintNombres,0)),2),INDEX(SprintFin,MATCH($B124,SprintNombres,0))),INDEX(SprintFin,MATCH($B124,SprintNombres,0)))</f>
        <v>46339</v>
      </c>
      <c r="J124" s="49" t="s">
        <v>395</v>
      </c>
      <c r="K124" s="12" t="n">
        <f aca="false">IFERROR(VLOOKUP($J124,EstadosAvance,2,FALSE()),0)</f>
        <v>0</v>
      </c>
      <c r="L124" s="50" t="n">
        <f aca="false">F124*K124</f>
        <v>0</v>
      </c>
      <c r="M124" s="11"/>
    </row>
  </sheetData>
  <conditionalFormatting sqref="J5:J124">
    <cfRule type="expression" priority="2" aboveAverage="0" equalAverage="0" bottom="0" percent="0" rank="0" text="" dxfId="16">
      <formula>$J5="Terminado"</formula>
    </cfRule>
    <cfRule type="expression" priority="3" aboveAverage="0" equalAverage="0" bottom="0" percent="0" rank="0" text="" dxfId="17">
      <formula>AND($J5&lt;&gt;"Por hacer",$J5&lt;&gt;"Terminado")</formula>
    </cfRule>
  </conditionalFormatting>
  <dataValidations count="1">
    <dataValidation allowBlank="false" errorStyle="stop" operator="between" showDropDown="false" showErrorMessage="false" showInputMessage="false" sqref="J5:J124" type="list">
      <formula1>EstadosTarea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3"/>
  </cols>
  <sheetData>
    <row r="1" customFormat="false" ht="19.7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35.05" hidden="false" customHeight="false" outlineLevel="0" collapsed="false">
      <c r="A4" s="7" t="s">
        <v>75</v>
      </c>
      <c r="B4" s="7" t="s">
        <v>398</v>
      </c>
      <c r="C4" s="7" t="s">
        <v>399</v>
      </c>
      <c r="D4" s="7" t="s">
        <v>7</v>
      </c>
      <c r="E4" s="7" t="s">
        <v>400</v>
      </c>
      <c r="F4" s="7" t="s">
        <v>401</v>
      </c>
      <c r="G4" s="7" t="s">
        <v>402</v>
      </c>
      <c r="H4" s="7" t="s">
        <v>403</v>
      </c>
      <c r="I4" s="7" t="s">
        <v>404</v>
      </c>
      <c r="J4" s="7" t="s">
        <v>8</v>
      </c>
      <c r="K4" s="7" t="s">
        <v>9</v>
      </c>
      <c r="L4" s="7" t="s">
        <v>389</v>
      </c>
      <c r="M4" s="7" t="s">
        <v>391</v>
      </c>
      <c r="N4" s="7" t="s">
        <v>17</v>
      </c>
      <c r="O4" s="7" t="s">
        <v>405</v>
      </c>
      <c r="P4" s="7" t="s">
        <v>22</v>
      </c>
    </row>
    <row r="5" customFormat="false" ht="15" hidden="false" customHeight="false" outlineLevel="0" collapsed="false">
      <c r="A5" s="51" t="s">
        <v>87</v>
      </c>
      <c r="B5" s="11" t="s">
        <v>88</v>
      </c>
      <c r="C5" s="10" t="s">
        <v>406</v>
      </c>
      <c r="D5" s="10" t="s">
        <v>23</v>
      </c>
      <c r="E5" s="10" t="n">
        <v>5</v>
      </c>
      <c r="F5" s="10" t="s">
        <v>407</v>
      </c>
      <c r="G5" s="11" t="s">
        <v>408</v>
      </c>
      <c r="H5" s="11" t="s">
        <v>89</v>
      </c>
      <c r="I5" s="10" t="s">
        <v>409</v>
      </c>
      <c r="J5" s="48" t="n">
        <f aca="false">_xlfn.MINIFS(Tareas!$H:$H,Tareas!$C:$C,$A5)</f>
        <v>46265</v>
      </c>
      <c r="K5" s="48" t="n">
        <f aca="false">_xlfn.MAXIFS(Tareas!$I:$I,Tareas!$C:$C,$A5)</f>
        <v>46269</v>
      </c>
      <c r="L5" s="10" t="n">
        <f aca="false">SUMIFS(Tareas!$F:$F,Tareas!$C:$C,$A5)</f>
        <v>12</v>
      </c>
      <c r="M5" s="50" t="n">
        <f aca="false">SUMIFS(Tareas!$L:$L,Tareas!$C:$C,$A5)</f>
        <v>12</v>
      </c>
      <c r="N5" s="12" t="n">
        <f aca="false">IFERROR(M5/L5,0)</f>
        <v>1</v>
      </c>
      <c r="O5" s="49" t="s">
        <v>410</v>
      </c>
      <c r="P5" s="52" t="str">
        <f aca="false">IF(AND(N5&gt;=1,O5="Sí"),"Terminada",IF(N5&gt;=1,"Por aceptar",IF(N5&gt;0,"En curso","Por hacer")))</f>
        <v>Terminada</v>
      </c>
    </row>
    <row r="6" customFormat="false" ht="15" hidden="false" customHeight="false" outlineLevel="0" collapsed="false">
      <c r="A6" s="51" t="s">
        <v>103</v>
      </c>
      <c r="B6" s="11" t="s">
        <v>104</v>
      </c>
      <c r="C6" s="10" t="s">
        <v>406</v>
      </c>
      <c r="D6" s="10" t="s">
        <v>23</v>
      </c>
      <c r="E6" s="10" t="n">
        <v>8</v>
      </c>
      <c r="F6" s="10" t="s">
        <v>407</v>
      </c>
      <c r="G6" s="11" t="s">
        <v>87</v>
      </c>
      <c r="H6" s="11" t="s">
        <v>89</v>
      </c>
      <c r="I6" s="10" t="s">
        <v>411</v>
      </c>
      <c r="J6" s="48" t="n">
        <f aca="false">_xlfn.MINIFS(Tareas!$H:$H,Tareas!$C:$C,$A6)</f>
        <v>46265</v>
      </c>
      <c r="K6" s="48" t="n">
        <f aca="false">_xlfn.MAXIFS(Tareas!$I:$I,Tareas!$C:$C,$A6)</f>
        <v>46269</v>
      </c>
      <c r="L6" s="10" t="n">
        <f aca="false">SUMIFS(Tareas!$F:$F,Tareas!$C:$C,$A6)</f>
        <v>16</v>
      </c>
      <c r="M6" s="50" t="n">
        <f aca="false">SUMIFS(Tareas!$L:$L,Tareas!$C:$C,$A6)</f>
        <v>16</v>
      </c>
      <c r="N6" s="12" t="n">
        <f aca="false">IFERROR(M6/L6,0)</f>
        <v>1</v>
      </c>
      <c r="O6" s="49" t="s">
        <v>410</v>
      </c>
      <c r="P6" s="52" t="str">
        <f aca="false">IF(AND(N6&gt;=1,O6="Sí"),"Terminada",IF(N6&gt;=1,"Por aceptar",IF(N6&gt;0,"En curso","Por hacer")))</f>
        <v>Terminada</v>
      </c>
    </row>
    <row r="7" customFormat="false" ht="15" hidden="false" customHeight="false" outlineLevel="0" collapsed="false">
      <c r="A7" s="51" t="s">
        <v>115</v>
      </c>
      <c r="B7" s="11" t="s">
        <v>116</v>
      </c>
      <c r="C7" s="10" t="s">
        <v>406</v>
      </c>
      <c r="D7" s="10" t="s">
        <v>23</v>
      </c>
      <c r="E7" s="10" t="n">
        <v>8</v>
      </c>
      <c r="F7" s="10" t="s">
        <v>407</v>
      </c>
      <c r="G7" s="11" t="s">
        <v>103</v>
      </c>
      <c r="H7" s="11" t="s">
        <v>89</v>
      </c>
      <c r="I7" s="10" t="s">
        <v>412</v>
      </c>
      <c r="J7" s="48" t="n">
        <f aca="false">_xlfn.MINIFS(Tareas!$H:$H,Tareas!$C:$C,$A7)</f>
        <v>46272</v>
      </c>
      <c r="K7" s="48" t="n">
        <f aca="false">_xlfn.MAXIFS(Tareas!$I:$I,Tareas!$C:$C,$A7)</f>
        <v>46276</v>
      </c>
      <c r="L7" s="10" t="n">
        <f aca="false">SUMIFS(Tareas!$F:$F,Tareas!$C:$C,$A7)</f>
        <v>18</v>
      </c>
      <c r="M7" s="50" t="n">
        <f aca="false">SUMIFS(Tareas!$L:$L,Tareas!$C:$C,$A7)</f>
        <v>18</v>
      </c>
      <c r="N7" s="12" t="n">
        <f aca="false">IFERROR(M7/L7,0)</f>
        <v>1</v>
      </c>
      <c r="O7" s="49" t="s">
        <v>410</v>
      </c>
      <c r="P7" s="52" t="str">
        <f aca="false">IF(AND(N7&gt;=1,O7="Sí"),"Terminada",IF(N7&gt;=1,"Por aceptar",IF(N7&gt;0,"En curso","Por hacer")))</f>
        <v>Terminada</v>
      </c>
    </row>
    <row r="8" customFormat="false" ht="15" hidden="false" customHeight="false" outlineLevel="0" collapsed="false">
      <c r="A8" s="51" t="s">
        <v>127</v>
      </c>
      <c r="B8" s="11" t="s">
        <v>128</v>
      </c>
      <c r="C8" s="10" t="s">
        <v>406</v>
      </c>
      <c r="D8" s="10" t="s">
        <v>23</v>
      </c>
      <c r="E8" s="10" t="n">
        <v>8</v>
      </c>
      <c r="F8" s="10" t="s">
        <v>407</v>
      </c>
      <c r="G8" s="11" t="s">
        <v>413</v>
      </c>
      <c r="H8" s="11" t="s">
        <v>89</v>
      </c>
      <c r="I8" s="10" t="s">
        <v>414</v>
      </c>
      <c r="J8" s="48" t="n">
        <f aca="false">_xlfn.MINIFS(Tareas!$H:$H,Tareas!$C:$C,$A8)</f>
        <v>46272</v>
      </c>
      <c r="K8" s="48" t="n">
        <f aca="false">_xlfn.MAXIFS(Tareas!$I:$I,Tareas!$C:$C,$A8)</f>
        <v>46276</v>
      </c>
      <c r="L8" s="10" t="n">
        <f aca="false">SUMIFS(Tareas!$F:$F,Tareas!$C:$C,$A8)</f>
        <v>14</v>
      </c>
      <c r="M8" s="50" t="n">
        <f aca="false">SUMIFS(Tareas!$L:$L,Tareas!$C:$C,$A8)</f>
        <v>14</v>
      </c>
      <c r="N8" s="12" t="n">
        <f aca="false">IFERROR(M8/L8,0)</f>
        <v>1</v>
      </c>
      <c r="O8" s="49" t="s">
        <v>410</v>
      </c>
      <c r="P8" s="52" t="str">
        <f aca="false">IF(AND(N8&gt;=1,O8="Sí"),"Terminada",IF(N8&gt;=1,"Por aceptar",IF(N8&gt;0,"En curso","Por hacer")))</f>
        <v>Terminada</v>
      </c>
    </row>
    <row r="9" customFormat="false" ht="15" hidden="false" customHeight="false" outlineLevel="0" collapsed="false">
      <c r="A9" s="51" t="s">
        <v>149</v>
      </c>
      <c r="B9" s="11" t="s">
        <v>150</v>
      </c>
      <c r="C9" s="10" t="s">
        <v>415</v>
      </c>
      <c r="D9" s="10" t="s">
        <v>31</v>
      </c>
      <c r="E9" s="10" t="n">
        <v>8</v>
      </c>
      <c r="F9" s="10" t="s">
        <v>407</v>
      </c>
      <c r="G9" s="11" t="s">
        <v>416</v>
      </c>
      <c r="H9" s="11" t="s">
        <v>151</v>
      </c>
      <c r="I9" s="10" t="s">
        <v>417</v>
      </c>
      <c r="J9" s="48" t="n">
        <f aca="false">_xlfn.MINIFS(Tareas!$H:$H,Tareas!$C:$C,$A9)</f>
        <v>46279</v>
      </c>
      <c r="K9" s="48" t="n">
        <f aca="false">_xlfn.MAXIFS(Tareas!$I:$I,Tareas!$C:$C,$A9)</f>
        <v>46283</v>
      </c>
      <c r="L9" s="10" t="n">
        <f aca="false">SUMIFS(Tareas!$F:$F,Tareas!$C:$C,$A9)</f>
        <v>17</v>
      </c>
      <c r="M9" s="50" t="n">
        <f aca="false">SUMIFS(Tareas!$L:$L,Tareas!$C:$C,$A9)</f>
        <v>17</v>
      </c>
      <c r="N9" s="12" t="n">
        <f aca="false">IFERROR(M9/L9,0)</f>
        <v>1</v>
      </c>
      <c r="O9" s="49" t="s">
        <v>410</v>
      </c>
      <c r="P9" s="52" t="str">
        <f aca="false">IF(AND(N9&gt;=1,O9="Sí"),"Terminada",IF(N9&gt;=1,"Por aceptar",IF(N9&gt;0,"En curso","Por hacer")))</f>
        <v>Terminada</v>
      </c>
    </row>
    <row r="10" customFormat="false" ht="15" hidden="false" customHeight="false" outlineLevel="0" collapsed="false">
      <c r="A10" s="51" t="s">
        <v>162</v>
      </c>
      <c r="B10" s="11" t="s">
        <v>163</v>
      </c>
      <c r="C10" s="10" t="s">
        <v>415</v>
      </c>
      <c r="D10" s="10" t="s">
        <v>31</v>
      </c>
      <c r="E10" s="10" t="n">
        <v>5</v>
      </c>
      <c r="F10" s="10" t="s">
        <v>407</v>
      </c>
      <c r="G10" s="11" t="s">
        <v>149</v>
      </c>
      <c r="H10" s="11" t="s">
        <v>151</v>
      </c>
      <c r="I10" s="10" t="s">
        <v>418</v>
      </c>
      <c r="J10" s="48" t="n">
        <f aca="false">_xlfn.MINIFS(Tareas!$H:$H,Tareas!$C:$C,$A10)</f>
        <v>46279</v>
      </c>
      <c r="K10" s="48" t="n">
        <f aca="false">_xlfn.MAXIFS(Tareas!$I:$I,Tareas!$C:$C,$A10)</f>
        <v>46283</v>
      </c>
      <c r="L10" s="10" t="n">
        <f aca="false">SUMIFS(Tareas!$F:$F,Tareas!$C:$C,$A10)</f>
        <v>10</v>
      </c>
      <c r="M10" s="50" t="n">
        <f aca="false">SUMIFS(Tareas!$L:$L,Tareas!$C:$C,$A10)</f>
        <v>10</v>
      </c>
      <c r="N10" s="12" t="n">
        <f aca="false">IFERROR(M10/L10,0)</f>
        <v>1</v>
      </c>
      <c r="O10" s="49" t="s">
        <v>410</v>
      </c>
      <c r="P10" s="52" t="str">
        <f aca="false">IF(AND(N10&gt;=1,O10="Sí"),"Terminada",IF(N10&gt;=1,"Por aceptar",IF(N10&gt;0,"En curso","Por hacer")))</f>
        <v>Terminada</v>
      </c>
    </row>
    <row r="11" customFormat="false" ht="15" hidden="false" customHeight="false" outlineLevel="0" collapsed="false">
      <c r="A11" s="51" t="s">
        <v>172</v>
      </c>
      <c r="B11" s="11" t="s">
        <v>173</v>
      </c>
      <c r="C11" s="10" t="s">
        <v>415</v>
      </c>
      <c r="D11" s="10" t="s">
        <v>31</v>
      </c>
      <c r="E11" s="10" t="n">
        <v>8</v>
      </c>
      <c r="F11" s="10" t="s">
        <v>407</v>
      </c>
      <c r="G11" s="11" t="s">
        <v>162</v>
      </c>
      <c r="H11" s="11" t="s">
        <v>151</v>
      </c>
      <c r="I11" s="10" t="s">
        <v>419</v>
      </c>
      <c r="J11" s="48" t="n">
        <f aca="false">_xlfn.MINIFS(Tareas!$H:$H,Tareas!$C:$C,$A11)</f>
        <v>46286</v>
      </c>
      <c r="K11" s="48" t="n">
        <f aca="false">_xlfn.MAXIFS(Tareas!$I:$I,Tareas!$C:$C,$A11)</f>
        <v>46290</v>
      </c>
      <c r="L11" s="10" t="n">
        <f aca="false">SUMIFS(Tareas!$F:$F,Tareas!$C:$C,$A11)</f>
        <v>12</v>
      </c>
      <c r="M11" s="50" t="n">
        <f aca="false">SUMIFS(Tareas!$L:$L,Tareas!$C:$C,$A11)</f>
        <v>12</v>
      </c>
      <c r="N11" s="12" t="n">
        <f aca="false">IFERROR(M11/L11,0)</f>
        <v>1</v>
      </c>
      <c r="O11" s="49" t="s">
        <v>410</v>
      </c>
      <c r="P11" s="52" t="str">
        <f aca="false">IF(AND(N11&gt;=1,O11="Sí"),"Terminada",IF(N11&gt;=1,"Por aceptar",IF(N11&gt;0,"En curso","Por hacer")))</f>
        <v>Terminada</v>
      </c>
    </row>
    <row r="12" customFormat="false" ht="15" hidden="false" customHeight="false" outlineLevel="0" collapsed="false">
      <c r="A12" s="51" t="s">
        <v>182</v>
      </c>
      <c r="B12" s="11" t="s">
        <v>183</v>
      </c>
      <c r="C12" s="10" t="s">
        <v>420</v>
      </c>
      <c r="D12" s="10" t="s">
        <v>31</v>
      </c>
      <c r="E12" s="10" t="n">
        <v>5</v>
      </c>
      <c r="F12" s="10" t="s">
        <v>407</v>
      </c>
      <c r="G12" s="11" t="s">
        <v>421</v>
      </c>
      <c r="H12" s="11" t="s">
        <v>151</v>
      </c>
      <c r="I12" s="10" t="s">
        <v>422</v>
      </c>
      <c r="J12" s="48" t="n">
        <f aca="false">_xlfn.MINIFS(Tareas!$H:$H,Tareas!$C:$C,$A12)</f>
        <v>46286</v>
      </c>
      <c r="K12" s="48" t="n">
        <f aca="false">_xlfn.MAXIFS(Tareas!$I:$I,Tareas!$C:$C,$A12)</f>
        <v>46290</v>
      </c>
      <c r="L12" s="10" t="n">
        <f aca="false">SUMIFS(Tareas!$F:$F,Tareas!$C:$C,$A12)</f>
        <v>11</v>
      </c>
      <c r="M12" s="50" t="n">
        <f aca="false">SUMIFS(Tareas!$L:$L,Tareas!$C:$C,$A12)</f>
        <v>11</v>
      </c>
      <c r="N12" s="12" t="n">
        <f aca="false">IFERROR(M12/L12,0)</f>
        <v>1</v>
      </c>
      <c r="O12" s="49" t="s">
        <v>410</v>
      </c>
      <c r="P12" s="52" t="str">
        <f aca="false">IF(AND(N12&gt;=1,O12="Sí"),"Terminada",IF(N12&gt;=1,"Por aceptar",IF(N12&gt;0,"En curso","Por hacer")))</f>
        <v>Terminada</v>
      </c>
    </row>
    <row r="13" customFormat="false" ht="15" hidden="false" customHeight="false" outlineLevel="0" collapsed="false">
      <c r="A13" s="51" t="s">
        <v>202</v>
      </c>
      <c r="B13" s="11" t="s">
        <v>203</v>
      </c>
      <c r="C13" s="10" t="s">
        <v>423</v>
      </c>
      <c r="D13" s="10" t="s">
        <v>36</v>
      </c>
      <c r="E13" s="10" t="n">
        <v>8</v>
      </c>
      <c r="F13" s="10" t="s">
        <v>407</v>
      </c>
      <c r="G13" s="11" t="s">
        <v>416</v>
      </c>
      <c r="H13" s="11" t="s">
        <v>204</v>
      </c>
      <c r="I13" s="10" t="s">
        <v>424</v>
      </c>
      <c r="J13" s="48" t="n">
        <f aca="false">_xlfn.MINIFS(Tareas!$H:$H,Tareas!$C:$C,$A13)</f>
        <v>46293</v>
      </c>
      <c r="K13" s="48" t="n">
        <f aca="false">_xlfn.MAXIFS(Tareas!$I:$I,Tareas!$C:$C,$A13)</f>
        <v>46297</v>
      </c>
      <c r="L13" s="10" t="n">
        <f aca="false">SUMIFS(Tareas!$F:$F,Tareas!$C:$C,$A13)</f>
        <v>16</v>
      </c>
      <c r="M13" s="50" t="n">
        <f aca="false">SUMIFS(Tareas!$L:$L,Tareas!$C:$C,$A13)</f>
        <v>16</v>
      </c>
      <c r="N13" s="12" t="n">
        <f aca="false">IFERROR(M13/L13,0)</f>
        <v>1</v>
      </c>
      <c r="O13" s="49" t="s">
        <v>410</v>
      </c>
      <c r="P13" s="52" t="str">
        <f aca="false">IF(AND(N13&gt;=1,O13="Sí"),"Terminada",IF(N13&gt;=1,"Por aceptar",IF(N13&gt;0,"En curso","Por hacer")))</f>
        <v>Terminada</v>
      </c>
    </row>
    <row r="14" customFormat="false" ht="15" hidden="false" customHeight="false" outlineLevel="0" collapsed="false">
      <c r="A14" s="51" t="s">
        <v>217</v>
      </c>
      <c r="B14" s="11" t="s">
        <v>218</v>
      </c>
      <c r="C14" s="10" t="s">
        <v>425</v>
      </c>
      <c r="D14" s="10" t="s">
        <v>36</v>
      </c>
      <c r="E14" s="10" t="n">
        <v>8</v>
      </c>
      <c r="F14" s="10" t="s">
        <v>407</v>
      </c>
      <c r="G14" s="11" t="s">
        <v>426</v>
      </c>
      <c r="H14" s="11" t="s">
        <v>219</v>
      </c>
      <c r="I14" s="10" t="s">
        <v>427</v>
      </c>
      <c r="J14" s="48" t="n">
        <f aca="false">_xlfn.MINIFS(Tareas!$H:$H,Tareas!$C:$C,$A14)</f>
        <v>46293</v>
      </c>
      <c r="K14" s="48" t="n">
        <f aca="false">_xlfn.MAXIFS(Tareas!$I:$I,Tareas!$C:$C,$A14)</f>
        <v>46297</v>
      </c>
      <c r="L14" s="10" t="n">
        <f aca="false">SUMIFS(Tareas!$F:$F,Tareas!$C:$C,$A14)</f>
        <v>12</v>
      </c>
      <c r="M14" s="50" t="n">
        <f aca="false">SUMIFS(Tareas!$L:$L,Tareas!$C:$C,$A14)</f>
        <v>12</v>
      </c>
      <c r="N14" s="12" t="n">
        <f aca="false">IFERROR(M14/L14,0)</f>
        <v>1</v>
      </c>
      <c r="O14" s="49" t="s">
        <v>410</v>
      </c>
      <c r="P14" s="52" t="str">
        <f aca="false">IF(AND(N14&gt;=1,O14="Sí"),"Terminada",IF(N14&gt;=1,"Por aceptar",IF(N14&gt;0,"En curso","Por hacer")))</f>
        <v>Terminada</v>
      </c>
    </row>
    <row r="15" customFormat="false" ht="15" hidden="false" customHeight="false" outlineLevel="0" collapsed="false">
      <c r="A15" s="51" t="s">
        <v>230</v>
      </c>
      <c r="B15" s="11" t="s">
        <v>231</v>
      </c>
      <c r="C15" s="10" t="s">
        <v>425</v>
      </c>
      <c r="D15" s="10" t="s">
        <v>36</v>
      </c>
      <c r="E15" s="10" t="n">
        <v>8</v>
      </c>
      <c r="F15" s="10" t="s">
        <v>407</v>
      </c>
      <c r="G15" s="11" t="s">
        <v>428</v>
      </c>
      <c r="H15" s="11" t="s">
        <v>232</v>
      </c>
      <c r="I15" s="10" t="s">
        <v>429</v>
      </c>
      <c r="J15" s="48" t="n">
        <f aca="false">_xlfn.MINIFS(Tareas!$H:$H,Tareas!$C:$C,$A15)</f>
        <v>46300</v>
      </c>
      <c r="K15" s="48" t="n">
        <f aca="false">_xlfn.MAXIFS(Tareas!$I:$I,Tareas!$C:$C,$A15)</f>
        <v>46304</v>
      </c>
      <c r="L15" s="10" t="n">
        <f aca="false">SUMIFS(Tareas!$F:$F,Tareas!$C:$C,$A15)</f>
        <v>14</v>
      </c>
      <c r="M15" s="50" t="n">
        <f aca="false">SUMIFS(Tareas!$L:$L,Tareas!$C:$C,$A15)</f>
        <v>14</v>
      </c>
      <c r="N15" s="12" t="n">
        <f aca="false">IFERROR(M15/L15,0)</f>
        <v>1</v>
      </c>
      <c r="O15" s="49" t="s">
        <v>410</v>
      </c>
      <c r="P15" s="52" t="str">
        <f aca="false">IF(AND(N15&gt;=1,O15="Sí"),"Terminada",IF(N15&gt;=1,"Por aceptar",IF(N15&gt;0,"En curso","Por hacer")))</f>
        <v>Terminada</v>
      </c>
    </row>
    <row r="16" customFormat="false" ht="15" hidden="false" customHeight="false" outlineLevel="0" collapsed="false">
      <c r="A16" s="51" t="s">
        <v>243</v>
      </c>
      <c r="B16" s="11" t="s">
        <v>244</v>
      </c>
      <c r="C16" s="10" t="s">
        <v>420</v>
      </c>
      <c r="D16" s="10" t="s">
        <v>36</v>
      </c>
      <c r="E16" s="10" t="n">
        <v>5</v>
      </c>
      <c r="F16" s="10" t="s">
        <v>407</v>
      </c>
      <c r="G16" s="11" t="s">
        <v>430</v>
      </c>
      <c r="H16" s="11" t="s">
        <v>151</v>
      </c>
      <c r="I16" s="10" t="s">
        <v>431</v>
      </c>
      <c r="J16" s="48" t="n">
        <f aca="false">_xlfn.MINIFS(Tareas!$H:$H,Tareas!$C:$C,$A16)</f>
        <v>46300</v>
      </c>
      <c r="K16" s="48" t="n">
        <f aca="false">_xlfn.MAXIFS(Tareas!$I:$I,Tareas!$C:$C,$A16)</f>
        <v>46304</v>
      </c>
      <c r="L16" s="10" t="n">
        <f aca="false">SUMIFS(Tareas!$F:$F,Tareas!$C:$C,$A16)</f>
        <v>9</v>
      </c>
      <c r="M16" s="50" t="n">
        <f aca="false">SUMIFS(Tareas!$L:$L,Tareas!$C:$C,$A16)</f>
        <v>9</v>
      </c>
      <c r="N16" s="12" t="n">
        <f aca="false">IFERROR(M16/L16,0)</f>
        <v>1</v>
      </c>
      <c r="O16" s="49" t="s">
        <v>410</v>
      </c>
      <c r="P16" s="52" t="str">
        <f aca="false">IF(AND(N16&gt;=1,O16="Sí"),"Terminada",IF(N16&gt;=1,"Por aceptar",IF(N16&gt;0,"En curso","Por hacer")))</f>
        <v>Terminada</v>
      </c>
    </row>
    <row r="17" customFormat="false" ht="15" hidden="false" customHeight="false" outlineLevel="0" collapsed="false">
      <c r="A17" s="51" t="s">
        <v>262</v>
      </c>
      <c r="B17" s="11" t="s">
        <v>263</v>
      </c>
      <c r="C17" s="10" t="s">
        <v>425</v>
      </c>
      <c r="D17" s="10" t="s">
        <v>41</v>
      </c>
      <c r="E17" s="10" t="n">
        <v>5</v>
      </c>
      <c r="F17" s="10" t="s">
        <v>407</v>
      </c>
      <c r="G17" s="11" t="s">
        <v>230</v>
      </c>
      <c r="H17" s="11" t="s">
        <v>232</v>
      </c>
      <c r="I17" s="10" t="s">
        <v>432</v>
      </c>
      <c r="J17" s="48" t="n">
        <f aca="false">_xlfn.MINIFS(Tareas!$H:$H,Tareas!$C:$C,$A17)</f>
        <v>46308</v>
      </c>
      <c r="K17" s="48" t="n">
        <f aca="false">_xlfn.MAXIFS(Tareas!$I:$I,Tareas!$C:$C,$A17)</f>
        <v>46311</v>
      </c>
      <c r="L17" s="10" t="n">
        <f aca="false">SUMIFS(Tareas!$F:$F,Tareas!$C:$C,$A17)</f>
        <v>10</v>
      </c>
      <c r="M17" s="50" t="n">
        <f aca="false">SUMIFS(Tareas!$L:$L,Tareas!$C:$C,$A17)</f>
        <v>0</v>
      </c>
      <c r="N17" s="12" t="n">
        <f aca="false">IFERROR(M17/L17,0)</f>
        <v>0</v>
      </c>
      <c r="O17" s="49" t="s">
        <v>433</v>
      </c>
      <c r="P17" s="52" t="str">
        <f aca="false">IF(AND(N17&gt;=1,O17="Sí"),"Terminada",IF(N17&gt;=1,"Por aceptar",IF(N17&gt;0,"En curso","Por hacer")))</f>
        <v>Por hacer</v>
      </c>
    </row>
    <row r="18" customFormat="false" ht="15" hidden="false" customHeight="false" outlineLevel="0" collapsed="false">
      <c r="A18" s="51" t="s">
        <v>272</v>
      </c>
      <c r="B18" s="11" t="s">
        <v>273</v>
      </c>
      <c r="C18" s="10" t="s">
        <v>423</v>
      </c>
      <c r="D18" s="10" t="s">
        <v>41</v>
      </c>
      <c r="E18" s="10" t="n">
        <v>8</v>
      </c>
      <c r="F18" s="10" t="s">
        <v>407</v>
      </c>
      <c r="G18" s="11" t="s">
        <v>416</v>
      </c>
      <c r="H18" s="11" t="s">
        <v>204</v>
      </c>
      <c r="I18" s="10" t="s">
        <v>434</v>
      </c>
      <c r="J18" s="48" t="n">
        <f aca="false">_xlfn.MINIFS(Tareas!$H:$H,Tareas!$C:$C,$A18)</f>
        <v>46308</v>
      </c>
      <c r="K18" s="48" t="n">
        <f aca="false">_xlfn.MAXIFS(Tareas!$I:$I,Tareas!$C:$C,$A18)</f>
        <v>46311</v>
      </c>
      <c r="L18" s="10" t="n">
        <f aca="false">SUMIFS(Tareas!$F:$F,Tareas!$C:$C,$A18)</f>
        <v>13</v>
      </c>
      <c r="M18" s="50" t="n">
        <f aca="false">SUMIFS(Tareas!$L:$L,Tareas!$C:$C,$A18)</f>
        <v>0</v>
      </c>
      <c r="N18" s="12" t="n">
        <f aca="false">IFERROR(M18/L18,0)</f>
        <v>0</v>
      </c>
      <c r="O18" s="49" t="s">
        <v>433</v>
      </c>
      <c r="P18" s="52" t="str">
        <f aca="false">IF(AND(N18&gt;=1,O18="Sí"),"Terminada",IF(N18&gt;=1,"Por aceptar",IF(N18&gt;0,"En curso","Por hacer")))</f>
        <v>Por hacer</v>
      </c>
    </row>
    <row r="19" customFormat="false" ht="15" hidden="false" customHeight="false" outlineLevel="0" collapsed="false">
      <c r="A19" s="51" t="s">
        <v>284</v>
      </c>
      <c r="B19" s="11" t="s">
        <v>285</v>
      </c>
      <c r="C19" s="10" t="s">
        <v>423</v>
      </c>
      <c r="D19" s="10" t="s">
        <v>41</v>
      </c>
      <c r="E19" s="10" t="n">
        <v>8</v>
      </c>
      <c r="F19" s="10" t="s">
        <v>407</v>
      </c>
      <c r="G19" s="11" t="s">
        <v>272</v>
      </c>
      <c r="H19" s="11" t="s">
        <v>204</v>
      </c>
      <c r="I19" s="10" t="s">
        <v>435</v>
      </c>
      <c r="J19" s="48" t="n">
        <f aca="false">_xlfn.MINIFS(Tareas!$H:$H,Tareas!$C:$C,$A19)</f>
        <v>46314</v>
      </c>
      <c r="K19" s="48" t="n">
        <f aca="false">_xlfn.MAXIFS(Tareas!$I:$I,Tareas!$C:$C,$A19)</f>
        <v>46318</v>
      </c>
      <c r="L19" s="10" t="n">
        <f aca="false">SUMIFS(Tareas!$F:$F,Tareas!$C:$C,$A19)</f>
        <v>13</v>
      </c>
      <c r="M19" s="50" t="n">
        <f aca="false">SUMIFS(Tareas!$L:$L,Tareas!$C:$C,$A19)</f>
        <v>0</v>
      </c>
      <c r="N19" s="12" t="n">
        <f aca="false">IFERROR(M19/L19,0)</f>
        <v>0</v>
      </c>
      <c r="O19" s="49" t="s">
        <v>433</v>
      </c>
      <c r="P19" s="52" t="str">
        <f aca="false">IF(AND(N19&gt;=1,O19="Sí"),"Terminada",IF(N19&gt;=1,"Por aceptar",IF(N19&gt;0,"En curso","Por hacer")))</f>
        <v>Por hacer</v>
      </c>
    </row>
    <row r="20" customFormat="false" ht="23.85" hidden="false" customHeight="false" outlineLevel="0" collapsed="false">
      <c r="A20" s="51" t="s">
        <v>296</v>
      </c>
      <c r="B20" s="11" t="s">
        <v>297</v>
      </c>
      <c r="C20" s="10" t="s">
        <v>425</v>
      </c>
      <c r="D20" s="10" t="s">
        <v>41</v>
      </c>
      <c r="E20" s="10" t="n">
        <v>8</v>
      </c>
      <c r="F20" s="10" t="s">
        <v>407</v>
      </c>
      <c r="G20" s="11" t="s">
        <v>436</v>
      </c>
      <c r="H20" s="11" t="s">
        <v>204</v>
      </c>
      <c r="I20" s="10" t="s">
        <v>437</v>
      </c>
      <c r="J20" s="48" t="n">
        <f aca="false">_xlfn.MINIFS(Tareas!$H:$H,Tareas!$C:$C,$A20)</f>
        <v>46314</v>
      </c>
      <c r="K20" s="48" t="n">
        <f aca="false">_xlfn.MAXIFS(Tareas!$I:$I,Tareas!$C:$C,$A20)</f>
        <v>46318</v>
      </c>
      <c r="L20" s="10" t="n">
        <f aca="false">SUMIFS(Tareas!$F:$F,Tareas!$C:$C,$A20)</f>
        <v>13</v>
      </c>
      <c r="M20" s="50" t="n">
        <f aca="false">SUMIFS(Tareas!$L:$L,Tareas!$C:$C,$A20)</f>
        <v>0</v>
      </c>
      <c r="N20" s="12" t="n">
        <f aca="false">IFERROR(M20/L20,0)</f>
        <v>0</v>
      </c>
      <c r="O20" s="49" t="s">
        <v>433</v>
      </c>
      <c r="P20" s="52" t="str">
        <f aca="false">IF(AND(N20&gt;=1,O20="Sí"),"Terminada",IF(N20&gt;=1,"Por aceptar",IF(N20&gt;0,"En curso","Por hacer")))</f>
        <v>Por hacer</v>
      </c>
    </row>
    <row r="21" customFormat="false" ht="23.85" hidden="false" customHeight="false" outlineLevel="0" collapsed="false">
      <c r="A21" s="51" t="s">
        <v>315</v>
      </c>
      <c r="B21" s="11" t="s">
        <v>316</v>
      </c>
      <c r="C21" s="10" t="s">
        <v>438</v>
      </c>
      <c r="D21" s="10" t="s">
        <v>46</v>
      </c>
      <c r="E21" s="10" t="n">
        <v>8</v>
      </c>
      <c r="F21" s="10" t="s">
        <v>407</v>
      </c>
      <c r="G21" s="11" t="s">
        <v>439</v>
      </c>
      <c r="H21" s="11" t="s">
        <v>232</v>
      </c>
      <c r="I21" s="10" t="s">
        <v>440</v>
      </c>
      <c r="J21" s="48" t="n">
        <f aca="false">_xlfn.MINIFS(Tareas!$H:$H,Tareas!$C:$C,$A21)</f>
        <v>46321</v>
      </c>
      <c r="K21" s="48" t="n">
        <f aca="false">_xlfn.MAXIFS(Tareas!$I:$I,Tareas!$C:$C,$A21)</f>
        <v>46325</v>
      </c>
      <c r="L21" s="10" t="n">
        <f aca="false">SUMIFS(Tareas!$F:$F,Tareas!$C:$C,$A21)</f>
        <v>14</v>
      </c>
      <c r="M21" s="50" t="n">
        <f aca="false">SUMIFS(Tareas!$L:$L,Tareas!$C:$C,$A21)</f>
        <v>0</v>
      </c>
      <c r="N21" s="12" t="n">
        <f aca="false">IFERROR(M21/L21,0)</f>
        <v>0</v>
      </c>
      <c r="O21" s="49" t="s">
        <v>433</v>
      </c>
      <c r="P21" s="52" t="str">
        <f aca="false">IF(AND(N21&gt;=1,O21="Sí"),"Terminada",IF(N21&gt;=1,"Por aceptar",IF(N21&gt;0,"En curso","Por hacer")))</f>
        <v>Por hacer</v>
      </c>
    </row>
    <row r="22" customFormat="false" ht="23.85" hidden="false" customHeight="false" outlineLevel="0" collapsed="false">
      <c r="A22" s="51" t="s">
        <v>327</v>
      </c>
      <c r="B22" s="11" t="s">
        <v>328</v>
      </c>
      <c r="C22" s="10" t="s">
        <v>438</v>
      </c>
      <c r="D22" s="10" t="s">
        <v>46</v>
      </c>
      <c r="E22" s="10" t="n">
        <v>8</v>
      </c>
      <c r="F22" s="10" t="s">
        <v>407</v>
      </c>
      <c r="G22" s="11" t="s">
        <v>441</v>
      </c>
      <c r="H22" s="11" t="s">
        <v>151</v>
      </c>
      <c r="I22" s="10" t="s">
        <v>442</v>
      </c>
      <c r="J22" s="48" t="n">
        <f aca="false">_xlfn.MINIFS(Tareas!$H:$H,Tareas!$C:$C,$A22)</f>
        <v>46321</v>
      </c>
      <c r="K22" s="48" t="n">
        <f aca="false">_xlfn.MAXIFS(Tareas!$I:$I,Tareas!$C:$C,$A22)</f>
        <v>46332</v>
      </c>
      <c r="L22" s="10" t="n">
        <f aca="false">SUMIFS(Tareas!$F:$F,Tareas!$C:$C,$A22)</f>
        <v>12</v>
      </c>
      <c r="M22" s="50" t="n">
        <f aca="false">SUMIFS(Tareas!$L:$L,Tareas!$C:$C,$A22)</f>
        <v>0</v>
      </c>
      <c r="N22" s="12" t="n">
        <f aca="false">IFERROR(M22/L22,0)</f>
        <v>0</v>
      </c>
      <c r="O22" s="49" t="s">
        <v>433</v>
      </c>
      <c r="P22" s="52" t="str">
        <f aca="false">IF(AND(N22&gt;=1,O22="Sí"),"Terminada",IF(N22&gt;=1,"Por aceptar",IF(N22&gt;0,"En curso","Por hacer")))</f>
        <v>Por hacer</v>
      </c>
    </row>
    <row r="23" customFormat="false" ht="23.85" hidden="false" customHeight="false" outlineLevel="0" collapsed="false">
      <c r="A23" s="51" t="s">
        <v>339</v>
      </c>
      <c r="B23" s="11" t="s">
        <v>340</v>
      </c>
      <c r="C23" s="10" t="s">
        <v>420</v>
      </c>
      <c r="D23" s="10" t="s">
        <v>46</v>
      </c>
      <c r="E23" s="10" t="n">
        <v>8</v>
      </c>
      <c r="F23" s="10" t="s">
        <v>407</v>
      </c>
      <c r="G23" s="11" t="s">
        <v>443</v>
      </c>
      <c r="H23" s="11" t="s">
        <v>151</v>
      </c>
      <c r="I23" s="10" t="s">
        <v>444</v>
      </c>
      <c r="J23" s="48" t="n">
        <f aca="false">_xlfn.MINIFS(Tareas!$H:$H,Tareas!$C:$C,$A23)</f>
        <v>46328</v>
      </c>
      <c r="K23" s="48" t="n">
        <f aca="false">_xlfn.MAXIFS(Tareas!$I:$I,Tareas!$C:$C,$A23)</f>
        <v>46332</v>
      </c>
      <c r="L23" s="10" t="n">
        <f aca="false">SUMIFS(Tareas!$F:$F,Tareas!$C:$C,$A23)</f>
        <v>13</v>
      </c>
      <c r="M23" s="50" t="n">
        <f aca="false">SUMIFS(Tareas!$L:$L,Tareas!$C:$C,$A23)</f>
        <v>0</v>
      </c>
      <c r="N23" s="12" t="n">
        <f aca="false">IFERROR(M23/L23,0)</f>
        <v>0</v>
      </c>
      <c r="O23" s="49" t="s">
        <v>433</v>
      </c>
      <c r="P23" s="52" t="str">
        <f aca="false">IF(AND(N23&gt;=1,O23="Sí"),"Terminada",IF(N23&gt;=1,"Por aceptar",IF(N23&gt;0,"En curso","Por hacer")))</f>
        <v>Por hacer</v>
      </c>
    </row>
    <row r="24" customFormat="false" ht="15" hidden="false" customHeight="false" outlineLevel="0" collapsed="false">
      <c r="A24" s="51" t="s">
        <v>54</v>
      </c>
      <c r="B24" s="11" t="s">
        <v>362</v>
      </c>
      <c r="C24" s="10" t="s">
        <v>438</v>
      </c>
      <c r="D24" s="10" t="s">
        <v>51</v>
      </c>
      <c r="E24" s="10" t="n">
        <v>8</v>
      </c>
      <c r="F24" s="10" t="s">
        <v>407</v>
      </c>
      <c r="G24" s="11" t="s">
        <v>445</v>
      </c>
      <c r="H24" s="11" t="s">
        <v>232</v>
      </c>
      <c r="I24" s="10" t="s">
        <v>446</v>
      </c>
      <c r="J24" s="48" t="n">
        <f aca="false">_xlfn.MINIFS(Tareas!$H:$H,Tareas!$C:$C,$A24)</f>
        <v>46335</v>
      </c>
      <c r="K24" s="48" t="n">
        <f aca="false">_xlfn.MAXIFS(Tareas!$I:$I,Tareas!$C:$C,$A24)</f>
        <v>46339</v>
      </c>
      <c r="L24" s="10" t="n">
        <f aca="false">SUMIFS(Tareas!$F:$F,Tareas!$C:$C,$A24)</f>
        <v>11</v>
      </c>
      <c r="M24" s="50" t="n">
        <f aca="false">SUMIFS(Tareas!$L:$L,Tareas!$C:$C,$A24)</f>
        <v>0</v>
      </c>
      <c r="N24" s="12" t="n">
        <f aca="false">IFERROR(M24/L24,0)</f>
        <v>0</v>
      </c>
      <c r="O24" s="49" t="s">
        <v>433</v>
      </c>
      <c r="P24" s="52" t="str">
        <f aca="false">IF(AND(N24&gt;=1,O24="Sí"),"Terminada",IF(N24&gt;=1,"Por aceptar",IF(N24&gt;0,"En curso","Por hacer")))</f>
        <v>Por hacer</v>
      </c>
    </row>
  </sheetData>
  <conditionalFormatting sqref="P5:P24">
    <cfRule type="expression" priority="2" aboveAverage="0" equalAverage="0" bottom="0" percent="0" rank="0" text="" dxfId="16">
      <formula>$P5="Terminada"</formula>
    </cfRule>
    <cfRule type="expression" priority="3" aboveAverage="0" equalAverage="0" bottom="0" percent="0" rank="0" text="" dxfId="17">
      <formula>OR($P5="En curso",$P5="Por aceptar")</formula>
    </cfRule>
  </conditionalFormatting>
  <dataValidations count="1">
    <dataValidation allowBlank="false" errorStyle="stop" operator="between" showDropDown="false" showErrorMessage="false" showInputMessage="false" sqref="O5:O2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447</v>
      </c>
    </row>
    <row r="4" customFormat="false" ht="23.85" hidden="false" customHeight="false" outlineLevel="0" collapsed="false">
      <c r="A4" s="7" t="s">
        <v>7</v>
      </c>
      <c r="B4" s="7" t="s">
        <v>67</v>
      </c>
      <c r="C4" s="7" t="s">
        <v>448</v>
      </c>
      <c r="D4" s="7" t="s">
        <v>449</v>
      </c>
      <c r="E4" s="7" t="s">
        <v>450</v>
      </c>
      <c r="F4" s="7" t="s">
        <v>451</v>
      </c>
      <c r="G4" s="7" t="s">
        <v>452</v>
      </c>
    </row>
    <row r="5" customFormat="false" ht="15" hidden="false" customHeight="false" outlineLevel="0" collapsed="false">
      <c r="A5" s="10" t="s">
        <v>23</v>
      </c>
      <c r="B5" s="11" t="s">
        <v>453</v>
      </c>
      <c r="C5" s="48" t="n">
        <f aca="false">Resumen!$C$8</f>
        <v>46265</v>
      </c>
      <c r="D5" s="10" t="s">
        <v>454</v>
      </c>
      <c r="E5" s="10" t="s">
        <v>86</v>
      </c>
      <c r="F5" s="10" t="s">
        <v>455</v>
      </c>
      <c r="G5" s="49" t="s">
        <v>433</v>
      </c>
    </row>
    <row r="6" customFormat="false" ht="15" hidden="false" customHeight="false" outlineLevel="0" collapsed="false">
      <c r="A6" s="10" t="s">
        <v>23</v>
      </c>
      <c r="B6" s="11" t="s">
        <v>456</v>
      </c>
      <c r="C6" s="48" t="n">
        <f aca="false">Resumen!$C$8+8-WEEKDAY(Resumen!$C$8,2)</f>
        <v>46272</v>
      </c>
      <c r="D6" s="10" t="s">
        <v>457</v>
      </c>
      <c r="E6" s="10" t="s">
        <v>458</v>
      </c>
      <c r="F6" s="10" t="s">
        <v>459</v>
      </c>
      <c r="G6" s="49" t="s">
        <v>433</v>
      </c>
    </row>
    <row r="7" customFormat="false" ht="15" hidden="false" customHeight="false" outlineLevel="0" collapsed="false">
      <c r="A7" s="10" t="s">
        <v>23</v>
      </c>
      <c r="B7" s="11" t="s">
        <v>460</v>
      </c>
      <c r="C7" s="48" t="n">
        <f aca="false">WORKDAY(Resumen!$D$8,-1,Feriados)</f>
        <v>46275</v>
      </c>
      <c r="D7" s="10" t="s">
        <v>461</v>
      </c>
      <c r="E7" s="10" t="s">
        <v>462</v>
      </c>
      <c r="F7" s="10" t="s">
        <v>463</v>
      </c>
      <c r="G7" s="49" t="s">
        <v>433</v>
      </c>
    </row>
    <row r="8" customFormat="false" ht="15" hidden="false" customHeight="false" outlineLevel="0" collapsed="false">
      <c r="A8" s="10" t="s">
        <v>23</v>
      </c>
      <c r="B8" s="11" t="s">
        <v>464</v>
      </c>
      <c r="C8" s="48" t="n">
        <f aca="false">Resumen!$D$8</f>
        <v>46276</v>
      </c>
      <c r="D8" s="10" t="s">
        <v>465</v>
      </c>
      <c r="E8" s="10" t="s">
        <v>466</v>
      </c>
      <c r="F8" s="10" t="s">
        <v>467</v>
      </c>
      <c r="G8" s="49" t="s">
        <v>433</v>
      </c>
    </row>
    <row r="9" customFormat="false" ht="15" hidden="false" customHeight="false" outlineLevel="0" collapsed="false">
      <c r="A9" s="10" t="s">
        <v>23</v>
      </c>
      <c r="B9" s="11" t="s">
        <v>468</v>
      </c>
      <c r="C9" s="48" t="n">
        <f aca="false">Resumen!$D$8</f>
        <v>46276</v>
      </c>
      <c r="D9" s="10" t="s">
        <v>457</v>
      </c>
      <c r="E9" s="10" t="s">
        <v>86</v>
      </c>
      <c r="F9" s="10" t="s">
        <v>469</v>
      </c>
      <c r="G9" s="49" t="s">
        <v>433</v>
      </c>
    </row>
    <row r="10" customFormat="false" ht="15" hidden="false" customHeight="false" outlineLevel="0" collapsed="false">
      <c r="A10" s="10" t="s">
        <v>31</v>
      </c>
      <c r="B10" s="11" t="s">
        <v>453</v>
      </c>
      <c r="C10" s="48" t="n">
        <f aca="false">Resumen!$C$9</f>
        <v>46279</v>
      </c>
      <c r="D10" s="10" t="s">
        <v>454</v>
      </c>
      <c r="E10" s="10" t="s">
        <v>86</v>
      </c>
      <c r="F10" s="10" t="s">
        <v>455</v>
      </c>
      <c r="G10" s="49" t="s">
        <v>433</v>
      </c>
    </row>
    <row r="11" customFormat="false" ht="15" hidden="false" customHeight="false" outlineLevel="0" collapsed="false">
      <c r="A11" s="10" t="s">
        <v>31</v>
      </c>
      <c r="B11" s="11" t="s">
        <v>456</v>
      </c>
      <c r="C11" s="48" t="n">
        <f aca="false">Resumen!$C$9+8-WEEKDAY(Resumen!$C$9,2)</f>
        <v>46286</v>
      </c>
      <c r="D11" s="10" t="s">
        <v>457</v>
      </c>
      <c r="E11" s="10" t="s">
        <v>458</v>
      </c>
      <c r="F11" s="10" t="s">
        <v>459</v>
      </c>
      <c r="G11" s="49" t="s">
        <v>433</v>
      </c>
    </row>
    <row r="12" customFormat="false" ht="15" hidden="false" customHeight="false" outlineLevel="0" collapsed="false">
      <c r="A12" s="10" t="s">
        <v>31</v>
      </c>
      <c r="B12" s="11" t="s">
        <v>460</v>
      </c>
      <c r="C12" s="48" t="n">
        <f aca="false">WORKDAY(Resumen!$D$9,-1,Feriados)</f>
        <v>46289</v>
      </c>
      <c r="D12" s="10" t="s">
        <v>461</v>
      </c>
      <c r="E12" s="10" t="s">
        <v>462</v>
      </c>
      <c r="F12" s="10" t="s">
        <v>463</v>
      </c>
      <c r="G12" s="49" t="s">
        <v>433</v>
      </c>
    </row>
    <row r="13" customFormat="false" ht="15" hidden="false" customHeight="false" outlineLevel="0" collapsed="false">
      <c r="A13" s="10" t="s">
        <v>31</v>
      </c>
      <c r="B13" s="11" t="s">
        <v>464</v>
      </c>
      <c r="C13" s="48" t="n">
        <f aca="false">Resumen!$D$9</f>
        <v>46290</v>
      </c>
      <c r="D13" s="10" t="s">
        <v>465</v>
      </c>
      <c r="E13" s="10" t="s">
        <v>466</v>
      </c>
      <c r="F13" s="10" t="s">
        <v>467</v>
      </c>
      <c r="G13" s="49" t="s">
        <v>433</v>
      </c>
    </row>
    <row r="14" customFormat="false" ht="15" hidden="false" customHeight="false" outlineLevel="0" collapsed="false">
      <c r="A14" s="10" t="s">
        <v>31</v>
      </c>
      <c r="B14" s="11" t="s">
        <v>468</v>
      </c>
      <c r="C14" s="48" t="n">
        <f aca="false">Resumen!$D$9</f>
        <v>46290</v>
      </c>
      <c r="D14" s="10" t="s">
        <v>457</v>
      </c>
      <c r="E14" s="10" t="s">
        <v>86</v>
      </c>
      <c r="F14" s="10" t="s">
        <v>469</v>
      </c>
      <c r="G14" s="49" t="s">
        <v>433</v>
      </c>
    </row>
    <row r="15" customFormat="false" ht="15" hidden="false" customHeight="false" outlineLevel="0" collapsed="false">
      <c r="A15" s="10" t="s">
        <v>36</v>
      </c>
      <c r="B15" s="11" t="s">
        <v>453</v>
      </c>
      <c r="C15" s="48" t="n">
        <f aca="false">Resumen!$C$10</f>
        <v>46293</v>
      </c>
      <c r="D15" s="10" t="s">
        <v>454</v>
      </c>
      <c r="E15" s="10" t="s">
        <v>86</v>
      </c>
      <c r="F15" s="10" t="s">
        <v>455</v>
      </c>
      <c r="G15" s="49" t="s">
        <v>433</v>
      </c>
    </row>
    <row r="16" customFormat="false" ht="15" hidden="false" customHeight="false" outlineLevel="0" collapsed="false">
      <c r="A16" s="10" t="s">
        <v>36</v>
      </c>
      <c r="B16" s="11" t="s">
        <v>456</v>
      </c>
      <c r="C16" s="48" t="n">
        <f aca="false">Resumen!$C$10+8-WEEKDAY(Resumen!$C$10,2)</f>
        <v>46300</v>
      </c>
      <c r="D16" s="10" t="s">
        <v>457</v>
      </c>
      <c r="E16" s="10" t="s">
        <v>458</v>
      </c>
      <c r="F16" s="10" t="s">
        <v>459</v>
      </c>
      <c r="G16" s="49" t="s">
        <v>433</v>
      </c>
    </row>
    <row r="17" customFormat="false" ht="15" hidden="false" customHeight="false" outlineLevel="0" collapsed="false">
      <c r="A17" s="10" t="s">
        <v>36</v>
      </c>
      <c r="B17" s="11" t="s">
        <v>460</v>
      </c>
      <c r="C17" s="48" t="n">
        <f aca="false">WORKDAY(Resumen!$D$10,-1,Feriados)</f>
        <v>46303</v>
      </c>
      <c r="D17" s="10" t="s">
        <v>461</v>
      </c>
      <c r="E17" s="10" t="s">
        <v>462</v>
      </c>
      <c r="F17" s="10" t="s">
        <v>463</v>
      </c>
      <c r="G17" s="49" t="s">
        <v>433</v>
      </c>
    </row>
    <row r="18" customFormat="false" ht="15" hidden="false" customHeight="false" outlineLevel="0" collapsed="false">
      <c r="A18" s="10" t="s">
        <v>36</v>
      </c>
      <c r="B18" s="11" t="s">
        <v>464</v>
      </c>
      <c r="C18" s="48" t="n">
        <f aca="false">Resumen!$D$10</f>
        <v>46304</v>
      </c>
      <c r="D18" s="10" t="s">
        <v>465</v>
      </c>
      <c r="E18" s="10" t="s">
        <v>466</v>
      </c>
      <c r="F18" s="10" t="s">
        <v>467</v>
      </c>
      <c r="G18" s="49" t="s">
        <v>433</v>
      </c>
    </row>
    <row r="19" customFormat="false" ht="15" hidden="false" customHeight="false" outlineLevel="0" collapsed="false">
      <c r="A19" s="10" t="s">
        <v>36</v>
      </c>
      <c r="B19" s="11" t="s">
        <v>468</v>
      </c>
      <c r="C19" s="48" t="n">
        <f aca="false">Resumen!$D$10</f>
        <v>46304</v>
      </c>
      <c r="D19" s="10" t="s">
        <v>457</v>
      </c>
      <c r="E19" s="10" t="s">
        <v>86</v>
      </c>
      <c r="F19" s="10" t="s">
        <v>469</v>
      </c>
      <c r="G19" s="49" t="s">
        <v>433</v>
      </c>
    </row>
    <row r="20" customFormat="false" ht="15" hidden="false" customHeight="false" outlineLevel="0" collapsed="false">
      <c r="A20" s="10" t="s">
        <v>41</v>
      </c>
      <c r="B20" s="11" t="s">
        <v>453</v>
      </c>
      <c r="C20" s="48" t="n">
        <f aca="false">Resumen!$C$11</f>
        <v>46308</v>
      </c>
      <c r="D20" s="10" t="s">
        <v>454</v>
      </c>
      <c r="E20" s="10" t="s">
        <v>86</v>
      </c>
      <c r="F20" s="10" t="s">
        <v>455</v>
      </c>
      <c r="G20" s="49" t="s">
        <v>433</v>
      </c>
    </row>
    <row r="21" customFormat="false" ht="15" hidden="false" customHeight="false" outlineLevel="0" collapsed="false">
      <c r="A21" s="10" t="s">
        <v>41</v>
      </c>
      <c r="B21" s="11" t="s">
        <v>456</v>
      </c>
      <c r="C21" s="48" t="n">
        <f aca="false">Resumen!$C$11+8-WEEKDAY(Resumen!$C$11,2)</f>
        <v>46314</v>
      </c>
      <c r="D21" s="10" t="s">
        <v>457</v>
      </c>
      <c r="E21" s="10" t="s">
        <v>458</v>
      </c>
      <c r="F21" s="10" t="s">
        <v>459</v>
      </c>
      <c r="G21" s="49" t="s">
        <v>433</v>
      </c>
    </row>
    <row r="22" customFormat="false" ht="15" hidden="false" customHeight="false" outlineLevel="0" collapsed="false">
      <c r="A22" s="10" t="s">
        <v>41</v>
      </c>
      <c r="B22" s="11" t="s">
        <v>460</v>
      </c>
      <c r="C22" s="48" t="n">
        <f aca="false">WORKDAY(Resumen!$D$11,-1,Feriados)</f>
        <v>46317</v>
      </c>
      <c r="D22" s="10" t="s">
        <v>461</v>
      </c>
      <c r="E22" s="10" t="s">
        <v>462</v>
      </c>
      <c r="F22" s="10" t="s">
        <v>463</v>
      </c>
      <c r="G22" s="49" t="s">
        <v>433</v>
      </c>
    </row>
    <row r="23" customFormat="false" ht="15" hidden="false" customHeight="false" outlineLevel="0" collapsed="false">
      <c r="A23" s="10" t="s">
        <v>41</v>
      </c>
      <c r="B23" s="11" t="s">
        <v>464</v>
      </c>
      <c r="C23" s="48" t="n">
        <f aca="false">Resumen!$D$11</f>
        <v>46318</v>
      </c>
      <c r="D23" s="10" t="s">
        <v>465</v>
      </c>
      <c r="E23" s="10" t="s">
        <v>466</v>
      </c>
      <c r="F23" s="10" t="s">
        <v>467</v>
      </c>
      <c r="G23" s="49" t="s">
        <v>433</v>
      </c>
    </row>
    <row r="24" customFormat="false" ht="15" hidden="false" customHeight="false" outlineLevel="0" collapsed="false">
      <c r="A24" s="10" t="s">
        <v>41</v>
      </c>
      <c r="B24" s="11" t="s">
        <v>468</v>
      </c>
      <c r="C24" s="48" t="n">
        <f aca="false">Resumen!$D$11</f>
        <v>46318</v>
      </c>
      <c r="D24" s="10" t="s">
        <v>457</v>
      </c>
      <c r="E24" s="10" t="s">
        <v>86</v>
      </c>
      <c r="F24" s="10" t="s">
        <v>469</v>
      </c>
      <c r="G24" s="49" t="s">
        <v>433</v>
      </c>
    </row>
    <row r="25" customFormat="false" ht="15" hidden="false" customHeight="false" outlineLevel="0" collapsed="false">
      <c r="A25" s="10" t="s">
        <v>46</v>
      </c>
      <c r="B25" s="11" t="s">
        <v>453</v>
      </c>
      <c r="C25" s="48" t="n">
        <f aca="false">Resumen!$C$12</f>
        <v>46321</v>
      </c>
      <c r="D25" s="10" t="s">
        <v>454</v>
      </c>
      <c r="E25" s="10" t="s">
        <v>86</v>
      </c>
      <c r="F25" s="10" t="s">
        <v>455</v>
      </c>
      <c r="G25" s="49" t="s">
        <v>433</v>
      </c>
    </row>
    <row r="26" customFormat="false" ht="15" hidden="false" customHeight="false" outlineLevel="0" collapsed="false">
      <c r="A26" s="10" t="s">
        <v>46</v>
      </c>
      <c r="B26" s="11" t="s">
        <v>456</v>
      </c>
      <c r="C26" s="48" t="n">
        <f aca="false">Resumen!$C$12+8-WEEKDAY(Resumen!$C$12,2)</f>
        <v>46328</v>
      </c>
      <c r="D26" s="10" t="s">
        <v>457</v>
      </c>
      <c r="E26" s="10" t="s">
        <v>458</v>
      </c>
      <c r="F26" s="10" t="s">
        <v>459</v>
      </c>
      <c r="G26" s="49" t="s">
        <v>433</v>
      </c>
    </row>
    <row r="27" customFormat="false" ht="15" hidden="false" customHeight="false" outlineLevel="0" collapsed="false">
      <c r="A27" s="10" t="s">
        <v>46</v>
      </c>
      <c r="B27" s="11" t="s">
        <v>460</v>
      </c>
      <c r="C27" s="48" t="n">
        <f aca="false">WORKDAY(Resumen!$D$12,-1,Feriados)</f>
        <v>46331</v>
      </c>
      <c r="D27" s="10" t="s">
        <v>461</v>
      </c>
      <c r="E27" s="10" t="s">
        <v>462</v>
      </c>
      <c r="F27" s="10" t="s">
        <v>463</v>
      </c>
      <c r="G27" s="49" t="s">
        <v>433</v>
      </c>
    </row>
    <row r="28" customFormat="false" ht="15" hidden="false" customHeight="false" outlineLevel="0" collapsed="false">
      <c r="A28" s="10" t="s">
        <v>46</v>
      </c>
      <c r="B28" s="11" t="s">
        <v>464</v>
      </c>
      <c r="C28" s="48" t="n">
        <f aca="false">Resumen!$D$12</f>
        <v>46332</v>
      </c>
      <c r="D28" s="10" t="s">
        <v>465</v>
      </c>
      <c r="E28" s="10" t="s">
        <v>466</v>
      </c>
      <c r="F28" s="10" t="s">
        <v>467</v>
      </c>
      <c r="G28" s="49" t="s">
        <v>433</v>
      </c>
    </row>
    <row r="29" customFormat="false" ht="15" hidden="false" customHeight="false" outlineLevel="0" collapsed="false">
      <c r="A29" s="10" t="s">
        <v>46</v>
      </c>
      <c r="B29" s="11" t="s">
        <v>468</v>
      </c>
      <c r="C29" s="48" t="n">
        <f aca="false">Resumen!$D$12</f>
        <v>46332</v>
      </c>
      <c r="D29" s="10" t="s">
        <v>457</v>
      </c>
      <c r="E29" s="10" t="s">
        <v>86</v>
      </c>
      <c r="F29" s="10" t="s">
        <v>469</v>
      </c>
      <c r="G29" s="49" t="s">
        <v>433</v>
      </c>
    </row>
    <row r="30" customFormat="false" ht="15" hidden="false" customHeight="false" outlineLevel="0" collapsed="false">
      <c r="A30" s="10" t="s">
        <v>51</v>
      </c>
      <c r="B30" s="11" t="s">
        <v>453</v>
      </c>
      <c r="C30" s="48" t="n">
        <f aca="false">Resumen!$C$13</f>
        <v>46335</v>
      </c>
      <c r="D30" s="10" t="s">
        <v>465</v>
      </c>
      <c r="E30" s="10" t="s">
        <v>86</v>
      </c>
      <c r="F30" s="10" t="s">
        <v>455</v>
      </c>
      <c r="G30" s="49" t="s">
        <v>433</v>
      </c>
    </row>
    <row r="31" customFormat="false" ht="15" hidden="false" customHeight="false" outlineLevel="0" collapsed="false">
      <c r="A31" s="10" t="s">
        <v>51</v>
      </c>
      <c r="B31" s="11" t="s">
        <v>460</v>
      </c>
      <c r="C31" s="48" t="n">
        <f aca="false">WORKDAY(Resumen!$D$13,-1,Feriados)</f>
        <v>46338</v>
      </c>
      <c r="D31" s="10" t="s">
        <v>461</v>
      </c>
      <c r="E31" s="10" t="s">
        <v>462</v>
      </c>
      <c r="F31" s="10" t="s">
        <v>463</v>
      </c>
      <c r="G31" s="49" t="s">
        <v>433</v>
      </c>
    </row>
    <row r="32" customFormat="false" ht="15" hidden="false" customHeight="false" outlineLevel="0" collapsed="false">
      <c r="A32" s="10" t="s">
        <v>51</v>
      </c>
      <c r="B32" s="11" t="s">
        <v>464</v>
      </c>
      <c r="C32" s="48" t="n">
        <f aca="false">Resumen!$D$13</f>
        <v>46339</v>
      </c>
      <c r="D32" s="10" t="s">
        <v>470</v>
      </c>
      <c r="E32" s="10" t="s">
        <v>466</v>
      </c>
      <c r="F32" s="10" t="s">
        <v>467</v>
      </c>
      <c r="G32" s="49" t="s">
        <v>433</v>
      </c>
    </row>
    <row r="33" customFormat="false" ht="15" hidden="false" customHeight="false" outlineLevel="0" collapsed="false">
      <c r="A33" s="10" t="s">
        <v>51</v>
      </c>
      <c r="B33" s="11" t="s">
        <v>468</v>
      </c>
      <c r="C33" s="48" t="n">
        <f aca="false">Resumen!$D$13</f>
        <v>46339</v>
      </c>
      <c r="D33" s="10" t="s">
        <v>470</v>
      </c>
      <c r="E33" s="10" t="s">
        <v>86</v>
      </c>
      <c r="F33" s="10" t="s">
        <v>469</v>
      </c>
      <c r="G33" s="49" t="s">
        <v>433</v>
      </c>
    </row>
    <row r="34" customFormat="false" ht="15" hidden="false" customHeight="false" outlineLevel="0" collapsed="false">
      <c r="A34" s="10" t="s">
        <v>383</v>
      </c>
      <c r="B34" s="11" t="s">
        <v>384</v>
      </c>
      <c r="C34" s="9" t="n">
        <v>46342</v>
      </c>
      <c r="D34" s="10" t="s">
        <v>461</v>
      </c>
      <c r="E34" s="10" t="s">
        <v>86</v>
      </c>
      <c r="F34" s="10" t="s">
        <v>461</v>
      </c>
      <c r="G34" s="49" t="s">
        <v>433</v>
      </c>
    </row>
    <row r="35" customFormat="false" ht="15" hidden="false" customHeight="false" outlineLevel="0" collapsed="false">
      <c r="A35" s="10" t="s">
        <v>383</v>
      </c>
      <c r="B35" s="11" t="s">
        <v>386</v>
      </c>
      <c r="C35" s="9" t="n">
        <v>46363</v>
      </c>
      <c r="D35" s="10" t="s">
        <v>461</v>
      </c>
      <c r="E35" s="10" t="s">
        <v>86</v>
      </c>
      <c r="F35" s="10" t="s">
        <v>461</v>
      </c>
      <c r="G35" s="49" t="s">
        <v>433</v>
      </c>
    </row>
  </sheetData>
  <dataValidations count="1">
    <dataValidation allowBlank="false" errorStyle="stop" operator="between" showDropDown="false" showErrorMessage="false" showInputMessage="false" sqref="G5:G35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471</v>
      </c>
    </row>
    <row r="2" customFormat="false" ht="15" hidden="false" customHeight="false" outlineLevel="0" collapsed="false">
      <c r="A2" s="2" t="s">
        <v>472</v>
      </c>
    </row>
    <row r="4" customFormat="false" ht="15" hidden="false" customHeight="false" outlineLevel="0" collapsed="false">
      <c r="A4" s="7" t="s">
        <v>7</v>
      </c>
      <c r="B4" s="7" t="s">
        <v>473</v>
      </c>
      <c r="C4" s="7" t="s">
        <v>474</v>
      </c>
      <c r="D4" s="7" t="s">
        <v>475</v>
      </c>
      <c r="E4" s="7" t="s">
        <v>476</v>
      </c>
      <c r="F4" s="7" t="s">
        <v>477</v>
      </c>
      <c r="G4" s="7" t="s">
        <v>478</v>
      </c>
    </row>
    <row r="5" customFormat="false" ht="15" hidden="false" customHeight="false" outlineLevel="0" collapsed="false">
      <c r="A5" s="10" t="s">
        <v>23</v>
      </c>
      <c r="B5" s="10" t="s">
        <v>27</v>
      </c>
      <c r="C5" s="10" t="s">
        <v>18</v>
      </c>
      <c r="D5" s="53" t="n">
        <v>26</v>
      </c>
      <c r="E5" s="10" t="n">
        <f aca="false">SUMIFS(Tareas!$F:$F,Tareas!$B:$B,$A5,Tareas!$E:$E,$B5)</f>
        <v>21</v>
      </c>
      <c r="F5" s="12" t="n">
        <f aca="false">IFERROR(E5/D5,0)</f>
        <v>0.807692307692308</v>
      </c>
      <c r="G5" s="50" t="n">
        <f aca="false">SUMIFS(Tareas!$L:$L,Tareas!$B:$B,$A5,Tareas!$E:$E,$B5)</f>
        <v>21</v>
      </c>
    </row>
    <row r="6" customFormat="false" ht="15" hidden="false" customHeight="false" outlineLevel="0" collapsed="false">
      <c r="A6" s="10" t="s">
        <v>23</v>
      </c>
      <c r="B6" s="10" t="s">
        <v>28</v>
      </c>
      <c r="C6" s="10" t="s">
        <v>19</v>
      </c>
      <c r="D6" s="53" t="n">
        <v>26</v>
      </c>
      <c r="E6" s="10" t="n">
        <f aca="false">SUMIFS(Tareas!$F:$F,Tareas!$B:$B,$A6,Tareas!$E:$E,$B6)</f>
        <v>21</v>
      </c>
      <c r="F6" s="12" t="n">
        <f aca="false">IFERROR(E6/D6,0)</f>
        <v>0.807692307692308</v>
      </c>
      <c r="G6" s="50" t="n">
        <f aca="false">SUMIFS(Tareas!$L:$L,Tareas!$B:$B,$A6,Tareas!$E:$E,$B6)</f>
        <v>21</v>
      </c>
    </row>
    <row r="7" customFormat="false" ht="15" hidden="false" customHeight="false" outlineLevel="0" collapsed="false">
      <c r="A7" s="10" t="s">
        <v>23</v>
      </c>
      <c r="B7" s="10" t="s">
        <v>29</v>
      </c>
      <c r="C7" s="10" t="s">
        <v>20</v>
      </c>
      <c r="D7" s="53" t="n">
        <v>29</v>
      </c>
      <c r="E7" s="10" t="n">
        <f aca="false">SUMIFS(Tareas!$F:$F,Tareas!$B:$B,$A7,Tareas!$E:$E,$B7)</f>
        <v>27</v>
      </c>
      <c r="F7" s="12" t="n">
        <f aca="false">IFERROR(E7/D7,0)</f>
        <v>0.931034482758621</v>
      </c>
      <c r="G7" s="50" t="n">
        <f aca="false">SUMIFS(Tareas!$L:$L,Tareas!$B:$B,$A7,Tareas!$E:$E,$B7)</f>
        <v>27</v>
      </c>
    </row>
    <row r="8" customFormat="false" ht="15" hidden="false" customHeight="false" outlineLevel="0" collapsed="false">
      <c r="A8" s="10" t="s">
        <v>31</v>
      </c>
      <c r="B8" s="10" t="s">
        <v>27</v>
      </c>
      <c r="C8" s="10" t="s">
        <v>20</v>
      </c>
      <c r="D8" s="53" t="n">
        <v>26</v>
      </c>
      <c r="E8" s="10" t="n">
        <f aca="false">SUMIFS(Tareas!$F:$F,Tareas!$B:$B,$A8,Tareas!$E:$E,$B8)</f>
        <v>22</v>
      </c>
      <c r="F8" s="12" t="n">
        <f aca="false">IFERROR(E8/D8,0)</f>
        <v>0.846153846153846</v>
      </c>
      <c r="G8" s="50" t="n">
        <f aca="false">SUMIFS(Tareas!$L:$L,Tareas!$B:$B,$A8,Tareas!$E:$E,$B8)</f>
        <v>22</v>
      </c>
    </row>
    <row r="9" customFormat="false" ht="15" hidden="false" customHeight="false" outlineLevel="0" collapsed="false">
      <c r="A9" s="10" t="s">
        <v>31</v>
      </c>
      <c r="B9" s="10" t="s">
        <v>28</v>
      </c>
      <c r="C9" s="10" t="s">
        <v>18</v>
      </c>
      <c r="D9" s="53" t="n">
        <v>23</v>
      </c>
      <c r="E9" s="10" t="n">
        <f aca="false">SUMIFS(Tareas!$F:$F,Tareas!$B:$B,$A9,Tareas!$E:$E,$B9)</f>
        <v>18</v>
      </c>
      <c r="F9" s="12" t="n">
        <f aca="false">IFERROR(E9/D9,0)</f>
        <v>0.782608695652174</v>
      </c>
      <c r="G9" s="50" t="n">
        <f aca="false">SUMIFS(Tareas!$L:$L,Tareas!$B:$B,$A9,Tareas!$E:$E,$B9)</f>
        <v>18</v>
      </c>
    </row>
    <row r="10" customFormat="false" ht="15" hidden="false" customHeight="false" outlineLevel="0" collapsed="false">
      <c r="A10" s="10" t="s">
        <v>31</v>
      </c>
      <c r="B10" s="10" t="s">
        <v>29</v>
      </c>
      <c r="C10" s="10" t="s">
        <v>19</v>
      </c>
      <c r="D10" s="53" t="n">
        <v>23</v>
      </c>
      <c r="E10" s="10" t="n">
        <f aca="false">SUMIFS(Tareas!$F:$F,Tareas!$B:$B,$A10,Tareas!$E:$E,$B10)</f>
        <v>16</v>
      </c>
      <c r="F10" s="12" t="n">
        <f aca="false">IFERROR(E10/D10,0)</f>
        <v>0.695652173913044</v>
      </c>
      <c r="G10" s="50" t="n">
        <f aca="false">SUMIFS(Tareas!$L:$L,Tareas!$B:$B,$A10,Tareas!$E:$E,$B10)</f>
        <v>16</v>
      </c>
    </row>
    <row r="11" customFormat="false" ht="15" hidden="false" customHeight="false" outlineLevel="0" collapsed="false">
      <c r="A11" s="10" t="s">
        <v>36</v>
      </c>
      <c r="B11" s="10" t="s">
        <v>27</v>
      </c>
      <c r="C11" s="10" t="s">
        <v>19</v>
      </c>
      <c r="D11" s="53" t="n">
        <v>26</v>
      </c>
      <c r="E11" s="10" t="n">
        <f aca="false">SUMIFS(Tareas!$F:$F,Tareas!$B:$B,$A11,Tareas!$E:$E,$B11)</f>
        <v>19</v>
      </c>
      <c r="F11" s="12" t="n">
        <f aca="false">IFERROR(E11/D11,0)</f>
        <v>0.730769230769231</v>
      </c>
      <c r="G11" s="50" t="n">
        <f aca="false">SUMIFS(Tareas!$L:$L,Tareas!$B:$B,$A11,Tareas!$E:$E,$B11)</f>
        <v>19</v>
      </c>
    </row>
    <row r="12" customFormat="false" ht="15" hidden="false" customHeight="false" outlineLevel="0" collapsed="false">
      <c r="A12" s="10" t="s">
        <v>36</v>
      </c>
      <c r="B12" s="10" t="s">
        <v>28</v>
      </c>
      <c r="C12" s="10" t="s">
        <v>20</v>
      </c>
      <c r="D12" s="53" t="n">
        <v>29</v>
      </c>
      <c r="E12" s="10" t="n">
        <f aca="false">SUMIFS(Tareas!$F:$F,Tareas!$B:$B,$A12,Tareas!$E:$E,$B12)</f>
        <v>18</v>
      </c>
      <c r="F12" s="12" t="n">
        <f aca="false">IFERROR(E12/D12,0)</f>
        <v>0.620689655172414</v>
      </c>
      <c r="G12" s="50" t="n">
        <f aca="false">SUMIFS(Tareas!$L:$L,Tareas!$B:$B,$A12,Tareas!$E:$E,$B12)</f>
        <v>18</v>
      </c>
    </row>
    <row r="13" customFormat="false" ht="15" hidden="false" customHeight="false" outlineLevel="0" collapsed="false">
      <c r="A13" s="10" t="s">
        <v>36</v>
      </c>
      <c r="B13" s="10" t="s">
        <v>29</v>
      </c>
      <c r="C13" s="10" t="s">
        <v>18</v>
      </c>
      <c r="D13" s="53" t="n">
        <v>26</v>
      </c>
      <c r="E13" s="10" t="n">
        <f aca="false">SUMIFS(Tareas!$F:$F,Tareas!$B:$B,$A13,Tareas!$E:$E,$B13)</f>
        <v>22</v>
      </c>
      <c r="F13" s="12" t="n">
        <f aca="false">IFERROR(E13/D13,0)</f>
        <v>0.846153846153846</v>
      </c>
      <c r="G13" s="50" t="n">
        <f aca="false">SUMIFS(Tareas!$L:$L,Tareas!$B:$B,$A13,Tareas!$E:$E,$B13)</f>
        <v>22</v>
      </c>
    </row>
    <row r="14" customFormat="false" ht="15" hidden="false" customHeight="false" outlineLevel="0" collapsed="false">
      <c r="A14" s="10" t="s">
        <v>41</v>
      </c>
      <c r="B14" s="10" t="s">
        <v>27</v>
      </c>
      <c r="C14" s="10" t="s">
        <v>18</v>
      </c>
      <c r="D14" s="53" t="n">
        <v>23</v>
      </c>
      <c r="E14" s="10" t="n">
        <f aca="false">SUMIFS(Tareas!$F:$F,Tareas!$B:$B,$A14,Tareas!$E:$E,$B14)</f>
        <v>18</v>
      </c>
      <c r="F14" s="12" t="n">
        <f aca="false">IFERROR(E14/D14,0)</f>
        <v>0.782608695652174</v>
      </c>
      <c r="G14" s="50" t="n">
        <f aca="false">SUMIFS(Tareas!$L:$L,Tareas!$B:$B,$A14,Tareas!$E:$E,$B14)</f>
        <v>0</v>
      </c>
    </row>
    <row r="15" customFormat="false" ht="15" hidden="false" customHeight="false" outlineLevel="0" collapsed="false">
      <c r="A15" s="10" t="s">
        <v>41</v>
      </c>
      <c r="B15" s="10" t="s">
        <v>28</v>
      </c>
      <c r="C15" s="10" t="s">
        <v>19</v>
      </c>
      <c r="D15" s="53" t="n">
        <v>23</v>
      </c>
      <c r="E15" s="10" t="n">
        <f aca="false">SUMIFS(Tareas!$F:$F,Tareas!$B:$B,$A15,Tareas!$E:$E,$B15)</f>
        <v>16</v>
      </c>
      <c r="F15" s="12" t="n">
        <f aca="false">IFERROR(E15/D15,0)</f>
        <v>0.695652173913044</v>
      </c>
      <c r="G15" s="50" t="n">
        <f aca="false">SUMIFS(Tareas!$L:$L,Tareas!$B:$B,$A15,Tareas!$E:$E,$B15)</f>
        <v>0</v>
      </c>
    </row>
    <row r="16" customFormat="false" ht="15" hidden="false" customHeight="false" outlineLevel="0" collapsed="false">
      <c r="A16" s="10" t="s">
        <v>41</v>
      </c>
      <c r="B16" s="10" t="s">
        <v>29</v>
      </c>
      <c r="C16" s="10" t="s">
        <v>20</v>
      </c>
      <c r="D16" s="53" t="n">
        <v>26</v>
      </c>
      <c r="E16" s="10" t="n">
        <f aca="false">SUMIFS(Tareas!$F:$F,Tareas!$B:$B,$A16,Tareas!$E:$E,$B16)</f>
        <v>21</v>
      </c>
      <c r="F16" s="12" t="n">
        <f aca="false">IFERROR(E16/D16,0)</f>
        <v>0.807692307692308</v>
      </c>
      <c r="G16" s="50" t="n">
        <f aca="false">SUMIFS(Tareas!$L:$L,Tareas!$B:$B,$A16,Tareas!$E:$E,$B16)</f>
        <v>0</v>
      </c>
    </row>
    <row r="17" customFormat="false" ht="15" hidden="false" customHeight="false" outlineLevel="0" collapsed="false">
      <c r="A17" s="10" t="s">
        <v>46</v>
      </c>
      <c r="B17" s="10" t="s">
        <v>27</v>
      </c>
      <c r="C17" s="10" t="s">
        <v>20</v>
      </c>
      <c r="D17" s="53" t="n">
        <v>29</v>
      </c>
      <c r="E17" s="10" t="n">
        <f aca="false">SUMIFS(Tareas!$F:$F,Tareas!$B:$B,$A17,Tareas!$E:$E,$B17)</f>
        <v>18</v>
      </c>
      <c r="F17" s="12" t="n">
        <f aca="false">IFERROR(E17/D17,0)</f>
        <v>0.620689655172414</v>
      </c>
      <c r="G17" s="50" t="n">
        <f aca="false">SUMIFS(Tareas!$L:$L,Tareas!$B:$B,$A17,Tareas!$E:$E,$B17)</f>
        <v>0</v>
      </c>
    </row>
    <row r="18" customFormat="false" ht="15" hidden="false" customHeight="false" outlineLevel="0" collapsed="false">
      <c r="A18" s="10" t="s">
        <v>46</v>
      </c>
      <c r="B18" s="10" t="s">
        <v>28</v>
      </c>
      <c r="C18" s="10" t="s">
        <v>18</v>
      </c>
      <c r="D18" s="53" t="n">
        <v>26</v>
      </c>
      <c r="E18" s="10" t="n">
        <f aca="false">SUMIFS(Tareas!$F:$F,Tareas!$B:$B,$A18,Tareas!$E:$E,$B18)</f>
        <v>16</v>
      </c>
      <c r="F18" s="12" t="n">
        <f aca="false">IFERROR(E18/D18,0)</f>
        <v>0.615384615384615</v>
      </c>
      <c r="G18" s="50" t="n">
        <f aca="false">SUMIFS(Tareas!$L:$L,Tareas!$B:$B,$A18,Tareas!$E:$E,$B18)</f>
        <v>0</v>
      </c>
    </row>
    <row r="19" customFormat="false" ht="15" hidden="false" customHeight="false" outlineLevel="0" collapsed="false">
      <c r="A19" s="10" t="s">
        <v>46</v>
      </c>
      <c r="B19" s="10" t="s">
        <v>29</v>
      </c>
      <c r="C19" s="10" t="s">
        <v>19</v>
      </c>
      <c r="D19" s="53" t="n">
        <v>26</v>
      </c>
      <c r="E19" s="10" t="n">
        <f aca="false">SUMIFS(Tareas!$F:$F,Tareas!$B:$B,$A19,Tareas!$E:$E,$B19)</f>
        <v>17</v>
      </c>
      <c r="F19" s="12" t="n">
        <f aca="false">IFERROR(E19/D19,0)</f>
        <v>0.653846153846154</v>
      </c>
      <c r="G19" s="50" t="n">
        <f aca="false">SUMIFS(Tareas!$L:$L,Tareas!$B:$B,$A19,Tareas!$E:$E,$B19)</f>
        <v>0</v>
      </c>
    </row>
    <row r="20" customFormat="false" ht="15" hidden="false" customHeight="false" outlineLevel="0" collapsed="false">
      <c r="A20" s="10" t="s">
        <v>51</v>
      </c>
      <c r="B20" s="10" t="s">
        <v>27</v>
      </c>
      <c r="C20" s="10" t="s">
        <v>19</v>
      </c>
      <c r="D20" s="53" t="n">
        <v>13.25</v>
      </c>
      <c r="E20" s="10" t="n">
        <f aca="false">SUMIFS(Tareas!$F:$F,Tareas!$B:$B,$A20,Tareas!$E:$E,$B20)</f>
        <v>9</v>
      </c>
      <c r="F20" s="12" t="n">
        <f aca="false">IFERROR(E20/D20,0)</f>
        <v>0.679245283018868</v>
      </c>
      <c r="G20" s="50" t="n">
        <f aca="false">SUMIFS(Tareas!$L:$L,Tareas!$B:$B,$A20,Tareas!$E:$E,$B20)</f>
        <v>0</v>
      </c>
    </row>
    <row r="21" customFormat="false" ht="15" hidden="false" customHeight="false" outlineLevel="0" collapsed="false">
      <c r="A21" s="10" t="s">
        <v>51</v>
      </c>
      <c r="B21" s="10" t="s">
        <v>28</v>
      </c>
      <c r="C21" s="10" t="s">
        <v>20</v>
      </c>
      <c r="D21" s="53" t="n">
        <v>14.75</v>
      </c>
      <c r="E21" s="10" t="n">
        <f aca="false">SUMIFS(Tareas!$F:$F,Tareas!$B:$B,$A21,Tareas!$E:$E,$B21)</f>
        <v>6</v>
      </c>
      <c r="F21" s="12" t="n">
        <f aca="false">IFERROR(E21/D21,0)</f>
        <v>0.406779661016949</v>
      </c>
      <c r="G21" s="50" t="n">
        <f aca="false">SUMIFS(Tareas!$L:$L,Tareas!$B:$B,$A21,Tareas!$E:$E,$B21)</f>
        <v>0</v>
      </c>
    </row>
    <row r="22" customFormat="false" ht="15" hidden="false" customHeight="false" outlineLevel="0" collapsed="false">
      <c r="A22" s="10" t="s">
        <v>51</v>
      </c>
      <c r="B22" s="10" t="s">
        <v>29</v>
      </c>
      <c r="C22" s="10" t="s">
        <v>18</v>
      </c>
      <c r="D22" s="53" t="n">
        <v>13.25</v>
      </c>
      <c r="E22" s="10" t="n">
        <f aca="false">SUMIFS(Tareas!$F:$F,Tareas!$B:$B,$A22,Tareas!$E:$E,$B22)</f>
        <v>6</v>
      </c>
      <c r="F22" s="12" t="n">
        <f aca="false">IFERROR(E22/D22,0)</f>
        <v>0.452830188679245</v>
      </c>
      <c r="G22" s="50" t="n">
        <f aca="false">SUMIFS(Tareas!$L:$L,Tareas!$B:$B,$A22,Tareas!$E:$E,$B22)</f>
        <v>0</v>
      </c>
    </row>
  </sheetData>
  <conditionalFormatting sqref="F5:F22">
    <cfRule type="expression" priority="2" aboveAverage="0" equalAverage="0" bottom="0" percent="0" rank="0" text="" dxfId="18">
      <formula>$F5&gt;1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479</v>
      </c>
    </row>
    <row r="2" customFormat="false" ht="15" hidden="false" customHeight="false" outlineLevel="0" collapsed="false">
      <c r="A2" s="2" t="s">
        <v>480</v>
      </c>
    </row>
    <row r="4" customFormat="false" ht="15" hidden="false" customHeight="false" outlineLevel="0" collapsed="false">
      <c r="A4" s="7" t="s">
        <v>69</v>
      </c>
      <c r="B4" s="7" t="s">
        <v>481</v>
      </c>
      <c r="D4" s="7" t="s">
        <v>482</v>
      </c>
      <c r="E4" s="7" t="s">
        <v>483</v>
      </c>
    </row>
    <row r="5" customFormat="false" ht="15" hidden="false" customHeight="false" outlineLevel="0" collapsed="false">
      <c r="A5" s="54" t="n">
        <v>46283</v>
      </c>
      <c r="B5" s="11" t="s">
        <v>484</v>
      </c>
      <c r="D5" s="11" t="s">
        <v>395</v>
      </c>
      <c r="E5" s="55" t="n">
        <v>0</v>
      </c>
    </row>
    <row r="6" customFormat="false" ht="15" hidden="false" customHeight="false" outlineLevel="0" collapsed="false">
      <c r="A6" s="54" t="n">
        <v>46284</v>
      </c>
      <c r="B6" s="11" t="s">
        <v>485</v>
      </c>
      <c r="D6" s="11" t="s">
        <v>486</v>
      </c>
      <c r="E6" s="55" t="n">
        <v>0.5</v>
      </c>
    </row>
    <row r="7" customFormat="false" ht="15" hidden="false" customHeight="false" outlineLevel="0" collapsed="false">
      <c r="A7" s="54" t="n">
        <v>46307</v>
      </c>
      <c r="B7" s="11" t="s">
        <v>487</v>
      </c>
      <c r="D7" s="11" t="s">
        <v>488</v>
      </c>
      <c r="E7" s="55" t="n">
        <v>0.75</v>
      </c>
    </row>
    <row r="8" customFormat="false" ht="15" hidden="false" customHeight="false" outlineLevel="0" collapsed="false">
      <c r="A8" s="54" t="n">
        <v>46326</v>
      </c>
      <c r="B8" s="11" t="s">
        <v>489</v>
      </c>
      <c r="D8" s="11" t="s">
        <v>490</v>
      </c>
      <c r="E8" s="55" t="n">
        <v>0.9</v>
      </c>
    </row>
    <row r="9" customFormat="false" ht="15" hidden="false" customHeight="false" outlineLevel="0" collapsed="false">
      <c r="A9" s="54" t="n">
        <v>46327</v>
      </c>
      <c r="B9" s="11" t="s">
        <v>491</v>
      </c>
      <c r="D9" s="11" t="s">
        <v>393</v>
      </c>
      <c r="E9" s="55" t="n">
        <v>1</v>
      </c>
    </row>
    <row r="10" customFormat="false" ht="15" hidden="false" customHeight="false" outlineLevel="0" collapsed="false">
      <c r="A10" s="54" t="n">
        <v>46364</v>
      </c>
      <c r="B10" s="11" t="s">
        <v>492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&amp;L&amp;9DUOC UC · Escuela de Informática y Telecomunicaciones&amp;R&amp;9Carta Gantt de sprints</oddHeader>
    <oddFooter>&amp;R&amp;9Página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2026-09-27T23:12:36Z</dcterms:created>
  <dc:creator>Millaray Espósito</dc:creator>
  <dc:description/>
  <dc:language>en-US</dc:language>
  <cp:lastModifiedBy>Millaray Espósito</cp:lastModifiedBy>
  <dcterms:modified xsi:type="dcterms:W3CDTF">2026-09-27T23:12:38Z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