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aray/Desktop/documentos del proyecto scrum/"/>
    </mc:Choice>
  </mc:AlternateContent>
  <xr:revisionPtr revIDLastSave="0" documentId="8_{479B6DBE-CFD1-024E-9397-2C23F3D404C0}" xr6:coauthVersionLast="47" xr6:coauthVersionMax="47" xr10:uidLastSave="{00000000-0000-0000-0000-000000000000}"/>
  <bookViews>
    <workbookView xWindow="0" yWindow="0" windowWidth="28800" windowHeight="18000" activeTab="2" xr2:uid="{A329DF2D-70D8-E344-9999-686B9F1A1104}"/>
  </bookViews>
  <sheets>
    <sheet name="Riesgos" sheetId="1" r:id="rId1"/>
    <sheet name="Restricciones" sheetId="2" r:id="rId2"/>
    <sheet name="Decisiones" sheetId="3" r:id="rId3"/>
    <sheet name="Matriz de calor" sheetId="4" r:id="rId4"/>
  </sheets>
  <definedNames>
    <definedName name="_xlnm._FilterDatabase" localSheetId="2" hidden="1">Decisiones!$B$5:$L$17</definedName>
    <definedName name="_xlnm._FilterDatabase" localSheetId="1" hidden="1">Restricciones!$B$5:$J$18</definedName>
    <definedName name="_xlnm._FilterDatabase" localSheetId="0" hidden="1">Riesgos!$B$5:$R$20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4" l="1"/>
  <c r="D18" i="4"/>
  <c r="E18" i="4"/>
  <c r="F18" i="4"/>
  <c r="D17" i="4"/>
  <c r="E17" i="4"/>
  <c r="E19" i="4" s="1"/>
  <c r="F17" i="4"/>
  <c r="D16" i="4"/>
  <c r="E16" i="4"/>
  <c r="F16" i="4"/>
  <c r="D15" i="4"/>
  <c r="E15" i="4"/>
  <c r="F15" i="4" s="1"/>
  <c r="D9" i="4"/>
  <c r="E9" i="4"/>
  <c r="F9" i="4"/>
  <c r="G9" i="4"/>
  <c r="I6" i="4" a="1"/>
  <c r="I6" i="4" s="1"/>
  <c r="J6" i="4" a="1"/>
  <c r="J6" i="4" s="1"/>
  <c r="K6" i="4" a="1"/>
  <c r="K6" i="4" s="1"/>
  <c r="I7" i="4" a="1"/>
  <c r="I7" i="4" s="1"/>
  <c r="J7" i="4" a="1"/>
  <c r="J7" i="4" s="1"/>
  <c r="K7" i="4" a="1"/>
  <c r="K7" i="4" s="1"/>
  <c r="I8" i="4" a="1"/>
  <c r="I8" i="4" s="1"/>
  <c r="J8" i="4" a="1"/>
  <c r="J8" i="4" s="1"/>
  <c r="K8" i="4" a="1"/>
  <c r="K8" i="4" s="1"/>
  <c r="D6" i="4"/>
  <c r="G6" i="4" s="1"/>
  <c r="E6" i="4"/>
  <c r="F6" i="4"/>
  <c r="D7" i="4"/>
  <c r="G7" i="4" s="1"/>
  <c r="E7" i="4"/>
  <c r="F7" i="4"/>
  <c r="D8" i="4"/>
  <c r="G8" i="4" s="1"/>
  <c r="E8" i="4"/>
  <c r="F8" i="4"/>
  <c r="J3" i="3"/>
  <c r="I3" i="2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/>
  <c r="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Millaray Esposito</author>
  </authors>
  <commentList>
    <comment ref="B5" authorId="0" shapeId="0" xr:uid="{CD51114A-9ACE-5E40-A2CA-DEB2052BAB29}">
      <text>
        <r>
          <rPr>
            <b/>
            <sz val="10"/>
            <color rgb="FF000000"/>
            <rFont val="Tahoma"/>
            <family val="2"/>
          </rPr>
          <t>Millaray Esposito:</t>
        </r>
        <r>
          <rPr>
            <sz val="10"/>
            <color rgb="FF000000"/>
            <rFont val="Tahoma"/>
            <family val="2"/>
          </rPr>
          <t xml:space="preserve">
Fuente: Instrucciones para Claude en Excel - Registro de Riesgos.md, archivo cargado el 23/09/2026. Contenido transcrito del archivo.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Millaray Esposito</author>
  </authors>
  <commentList>
    <comment ref="B5" authorId="0" shapeId="0" xr:uid="{5546A047-5F41-4E44-9AA3-8A68857699FB}">
      <text>
        <r>
          <rPr>
            <b/>
            <sz val="10"/>
            <color rgb="FF000000"/>
            <rFont val="Tahoma"/>
            <family val="2"/>
          </rPr>
          <t>Millaray Esposito:</t>
        </r>
        <r>
          <rPr>
            <sz val="10"/>
            <color rgb="FF000000"/>
            <rFont val="Tahoma"/>
            <family val="2"/>
          </rPr>
          <t xml:space="preserve">
Fuente: Instrucciones para Claude en Excel - Registro de Riesgos.md, archivo cargado el 23/09/2026. Contenido transcrito del archivo.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Millaray Esposito</author>
  </authors>
  <commentList>
    <comment ref="B5" authorId="0" shapeId="0" xr:uid="{618384F4-D4C7-774E-9B19-A5C7577DD4AE}">
      <text>
        <r>
          <rPr>
            <b/>
            <sz val="10"/>
            <color rgb="FF000000"/>
            <rFont val="Tahoma"/>
            <family val="2"/>
          </rPr>
          <t>Millaray Esposito:</t>
        </r>
        <r>
          <rPr>
            <sz val="10"/>
            <color rgb="FF000000"/>
            <rFont val="Tahoma"/>
            <family val="2"/>
          </rPr>
          <t xml:space="preserve">
Fuente: Instrucciones para Claude en Excel - Registro de Riesgos.md, archivo cargado el 23/09/2026. Contenido transcrito del archivo.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<sst xmlns="http://schemas.openxmlformats.org/spreadsheetml/2006/main" count="532" uniqueCount="359">
  <si>
    <t>REGISTRO DE RIESGOS</t>
  </si>
  <si>
    <t>Nombre del proyecto</t>
  </si>
  <si>
    <t>Plataforma Integrada con SAP Business One — Grupo Gómez Hermanos</t>
  </si>
  <si>
    <t>Responsable del registro</t>
  </si>
  <si>
    <t>Fecha</t>
  </si>
  <si>
    <t>Versión</t>
  </si>
  <si>
    <t>v1.0</t>
  </si>
  <si>
    <t>N.° de registros</t>
  </si>
  <si>
    <t>Puntaje = probabilidad × impacto (Baja/Bajo = 1, Media/Medio = 2, Alta/Alto = 3). Nivel: Crítico 9 · Alto 6 · Moderado 3 a 4 · Bajo 1 a 2. El puntaje y el nivel se calculan solos al cambiar la probabilidad o el impacto.</t>
  </si>
  <si>
    <t>ID</t>
  </si>
  <si>
    <t>Categoría</t>
  </si>
  <si>
    <t>Riesgo</t>
  </si>
  <si>
    <t>Causa</t>
  </si>
  <si>
    <t>Consecuencia</t>
  </si>
  <si>
    <t>Probabilidad</t>
  </si>
  <si>
    <t>Impacto</t>
  </si>
  <si>
    <t>Puntaje</t>
  </si>
  <si>
    <t>Nivel</t>
  </si>
  <si>
    <t>Estrategia</t>
  </si>
  <si>
    <t>Respuesta / acciones preventivas</t>
  </si>
  <si>
    <t>Plan de contingencia</t>
  </si>
  <si>
    <t>Responsable</t>
  </si>
  <si>
    <t>Disparador / señal de alerta</t>
  </si>
  <si>
    <t>Estado</t>
  </si>
  <si>
    <t>Fecha de identificación</t>
  </si>
  <si>
    <t>Última revisión</t>
  </si>
  <si>
    <t>R-01</t>
  </si>
  <si>
    <t>Alcance</t>
  </si>
  <si>
    <t>Aumento no controlado del alcance</t>
  </si>
  <si>
    <t>Cada proceso revisado abre necesidades adicionales y la organización solicita nuevas funciones durante el desarrollo.</t>
  </si>
  <si>
    <t>Módulos incompletos al cierre del semestre y pérdida de calidad en las funciones comprometidas.</t>
  </si>
  <si>
    <t>Alta</t>
  </si>
  <si>
    <t>Alto</t>
  </si>
  <si>
    <t>Mitigar</t>
  </si>
  <si>
    <t>Mantener el producto mínimo viable de seis módulos. Todo cambio relevante se registra y evalúa según la gestión de cambios de la Carta de Constitución. Las funciones nuevas se agregan al Product Backlog como mejoras futuras.</t>
  </si>
  <si>
    <t>Si al cierre de un sprint el avance es menor al 70 % de lo comprometido, se reprioriza el backlog y se posterga la función de menor valor.</t>
  </si>
  <si>
    <t>Matías Orellana</t>
  </si>
  <si>
    <t>Historias nuevas agregadas a un sprint en curso o velocidad inferior a la planificada durante dos sprints.</t>
  </si>
  <si>
    <t>En seguimiento</t>
  </si>
  <si>
    <t>R-02</t>
  </si>
  <si>
    <t>Integración</t>
  </si>
  <si>
    <t>Falta de acceso al ambiente real de SAP Business One</t>
  </si>
  <si>
    <t>El ambiente productivo es crítico para la operación y el acceso para pruebas depende de la disponibilidad de TI.</t>
  </si>
  <si>
    <t>La integración no puede validarse contra el ERP real y se retrasan las pruebas de los módulos comercial y de solicitudes.</t>
  </si>
  <si>
    <t>Media</t>
  </si>
  <si>
    <t>Desarrollar y probar con servicios simulados que reproducen las respuestas de la API de lectura y del Service Layer, con datos ficticios. Dejar los casos de prueba escritos para repetirlos contra el ambiente real.</t>
  </si>
  <si>
    <t>Presentar la demostración final con servicios simulados, acompañada del registro de pruebas y de la especificación de integración.</t>
  </si>
  <si>
    <t>Alexssander López</t>
  </si>
  <si>
    <t>Semana 10 sin acceso confirmado a un ambiente de prueba del ERP.</t>
  </si>
  <si>
    <t>Abierto</t>
  </si>
  <si>
    <t>R-03</t>
  </si>
  <si>
    <t>Licenciamiento</t>
  </si>
  <si>
    <t>Uso de la integración sin la autorización de acceso indirecto requerida</t>
  </si>
  <si>
    <t>Las operaciones realizadas en el ERP a través de una aplicación externa pueden requerir autorizaciones específicas según el contrato con SAP.</t>
  </si>
  <si>
    <t>Incumplimiento contractual con el proveedor del ERP e imposibilidad de llevar la solución a producción.</t>
  </si>
  <si>
    <t>Evitar</t>
  </si>
  <si>
    <t>La plataforma no busca reemplazar ni eludir el licenciamiento. La organización confirmará con su partner autorizado el tipo, cantidad y costo de las autorizaciones antes de cualquier puesta en producción. En el semestre se opera solo en ambiente académico controlado.</t>
  </si>
  <si>
    <t>Suspender la puesta en producción hasta contar con la validación contractual; la entrega académica no se ve afectada.</t>
  </si>
  <si>
    <t>Uso de la integración fuera del ambiente de demostración sin validación escrita del partner.</t>
  </si>
  <si>
    <t>R-04</t>
  </si>
  <si>
    <t>Rendimiento</t>
  </si>
  <si>
    <t>La API de lectura agrega carga al ERP en lugar de reducirla</t>
  </si>
  <si>
    <t>Consultas sin filtros, sin paginación o ejecutadas con alta frecuencia sobre SAP HANA.</t>
  </si>
  <si>
    <t>El ERP se vuelve más lento en las horas de mayor actividad, contrario al objetivo del proyecto.</t>
  </si>
  <si>
    <t>Limitar las consultas a los campos necesarios, paginar los listados, aplicar tiempos límite de espera y reintentos acotados, y programar las tareas pesadas fuera del horario de mayor uso.</t>
  </si>
  <si>
    <t>Desactivar la consulta afectada y volver temporalmente al procedimiento anterior mientras se optimiza.</t>
  </si>
  <si>
    <t>Tiempo de respuesta de una consulta superior al comprometido en los requerimientos no funcionales.</t>
  </si>
  <si>
    <t>R-05</t>
  </si>
  <si>
    <t>Requerimientos</t>
  </si>
  <si>
    <t>Cambios en los requerimientos</t>
  </si>
  <si>
    <t>Procesos no documentados que dependen de cómo los ejecuta cada persona y validaciones tardías de los usuarios.</t>
  </si>
  <si>
    <t>Retrabajo, historias que deben rehacerse y desfase respecto de la carta Gantt.</t>
  </si>
  <si>
    <t>Medio</t>
  </si>
  <si>
    <t>Modelar los flujos actuales y validarlos con quienes los ejecutan antes de redactar las historias. Refinar el Product Backlog en cada sprint con criterios de aceptación explícitos.</t>
  </si>
  <si>
    <t>Congelar el alcance del sprint en curso y aplicar el cambio en el siguiente, previa evaluación de impacto.</t>
  </si>
  <si>
    <t>Millaray Espósito</t>
  </si>
  <si>
    <t>Una misma historia modificada más de una vez después de aprobada.</t>
  </si>
  <si>
    <t>R-06</t>
  </si>
  <si>
    <t>Procesos de la organización sin documentación formal</t>
  </si>
  <si>
    <t>Varios procedimientos se transmiten de forma verbal y existen versiones distintas según el área.</t>
  </si>
  <si>
    <t>Requerimientos incompletos o contradictorios y reglas de negocio mal implementadas.</t>
  </si>
  <si>
    <t>Levantar cada proceso con al menos dos usuarios del área, documentar las diferencias y resolverlas con la jefatura antes de programar.</t>
  </si>
  <si>
    <t>Registrar la regla en disputa como supuesto y validarla en la revisión del sprint con el usuario clave.</t>
  </si>
  <si>
    <t>Diferencias entre las respuestas de dos usuarios sobre un mismo paso del proceso.</t>
  </si>
  <si>
    <t>Mitigado</t>
  </si>
  <si>
    <t>R-07</t>
  </si>
  <si>
    <t>Equipo</t>
  </si>
  <si>
    <t>Disponibilidad limitada de los integrantes</t>
  </si>
  <si>
    <t>Los tres integrantes compatibilizan el proyecto con trabajo y otras asignaturas.</t>
  </si>
  <si>
    <t>Tareas atrasadas y dependencia de una sola persona para componentes críticos.</t>
  </si>
  <si>
    <t>Planificar la capacidad real de cada sprint, mantener una reunión semanal de seguimiento y registrar los avances en el repositorio para que cualquier integrante pueda retomar una tarea.</t>
  </si>
  <si>
    <t>Redistribuir las tareas del integrante afectado y reducir el alcance del sprint.</t>
  </si>
  <si>
    <t>Tareas sin avance durante una semana o impedimentos repetidos en las reuniones de seguimiento.</t>
  </si>
  <si>
    <t>R-08</t>
  </si>
  <si>
    <t>Seguridad</t>
  </si>
  <si>
    <t>Exposición de información confidencial de la organización</t>
  </si>
  <si>
    <t>Evidencias, capturas o repositorio con datos reales, credenciales o direcciones internas.</t>
  </si>
  <si>
    <t>Riesgo para la seguridad de la empresa y quiebre del acuerdo de confidencialidad.</t>
  </si>
  <si>
    <t>Repositorio privado, credenciales fuera del código, datos ficticios en pruebas y demostraciones, y revisión de cada evidencia antes de entregarla.</t>
  </si>
  <si>
    <t>Retirar de inmediato el material expuesto, rotar las credenciales afectadas e informar a TI.</t>
  </si>
  <si>
    <t>Evidencia con nombres de clientes, rutas, direcciones o parámetros de conexión.</t>
  </si>
  <si>
    <t>R-09</t>
  </si>
  <si>
    <t>Datos</t>
  </si>
  <si>
    <t>Inconsistencia entre la plataforma y el ERP</t>
  </si>
  <si>
    <t>Envío fallido o duplicado de un documento, o error del ERP no controlado por la plataforma.</t>
  </si>
  <si>
    <t>Documentos duplicados en SAP o solicitudes aprobadas que nunca llegaron al ERP.</t>
  </si>
  <si>
    <t>Guardar el documento exacto enviado al ERP para reintentar sin reconstruirlo, registrar el identificador devuelto por cada línea y manejar un estado explícito de error del ERP.</t>
  </si>
  <si>
    <t>Revisión manual de las solicitudes en estado de error y conciliación con el documento del ERP.</t>
  </si>
  <si>
    <t>Solicitud aprobada sin número de documento del ERP después del envío.</t>
  </si>
  <si>
    <t>R-10</t>
  </si>
  <si>
    <t>Integración tardía de los módulos</t>
  </si>
  <si>
    <t>Módulos desarrollados en paralelo sin integrarse hasta el final del semestre.</t>
  </si>
  <si>
    <t>Errores descubiertos al cierre, sin tiempo para corregirlos.</t>
  </si>
  <si>
    <t>Integrar y probar en cada sprint. La Definition of Done exige que la historia esté integrada al producto.</t>
  </si>
  <si>
    <t>Usar la semana de integración final reservada en la carta Gantt, sin incorporar nuevas funciones.</t>
  </si>
  <si>
    <t>Historias terminadas que no se han integrado a la rama principal al cierre del sprint.</t>
  </si>
  <si>
    <t>R-11</t>
  </si>
  <si>
    <t>Calidad</t>
  </si>
  <si>
    <t>Pruebas insuficientes</t>
  </si>
  <si>
    <t>Presión de plazos que desplaza las pruebas al final del desarrollo.</t>
  </si>
  <si>
    <t>Incidencias críticas en la demostración e incumplimiento de los criterios de aceptación.</t>
  </si>
  <si>
    <t>Escribir los casos de prueba junto con cada historia y ejecutarlos antes de darla por terminada. Priorizar las pruebas de los módulos críticos: autorizaciones, permisos e integración.</t>
  </si>
  <si>
    <t>Reducir la cobertura de los módulos secundarios y documentar las pruebas pendientes.</t>
  </si>
  <si>
    <t>Historias marcadas como terminadas sin casos de prueba asociados.</t>
  </si>
  <si>
    <t>R-12</t>
  </si>
  <si>
    <t>Adopción</t>
  </si>
  <si>
    <t>Los usuarios continúan usando correo y planillas</t>
  </si>
  <si>
    <t>La plataforma resulta más lenta o menos clara que el método actual.</t>
  </si>
  <si>
    <t>La solución existe pero no resuelve el problema y la información vuelve a dispersarse.</t>
  </si>
  <si>
    <t>Diseñar las pantallas a partir de los flujos reales, validar los prototipos con usuarios clave y medir el tiempo de cada tarea frente al procedimiento actual.</t>
  </si>
  <si>
    <t>Ajustar la interfaz del flujo afectado en el sprint siguiente según la retroalimentación.</t>
  </si>
  <si>
    <t>Usuarios clave que no logran completar un flujo sin ayuda durante la validación.</t>
  </si>
  <si>
    <t>R-13</t>
  </si>
  <si>
    <t>Tecnología</t>
  </si>
  <si>
    <t>Dependencia de componentes externos</t>
  </si>
  <si>
    <t>Servicios de almacenamiento, librerías o tareas programadas que fallan o cambian.</t>
  </si>
  <si>
    <t>Funciones como la carga de evidencias o las consultas programadas dejan de operar.</t>
  </si>
  <si>
    <t>Incorporar manejo de errores, registrar las fallas y mantener alternativas locales para el ambiente de demostración.</t>
  </si>
  <si>
    <t>Cambiar al almacenamiento local o ejecutar la tarea manualmente mientras se restablece el servicio.</t>
  </si>
  <si>
    <t>Errores repetidos en el registro de un componente externo.</t>
  </si>
  <si>
    <t>R-14</t>
  </si>
  <si>
    <t>Organización</t>
  </si>
  <si>
    <t>Disponibilidad limitada de la contraparte de GGH</t>
  </si>
  <si>
    <t>Las jefaturas y usuarios clave tienen alta carga operativa.</t>
  </si>
  <si>
    <t>Validaciones postergadas y decisiones de negocio sin respuesta.</t>
  </si>
  <si>
    <t>Agendar las validaciones con anticipación, presentar resúmenes breves y concentrar las consultas en la revisión de cada sprint.</t>
  </si>
  <si>
    <t>Avanzar con el supuesto documentado y validarlo en la siguiente instancia disponible.</t>
  </si>
  <si>
    <t>Validaciones pendientes por más de una semana.</t>
  </si>
  <si>
    <t>R-15</t>
  </si>
  <si>
    <t>Metodología</t>
  </si>
  <si>
    <t>Pérdida de continuidad por la rotación de roles Scrum</t>
  </si>
  <si>
    <t>Los roles de Product Owner y Scrum Master rotan entre sprints.</t>
  </si>
  <si>
    <t>Decisiones o prioridades que se pierden entre un responsable y el siguiente.</t>
  </si>
  <si>
    <t>Baja</t>
  </si>
  <si>
    <t>Registrar en la planificación de cada sprint quién asume cada rol y traspasar el estado del backlog en la retrospectiva.</t>
  </si>
  <si>
    <t>El Scrum Master saliente acompaña la planificación del sprint siguiente.</t>
  </si>
  <si>
    <t>Prioridades contradictorias entre dos sprints consecutivos.</t>
  </si>
  <si>
    <t>REGISTRO DE RESTRICCIONES</t>
  </si>
  <si>
    <t>Restricción: condición impuesta que el proyecto no puede modificar y dentro de la cual debe ejecutarse. Los riesgos relacionados remiten a los identificadores de la hoja Riesgos.</t>
  </si>
  <si>
    <t>Tipo</t>
  </si>
  <si>
    <t>Restricción</t>
  </si>
  <si>
    <t>Origen</t>
  </si>
  <si>
    <t>Impacto en el proyecto</t>
  </si>
  <si>
    <t>Forma de gestión</t>
  </si>
  <si>
    <t>Riesgos relacionados</t>
  </si>
  <si>
    <t>X-01</t>
  </si>
  <si>
    <t>Tiempo</t>
  </si>
  <si>
    <t>El proyecto debe ejecutarse dentro de las 18 semanas del periodo académico, entre el 14/08/2026 y el 07/12/2026.</t>
  </si>
  <si>
    <t>Calendario académico de la asignatura Capstone</t>
  </si>
  <si>
    <t>El alcance debe ajustarse al plazo; no hay extensión posible.</t>
  </si>
  <si>
    <t>Carta Gantt con fases y semanas, producto mínimo viable acotado y control semanal del avance.</t>
  </si>
  <si>
    <t>R-01, R-07</t>
  </si>
  <si>
    <t>Vigente</t>
  </si>
  <si>
    <t>X-02</t>
  </si>
  <si>
    <t>Recursos</t>
  </si>
  <si>
    <t>El equipo está compuesto por tres estudiantes.</t>
  </si>
  <si>
    <t>Conformación del grupo</t>
  </si>
  <si>
    <t>La capacidad por sprint es limitada y cada integrante cubre más de un rol.</t>
  </si>
  <si>
    <t>Distribución de responsabilidades por fortaleza, roles Scrum rotativos y trabajo en paralelo.</t>
  </si>
  <si>
    <t>Equipo del proyecto</t>
  </si>
  <si>
    <t>R-07, R-15</t>
  </si>
  <si>
    <t>X-03</t>
  </si>
  <si>
    <t>La cantidad de funcionalidades debe mantenerse dentro del producto mínimo viable de seis módulos.</t>
  </si>
  <si>
    <t>Carta de Constitución</t>
  </si>
  <si>
    <t>Las funciones adicionales no pueden incorporarse sin evaluar su impacto.</t>
  </si>
  <si>
    <t>Gestión de cambios formal y registro de mejoras futuras en el Product Backlog.</t>
  </si>
  <si>
    <t>X-04</t>
  </si>
  <si>
    <t>Contractual</t>
  </si>
  <si>
    <t>La solución debe respetar el contrato y el licenciamiento vigente de SAP Business One, incluidas las autorizaciones de acceso indirecto.</t>
  </si>
  <si>
    <t>Contrato de la organización con SAP y su partner</t>
  </si>
  <si>
    <t>La plataforma no puede usarse para eludir licencias; su paso a producción depende de la validación contractual.</t>
  </si>
  <si>
    <t>Validación con el partner autorizado antes de producción. Operación académica solo en ambiente controlado.</t>
  </si>
  <si>
    <t>Representante GGH</t>
  </si>
  <si>
    <t>Por validar</t>
  </si>
  <si>
    <t>X-05</t>
  </si>
  <si>
    <t>Técnica</t>
  </si>
  <si>
    <t>Toda escritura en el ERP debe realizarse a través de SAP Business One Service Layer.</t>
  </si>
  <si>
    <t>Soporte oficial del fabricante</t>
  </si>
  <si>
    <t>No se permite escribir directamente en la base de datos del ERP.</t>
  </si>
  <si>
    <t>Arquitectura con ruta de escritura exclusiva por Service Layer, sujeta a las validaciones de SAP.</t>
  </si>
  <si>
    <t>X-06</t>
  </si>
  <si>
    <t>Las consultas a SAP HANA deben ser de solo lectura.</t>
  </si>
  <si>
    <t>Integridad del ERP y política de TI</t>
  </si>
  <si>
    <t>La API propia no puede modificar datos del ERP.</t>
  </si>
  <si>
    <t>Usuario de base de datos con permisos de lectura y API de integración sin operaciones de escritura.</t>
  </si>
  <si>
    <t>X-07</t>
  </si>
  <si>
    <t>Infraestructura</t>
  </si>
  <si>
    <t>Los servicios y tareas programadas se ejecutan sobre la infraestructura existente de la organización, en servidores Windows Server 2016.</t>
  </si>
  <si>
    <t>Infraestructura disponible en GGH</t>
  </si>
  <si>
    <t>Las herramientas y dependencias deben ser compatibles con ese sistema operativo.</t>
  </si>
  <si>
    <t>Validar la compatibilidad de cada componente y documentar la instalación de los servicios programados.</t>
  </si>
  <si>
    <t>X-08</t>
  </si>
  <si>
    <t>Red</t>
  </si>
  <si>
    <t>Ningún componente de la plataforma se publica en Internet.</t>
  </si>
  <si>
    <t>Política de seguridad de la organización</t>
  </si>
  <si>
    <t>La solución opera solo dentro de la red corporativa.</t>
  </si>
  <si>
    <t>Despliegue interno y demostraciones en ambiente controlado.</t>
  </si>
  <si>
    <t>Jefatura de TI</t>
  </si>
  <si>
    <t>X-09</t>
  </si>
  <si>
    <t>Acceso</t>
  </si>
  <si>
    <t>El acceso al ambiente real de SAP Business One puede ser limitado.</t>
  </si>
  <si>
    <t>Criticidad del ERP en la operación</t>
  </si>
  <si>
    <t>La integración puede no validarse contra el sistema productivo durante el semestre.</t>
  </si>
  <si>
    <t>Servicios simulados, datos ficticios y casos de prueba listos para repetir contra el ambiente real.</t>
  </si>
  <si>
    <t>X-10</t>
  </si>
  <si>
    <t>Confidencialidad</t>
  </si>
  <si>
    <t>El repositorio y el código fuente son confidenciales.</t>
  </si>
  <si>
    <t>Acuerdo con la organización</t>
  </si>
  <si>
    <t>No se entrega copia del sistema ni acceso a sus carpetas en las evaluaciones.</t>
  </si>
  <si>
    <t>Repositorio privado y demostraciones realizadas directamente por el equipo.</t>
  </si>
  <si>
    <t>X-11</t>
  </si>
  <si>
    <t>No se deben exponer credenciales, direcciones internas ni datos empresariales.</t>
  </si>
  <si>
    <t>Toda evidencia debe revisarse antes de su entrega.</t>
  </si>
  <si>
    <t>Evidencias sanitizadas y credenciales almacenadas fuera del código.</t>
  </si>
  <si>
    <t>X-12</t>
  </si>
  <si>
    <t>Evidencias</t>
  </si>
  <si>
    <t>Las evidencias académicas deben utilizar datos ficticios y estar sanitizadas.</t>
  </si>
  <si>
    <t>Carta de Constitución y pauta de la asignatura</t>
  </si>
  <si>
    <t>Las capturas y videos no pueden mostrar información real de clientes ni de la operación.</t>
  </si>
  <si>
    <t>Base de datos de demostración con datos ficticios y revisión previa de cada evidencia.</t>
  </si>
  <si>
    <t>X-13</t>
  </si>
  <si>
    <t>Tecnológica</t>
  </si>
  <si>
    <t>Las herramientas de desarrollo deben ser de acceso libre o contar con versión gratuita.</t>
  </si>
  <si>
    <t>Presupuesto del proyecto académico</t>
  </si>
  <si>
    <t>No se adquieren licencias adicionales para desarrollar ni probar.</t>
  </si>
  <si>
    <t>Uso de Python, Django, PostgreSQL, FastAPI, Git y GitHub.</t>
  </si>
  <si>
    <t>—</t>
  </si>
  <si>
    <t>REGISTRO DE DECISIONES</t>
  </si>
  <si>
    <t>Cada decisión relevante registra las alternativas evaluadas y su justificación, según la gestión de cambios de la Carta de Constitución. «Relacionado con» remite a riesgos (R) y restricciones (X).</t>
  </si>
  <si>
    <t>Tema</t>
  </si>
  <si>
    <t>Decisión adoptada</t>
  </si>
  <si>
    <t>Alternativas evaluadas</t>
  </si>
  <si>
    <t>Justificación</t>
  </si>
  <si>
    <t>Aprobó</t>
  </si>
  <si>
    <t>Relacionado con</t>
  </si>
  <si>
    <t>D-01</t>
  </si>
  <si>
    <t>Naturaleza de la solución</t>
  </si>
  <si>
    <t>La plataforma funcionará como una capa interna de gestión e integración, sin reemplazar a SAP Business One.</t>
  </si>
  <si>
    <t>Reemplazar procesos completos del ERP · Desarrollar un sistema independiente</t>
  </si>
  <si>
    <t>El ERP es la fuente oficial de la información comercial, logística y contable. Una capa interna resuelve los procesos previos sin duplicar datos ni comprometer la integridad del sistema.</t>
  </si>
  <si>
    <t>Delimita qué construye el equipo y qué permanece en el ERP.</t>
  </si>
  <si>
    <t>X-04, X-05</t>
  </si>
  <si>
    <t>Aprobada</t>
  </si>
  <si>
    <t>D-02</t>
  </si>
  <si>
    <t>Justificación del proyecto</t>
  </si>
  <si>
    <t>El problema se plantea desde la capacidad del ERP y los procesos manuales, no desde el ahorro de licencias.</t>
  </si>
  <si>
    <t>Justificar el proyecto por la reducción del número de licencias de SAP</t>
  </si>
  <si>
    <t>Una aplicación externa no puede usarse para eludir el licenciamiento: las operaciones que llegan al ERP requieren las autorizaciones de acceso indirecto que correspondan. El argumento legítimo es la carga que generan los usuarios simultáneos y la dispersión de los procesos.</t>
  </si>
  <si>
    <t>Se actualizaron la Carta de Constitución, el informe de definición y la presentación.</t>
  </si>
  <si>
    <t>Docente de la asignatura</t>
  </si>
  <si>
    <t>R-03, X-04</t>
  </si>
  <si>
    <t>Implementada</t>
  </si>
  <si>
    <t>D-03</t>
  </si>
  <si>
    <t>Arquitectura de integración</t>
  </si>
  <si>
    <t>Separar la lectura de la escritura: consultas por una API propia en FastAPI sobre SAP HANA, en solo lectura, y escrituras exclusivamente por Service Layer.</t>
  </si>
  <si>
    <t>Resolver todo por Service Layer · Escribir directamente en la base de datos del ERP</t>
  </si>
  <si>
    <t>La consulta directa en solo lectura ofrece mejor rendimiento y permite construir reportes. La escritura por Service Layer es el único canal soportado y aplica todas las validaciones de SAP.</t>
  </si>
  <si>
    <t>Define dos rutas de integración y sus mecanismos de seguridad.</t>
  </si>
  <si>
    <t>R-04, X-05, X-06</t>
  </si>
  <si>
    <t>D-04</t>
  </si>
  <si>
    <t>Tecnologías de desarrollo</t>
  </si>
  <si>
    <t>Desarrollar con Python y Django, PostgreSQL como base de datos principal y SQLite para el ambiente académico de demostración.</t>
  </si>
  <si>
    <t>Laravel · Spring Boot · .NET</t>
  </si>
  <si>
    <t>Django ya es dominado por el equipo, trae autenticación y permisos incorporados y es de acceso libre. Evita destinar semanas del semestre a aprender otra herramienta.</t>
  </si>
  <si>
    <t>Todo el desarrollo se construye sobre este stack.</t>
  </si>
  <si>
    <t>X-01, X-13</t>
  </si>
  <si>
    <t>D-05</t>
  </si>
  <si>
    <t>Alcance del producto</t>
  </si>
  <si>
    <t>Acotar el producto mínimo viable a seis módulos e incorporar Posventa dentro de ellos.</t>
  </si>
  <si>
    <t>Incluir mesa de ayuda y otros procesos secundarios · Dejar Posventa fuera</t>
  </si>
  <si>
    <t>Posventa reutiliza componentes ya comprometidos: usuarios, permisos, autorizaciones, notificaciones y trazabilidad. Los procesos secundarios quedan como mejoras futuras.</t>
  </si>
  <si>
    <t>Fija el contenido del Product Backlog priorizado.</t>
  </si>
  <si>
    <t>R-01, X-03</t>
  </si>
  <si>
    <t>D-06</t>
  </si>
  <si>
    <t>Roles fijos · Metodología en cascada</t>
  </si>
  <si>
    <t>R-15, X-02</t>
  </si>
  <si>
    <t>D-07</t>
  </si>
  <si>
    <t>Datos maestros</t>
  </si>
  <si>
    <t>No replicar los datos maestros del ERP en la base propia; guardar solo sus identificadores y consultar el resto en línea.</t>
  </si>
  <si>
    <t>Copiar productos y clientes a PostgreSQL con sincronización periódica</t>
  </si>
  <si>
    <t>Replicar genera duplicidad y obliga a sincronizar. Mantener una sola fuente de verdad evita inconsistencias.</t>
  </si>
  <si>
    <t>Las tablas propias guardan identificadores del ERP como referencia.</t>
  </si>
  <si>
    <t>D-08</t>
  </si>
  <si>
    <t>Envío de documentos al ERP</t>
  </si>
  <si>
    <t>Guardar el documento exacto que se enviará al ERP y el identificador devuelto por cada línea.</t>
  </si>
  <si>
    <t>Reconstruir el documento en cada intento de envío</t>
  </si>
  <si>
    <t>Permite reintentar sin diferencias entre lo autorizado y lo enviado, y evita duplicar líneas ya creadas si un envío falla a la mitad.</t>
  </si>
  <si>
    <t>Se agregan campos de documento, identificador y mensaje de error en las solicitudes.</t>
  </si>
  <si>
    <t>D-09</t>
  </si>
  <si>
    <t>Seguridad de la API</t>
  </si>
  <si>
    <t>Autenticar cada petición a la API de integración mediante firma.</t>
  </si>
  <si>
    <t>Clave fija compartida · Sin autenticación dentro de la red interna</t>
  </si>
  <si>
    <t>La firma impide que otro sistema de la red consuma la API y hace verificable el origen de cada consulta.</t>
  </si>
  <si>
    <t>Toda consulta de lectura pasa por la verificación de firma.</t>
  </si>
  <si>
    <t>R-08, X-08</t>
  </si>
  <si>
    <t>D-10</t>
  </si>
  <si>
    <t>Trazabilidad de usuarios</t>
  </si>
  <si>
    <t>Desactivar a los usuarios en lugar de eliminarlos, con relaciones protegidas contra borrado.</t>
  </si>
  <si>
    <t>Eliminación física de usuarios</t>
  </si>
  <si>
    <t>Ningún historial puede perder a su responsable: la base de datos rechaza el borrado de un usuario con procesos asociados.</t>
  </si>
  <si>
    <t>Se agrega un estado de activación en los usuarios.</t>
  </si>
  <si>
    <t>D-11</t>
  </si>
  <si>
    <t>Ambiente de demostración</t>
  </si>
  <si>
    <t>Realizar las pruebas y demostraciones con datos ficticios y servicios simulados.</t>
  </si>
  <si>
    <t>Demostrar sobre el ambiente productivo con datos reales</t>
  </si>
  <si>
    <t>Protege la información de la organización y permite demostrar el producto aunque no exista acceso al ERP real.</t>
  </si>
  <si>
    <t>Se prepara una base de datos de demostración y un simulador de respuestas.</t>
  </si>
  <si>
    <t>R-02, X-09, X-12</t>
  </si>
  <si>
    <t>D-12</t>
  </si>
  <si>
    <t>Documentación de la arquitectura</t>
  </si>
  <si>
    <t>Representar la arquitectura con el modelo 4+1: vistas lógica, de procesos, de desarrollo, física y escenarios.</t>
  </si>
  <si>
    <t>Un único diagrama general</t>
  </si>
  <si>
    <t>El modelo 4+1 permite explicar la solución a interesados con necesidades distintas: negocio, desarrollo e infraestructura.</t>
  </si>
  <si>
    <t>Define la estructura del documento de arquitectura.</t>
  </si>
  <si>
    <t>MATRIZ DE PROBABILIDAD E IMPACTO</t>
  </si>
  <si>
    <t>Total</t>
  </si>
  <si>
    <t>Cantidad</t>
  </si>
  <si>
    <t>% del total</t>
  </si>
  <si>
    <t>Crítico</t>
  </si>
  <si>
    <t>Moderado</t>
  </si>
  <si>
    <t>Bajo</t>
  </si>
  <si>
    <t>Equipo del Proyecto APT</t>
  </si>
  <si>
    <t>Product Owner (rotativo)</t>
  </si>
  <si>
    <t>Scrum Master (rotativo)</t>
  </si>
  <si>
    <t>Aplicar Scrum con sus tres roles: Product Owner, Scrum Master y Developers. Los roles de Product Owner y Scrum Master rotan entre sprints y los tres integrantes actúan siempre como Developers.</t>
  </si>
  <si>
    <t>La rotación permite que los tres integrantes demuestren la aplicación de cada rol, y que todos sean Developers asegura que nadie quede fuera del desarrollo. Los sprints cortos permiten revisar y corregir con frecuencia.</t>
  </si>
  <si>
    <t>La planificación de cada sprint y la documentación registran quién asume cada rol.</t>
  </si>
  <si>
    <t>Cantidad de riesgos según su combinación de probabilidad e impacto, e identificadores de cada celda. Se actualiza sola a partir de la hoja Riesgos.</t>
  </si>
  <si>
    <t>IMPACTO — N.º DE RIESGOS</t>
  </si>
  <si>
    <t>IMPACTO — RIESGOS EN CADA CELDA</t>
  </si>
  <si>
    <t>PROBABILIDAD</t>
  </si>
  <si>
    <t>Leyenda</t>
  </si>
  <si>
    <t>Crítico · 9</t>
  </si>
  <si>
    <t>Alto · 6</t>
  </si>
  <si>
    <t>Moderado · 3 a 4</t>
  </si>
  <si>
    <t>Bajo · 1 a 2</t>
  </si>
  <si>
    <t>Color según puntaje = probabilidad × impacto (Baja/Bajo = 1, Media/Medio = 2, Alta/Alto = 3).</t>
  </si>
  <si>
    <t>RESUMEN POR NIVEL</t>
  </si>
  <si>
    <t>Distribución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</si>
</sst>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6" formatCode="0.0%"/>
    <numFmt numFmtId="167" formatCode=";;;"/>
  </numFmts>
  <fonts count="3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rgb="FF1C3557"/>
      <name val="Arial"/>
      <family val="2"/>
    </font>
    <font>
      <b/>
      <sz val="9"/>
      <color rgb="FF9B1C1C"/>
      <name val="Arial"/>
      <family val="2"/>
    </font>
    <font>
      <b/>
      <sz val="9"/>
      <color rgb="FF8A4B00"/>
      <name val="Arial"/>
      <family val="2"/>
    </font>
    <font>
      <b/>
      <sz val="9"/>
      <color rgb="FF6B5800"/>
      <name val="Arial"/>
      <family val="2"/>
    </font>
    <font>
      <b/>
      <sz val="9"/>
      <color rgb="FF1E6B3A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1C3557"/>
      <name val="Arial"/>
      <family val="2"/>
    </font>
    <font>
      <b/>
      <sz val="11"/>
      <color rgb="FF1C3557"/>
      <name val="Arial"/>
      <family val="2"/>
    </font>
    <font>
      <b/>
      <sz val="18"/>
      <color rgb="FF1C3557"/>
      <name val="Arial"/>
      <family val="2"/>
    </font>
    <font>
      <sz val="9"/>
      <color rgb="FF4470B8"/>
      <name val="Aptos Narrow"/>
      <family val="2"/>
      <scheme val="minor"/>
    </font>
    <font>
      <sz val="9"/>
      <color rgb="FF4470B8"/>
      <name val="Arial"/>
      <family val="2"/>
    </font>
    <font>
      <b/>
      <sz val="11"/>
      <color rgb="FF1C3557"/>
      <name val="Aptos Narrow"/>
      <family val="2"/>
      <scheme val="minor"/>
    </font>
    <font>
      <i/>
      <sz val="9"/>
      <color rgb="FF6B6B6B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9B1C1C"/>
      <name val="Arial"/>
      <family val="2"/>
    </font>
    <font>
      <b/>
      <sz val="10"/>
      <color rgb="FF8A4B00"/>
      <name val="Arial"/>
      <family val="2"/>
    </font>
    <font>
      <b/>
      <sz val="10"/>
      <color rgb="FF6B5800"/>
      <name val="Arial"/>
      <family val="2"/>
    </font>
    <font>
      <b/>
      <sz val="10"/>
      <color rgb="FF1E6B3A"/>
      <name val="Arial"/>
      <family val="2"/>
    </font>
    <font>
      <i/>
      <sz val="9"/>
      <color rgb="FF6B7280"/>
      <name val="Arial"/>
      <family val="2"/>
    </font>
    <font>
      <b/>
      <sz val="12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1"/>
      <color rgb="FFFFFFFF"/>
      <name val="Arial"/>
      <family val="2"/>
    </font>
    <font>
      <b/>
      <sz val="22"/>
      <color rgb="FF6B5800"/>
      <name val="Arial"/>
      <family val="2"/>
    </font>
    <font>
      <b/>
      <sz val="22"/>
      <color rgb="FF8A4B00"/>
      <name val="Arial"/>
      <family val="2"/>
    </font>
    <font>
      <b/>
      <sz val="22"/>
      <color rgb="FF9B1C1C"/>
      <name val="Arial"/>
      <family val="2"/>
    </font>
    <font>
      <b/>
      <sz val="22"/>
      <color rgb="FF1E6B3A"/>
      <name val="Arial"/>
      <family val="2"/>
    </font>
    <font>
      <b/>
      <sz val="14"/>
      <color rgb="FF1C3557"/>
      <name val="Arial"/>
      <family val="2"/>
    </font>
    <font>
      <i/>
      <sz val="9"/>
      <color rgb="FF6B728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  <fill>
      <patternFill patternType="solid">
        <fgColor rgb="FF1C3557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rgb="FFF8D7D4"/>
        <bgColor indexed="64"/>
      </patternFill>
    </fill>
    <fill>
      <patternFill patternType="solid">
        <fgColor rgb="FFFDE3C2"/>
        <bgColor indexed="64"/>
      </patternFill>
    </fill>
    <fill>
      <patternFill patternType="solid">
        <fgColor rgb="FFFFF4C2"/>
        <bgColor indexed="64"/>
      </patternFill>
    </fill>
    <fill>
      <patternFill patternType="solid">
        <fgColor rgb="FFDDF1E4"/>
        <bgColor indexed="64"/>
      </patternFill>
    </fill>
    <fill>
      <patternFill patternType="solid">
        <fgColor rgb="FF4470B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C3557"/>
      </bottom>
      <diagonal/>
    </border>
    <border>
      <left/>
      <right/>
      <top style="medium">
        <color rgb="FF1C3557"/>
      </top>
      <bottom/>
      <diagonal/>
    </border>
    <border>
      <left/>
      <right/>
      <top/>
      <bottom style="thin">
        <color rgb="FFB9BFC8"/>
      </bottom>
      <diagonal/>
    </border>
    <border>
      <left style="thin">
        <color rgb="FFB9BFC8"/>
      </left>
      <right style="thin">
        <color rgb="FFB9BFC8"/>
      </right>
      <top style="thin">
        <color rgb="FFB9BFC8"/>
      </top>
      <bottom style="thin">
        <color rgb="FFB9BFC8"/>
      </bottom>
      <diagonal/>
    </border>
    <border>
      <left style="thin">
        <color rgb="FFB9BFC8"/>
      </left>
      <right style="thin">
        <color rgb="FFB9BFC8"/>
      </right>
      <top/>
      <bottom style="thin">
        <color rgb="FFB9BFC8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7A81B"/>
      </bottom>
      <diagonal/>
    </border>
    <border>
      <left style="thin">
        <color rgb="FFB9BFC8"/>
      </left>
      <right style="thin">
        <color rgb="FFB9BFC8"/>
      </right>
      <top style="medium">
        <color rgb="FF1C3557"/>
      </top>
      <bottom style="thick">
        <color rgb="FFF7A81B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0" xfId="0" applyFont="1"/>
    <xf numFmtId="0" fontId="12" fillId="0" borderId="1" xfId="0" applyFont="1" applyBorder="1" applyAlignment="1">
      <alignment vertical="center"/>
    </xf>
    <xf numFmtId="0" fontId="13" fillId="2" borderId="2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/>
    <xf numFmtId="0" fontId="15" fillId="0" borderId="3" xfId="0" applyFont="1" applyBorder="1" applyAlignment="1">
      <alignment horizontal="left" vertical="center"/>
    </xf>
    <xf numFmtId="164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horizontal="center" vertical="top" wrapText="1"/>
    </xf>
    <xf numFmtId="164" fontId="2" fillId="4" borderId="4" xfId="0" applyNumberFormat="1" applyFont="1" applyFill="1" applyBorder="1" applyAlignment="1">
      <alignment horizontal="center" vertical="top" wrapText="1"/>
    </xf>
    <xf numFmtId="164" fontId="11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5" fillId="3" borderId="8" xfId="0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/>
    </xf>
    <xf numFmtId="0" fontId="27" fillId="6" borderId="9" xfId="0" applyFont="1" applyFill="1" applyBorder="1" applyAlignment="1">
      <alignment horizontal="center" vertical="center"/>
    </xf>
    <xf numFmtId="0" fontId="29" fillId="8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 wrapText="1"/>
    </xf>
    <xf numFmtId="0" fontId="20" fillId="7" borderId="9" xfId="0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horizontal="center" vertical="center" textRotation="90"/>
    </xf>
    <xf numFmtId="0" fontId="2" fillId="0" borderId="10" xfId="0" applyFont="1" applyBorder="1"/>
    <xf numFmtId="0" fontId="23" fillId="9" borderId="10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27" fillId="6" borderId="7" xfId="0" applyFont="1" applyFill="1" applyBorder="1" applyAlignment="1">
      <alignment horizontal="center" vertical="center"/>
    </xf>
    <xf numFmtId="0" fontId="28" fillId="5" borderId="7" xfId="0" applyFont="1" applyFill="1" applyBorder="1" applyAlignment="1">
      <alignment horizontal="center" vertical="center"/>
    </xf>
    <xf numFmtId="0" fontId="30" fillId="4" borderId="7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10" fillId="0" borderId="0" xfId="0" applyFont="1" applyBorder="1" applyAlignment="1"/>
    <xf numFmtId="0" fontId="2" fillId="0" borderId="0" xfId="0" applyFont="1" applyBorder="1"/>
    <xf numFmtId="0" fontId="2" fillId="0" borderId="4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vertical="center" indent="1"/>
    </xf>
    <xf numFmtId="0" fontId="20" fillId="7" borderId="4" xfId="0" applyFont="1" applyFill="1" applyBorder="1" applyAlignment="1">
      <alignment vertical="center" indent="1"/>
    </xf>
    <xf numFmtId="0" fontId="21" fillId="8" borderId="4" xfId="0" applyFont="1" applyFill="1" applyBorder="1" applyAlignment="1">
      <alignment vertical="center" indent="1"/>
    </xf>
    <xf numFmtId="0" fontId="3" fillId="4" borderId="4" xfId="0" applyFont="1" applyFill="1" applyBorder="1" applyAlignment="1">
      <alignment vertical="center" indent="1"/>
    </xf>
    <xf numFmtId="167" fontId="2" fillId="0" borderId="4" xfId="0" applyNumberFormat="1" applyFont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18" fillId="5" borderId="5" xfId="0" applyFont="1" applyFill="1" applyBorder="1" applyAlignment="1">
      <alignment vertical="center" indent="1"/>
    </xf>
    <xf numFmtId="0" fontId="2" fillId="0" borderId="5" xfId="0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vertical="center"/>
    </xf>
    <xf numFmtId="0" fontId="17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AA3AF"/>
      </font>
    </dxf>
    <dxf>
      <font>
        <b/>
        <i val="0"/>
        <color rgb="FF1E6B3A"/>
      </font>
      <fill>
        <patternFill patternType="solid">
          <fgColor indexed="64"/>
          <bgColor rgb="FFDDF1E4"/>
        </patternFill>
      </fill>
    </dxf>
    <dxf>
      <font>
        <b/>
        <i val="0"/>
        <color rgb="FF6B5800"/>
      </font>
      <fill>
        <patternFill patternType="solid">
          <fgColor indexed="64"/>
          <bgColor rgb="FFFFF4C2"/>
        </patternFill>
      </fill>
    </dxf>
    <dxf>
      <font>
        <b/>
        <i val="0"/>
        <color rgb="FF8A4B00"/>
      </font>
      <fill>
        <patternFill patternType="solid">
          <fgColor indexed="64"/>
          <bgColor rgb="FFFDE3C2"/>
        </patternFill>
      </fill>
    </dxf>
    <dxf>
      <font>
        <b/>
        <i val="0"/>
        <color rgb="FF9B1C1C"/>
      </font>
      <fill>
        <patternFill patternType="solid">
          <fgColor indexed="64"/>
          <bgColor rgb="FFF8D7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6C22C4-6A36-094C-ADE5-B846CE23281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abd7790-7fe2-4265-8eea-018b1e08a9c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06A5-91FB-EC45-8174-2A5B51C6FF74}">
  <sheetPr>
    <pageSetUpPr fitToPage="1"/>
  </sheetPr>
  <dimension ref="B1:R50"/>
  <sheetViews>
    <sheetView showGridLines="0" workbookViewId="0">
      <pane ySplit="5" topLeftCell="A10" activePane="bottomLeft" state="frozen"/>
      <selection pane="bottomLeft" activeCell="F2" sqref="F2:H3"/>
    </sheetView>
  </sheetViews>
  <sheetFormatPr baseColWidth="10" defaultRowHeight="12" x14ac:dyDescent="0.15"/>
  <cols>
    <col min="1" max="1" width="1.6640625" style="1" customWidth="1"/>
    <col min="2" max="2" width="9.5" style="1" customWidth="1"/>
    <col min="3" max="3" width="16.83203125" style="1" customWidth="1"/>
    <col min="4" max="4" width="32.5" style="1" customWidth="1"/>
    <col min="5" max="5" width="34.5" style="1" customWidth="1"/>
    <col min="6" max="6" width="32.5" style="1" customWidth="1"/>
    <col min="7" max="7" width="13.6640625" style="1" customWidth="1"/>
    <col min="8" max="8" width="12.6640625" style="1" customWidth="1"/>
    <col min="9" max="9" width="10.5" style="1" customWidth="1"/>
    <col min="10" max="10" width="12.6640625" style="1" customWidth="1"/>
    <col min="11" max="11" width="13.6640625" style="1" customWidth="1"/>
    <col min="12" max="12" width="47" style="1" customWidth="1"/>
    <col min="13" max="13" width="38.83203125" style="1" customWidth="1"/>
    <col min="14" max="14" width="18.83203125" style="1" customWidth="1"/>
    <col min="15" max="15" width="32.5" style="1" customWidth="1"/>
    <col min="16" max="17" width="15.6640625" style="1" customWidth="1"/>
    <col min="18" max="18" width="14.6640625" style="1" customWidth="1"/>
    <col min="19" max="16384" width="10.83203125" style="1"/>
  </cols>
  <sheetData>
    <row r="1" spans="2:18" ht="34" customHeight="1" thickBot="1" x14ac:dyDescent="0.2">
      <c r="B1" s="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18" ht="17" customHeight="1" x14ac:dyDescent="0.2">
      <c r="B2" s="5" t="s">
        <v>1</v>
      </c>
      <c r="C2" s="5"/>
      <c r="D2" s="5"/>
      <c r="E2" s="5"/>
      <c r="F2" s="5" t="s">
        <v>3</v>
      </c>
      <c r="G2" s="5"/>
      <c r="H2" s="5"/>
      <c r="I2" s="5" t="s">
        <v>4</v>
      </c>
      <c r="J2" s="5"/>
      <c r="K2" s="6" t="s">
        <v>5</v>
      </c>
      <c r="L2" s="5" t="s">
        <v>7</v>
      </c>
      <c r="M2" s="5"/>
      <c r="N2" s="7"/>
      <c r="O2" s="7"/>
      <c r="P2" s="7"/>
      <c r="Q2" s="7"/>
      <c r="R2" s="7"/>
    </row>
    <row r="3" spans="2:18" ht="24" customHeight="1" x14ac:dyDescent="0.15">
      <c r="B3" s="8" t="s">
        <v>2</v>
      </c>
      <c r="C3" s="8"/>
      <c r="D3" s="8"/>
      <c r="E3" s="8"/>
      <c r="F3" s="8" t="s">
        <v>341</v>
      </c>
      <c r="G3" s="8"/>
      <c r="H3" s="8"/>
      <c r="I3" s="9">
        <v>46288</v>
      </c>
      <c r="J3" s="9"/>
      <c r="K3" s="10" t="s">
        <v>6</v>
      </c>
      <c r="L3" s="8">
        <f>COUNTA(B6:B50)</f>
        <v>15</v>
      </c>
      <c r="M3" s="8"/>
      <c r="N3" s="11"/>
      <c r="O3" s="11"/>
      <c r="P3" s="11"/>
      <c r="Q3" s="11"/>
      <c r="R3" s="11"/>
    </row>
    <row r="4" spans="2:18" ht="26" customHeight="1" x14ac:dyDescent="0.15">
      <c r="B4" s="12" t="s">
        <v>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2:18" ht="38" customHeight="1" x14ac:dyDescent="0.15"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3" t="s">
        <v>14</v>
      </c>
      <c r="H5" s="13" t="s">
        <v>15</v>
      </c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21</v>
      </c>
      <c r="O5" s="13" t="s">
        <v>22</v>
      </c>
      <c r="P5" s="13" t="s">
        <v>23</v>
      </c>
      <c r="Q5" s="13" t="s">
        <v>24</v>
      </c>
      <c r="R5" s="13" t="s">
        <v>25</v>
      </c>
    </row>
    <row r="6" spans="2:18" ht="78" customHeight="1" x14ac:dyDescent="0.15">
      <c r="B6" s="14" t="s">
        <v>26</v>
      </c>
      <c r="C6" s="15" t="s">
        <v>27</v>
      </c>
      <c r="D6" s="15" t="s">
        <v>28</v>
      </c>
      <c r="E6" s="15" t="s">
        <v>29</v>
      </c>
      <c r="F6" s="15" t="s">
        <v>30</v>
      </c>
      <c r="G6" s="16" t="s">
        <v>31</v>
      </c>
      <c r="H6" s="16" t="s">
        <v>32</v>
      </c>
      <c r="I6" s="16">
        <f>IFERROR(IF(G6="Alta",3,IF(G6="Media",2,IF(G6="Baja",1,0)))*IF(H6="Alto",3,IF(H6="Medio",2,IF(H6="Bajo",1,0))),"")</f>
        <v>9</v>
      </c>
      <c r="J6" s="16" t="str">
        <f>IF(I6="","",IF(I6&gt;=9,"Crítico",IF(I6&gt;=6,"Alto",IF(I6&gt;=3,"Moderado","Bajo"))))</f>
        <v>Crítico</v>
      </c>
      <c r="K6" s="16" t="s">
        <v>33</v>
      </c>
      <c r="L6" s="15" t="s">
        <v>34</v>
      </c>
      <c r="M6" s="15" t="s">
        <v>35</v>
      </c>
      <c r="N6" s="15" t="s">
        <v>342</v>
      </c>
      <c r="O6" s="15" t="s">
        <v>37</v>
      </c>
      <c r="P6" s="16" t="s">
        <v>38</v>
      </c>
      <c r="Q6" s="17">
        <v>46248</v>
      </c>
      <c r="R6" s="17">
        <v>46288</v>
      </c>
    </row>
    <row r="7" spans="2:18" ht="64" customHeight="1" x14ac:dyDescent="0.15">
      <c r="B7" s="18" t="s">
        <v>39</v>
      </c>
      <c r="C7" s="19" t="s">
        <v>40</v>
      </c>
      <c r="D7" s="19" t="s">
        <v>41</v>
      </c>
      <c r="E7" s="19" t="s">
        <v>42</v>
      </c>
      <c r="F7" s="19" t="s">
        <v>43</v>
      </c>
      <c r="G7" s="20" t="s">
        <v>44</v>
      </c>
      <c r="H7" s="20" t="s">
        <v>32</v>
      </c>
      <c r="I7" s="20">
        <f>IFERROR(IF(G7="Alta",3,IF(G7="Media",2,IF(G7="Baja",1,0)))*IF(H7="Alto",3,IF(H7="Medio",2,IF(H7="Bajo",1,0))),"")</f>
        <v>6</v>
      </c>
      <c r="J7" s="20" t="str">
        <f>IF(I7="","",IF(I7&gt;=9,"Crítico",IF(I7&gt;=6,"Alto",IF(I7&gt;=3,"Moderado","Bajo"))))</f>
        <v>Alto</v>
      </c>
      <c r="K7" s="20" t="s">
        <v>33</v>
      </c>
      <c r="L7" s="19" t="s">
        <v>45</v>
      </c>
      <c r="M7" s="19" t="s">
        <v>46</v>
      </c>
      <c r="N7" s="19" t="s">
        <v>47</v>
      </c>
      <c r="O7" s="19" t="s">
        <v>48</v>
      </c>
      <c r="P7" s="20" t="s">
        <v>49</v>
      </c>
      <c r="Q7" s="21">
        <v>46248</v>
      </c>
      <c r="R7" s="21">
        <v>46288</v>
      </c>
    </row>
    <row r="8" spans="2:18" ht="78" customHeight="1" x14ac:dyDescent="0.15">
      <c r="B8" s="14" t="s">
        <v>50</v>
      </c>
      <c r="C8" s="15" t="s">
        <v>51</v>
      </c>
      <c r="D8" s="15" t="s">
        <v>52</v>
      </c>
      <c r="E8" s="15" t="s">
        <v>53</v>
      </c>
      <c r="F8" s="15" t="s">
        <v>54</v>
      </c>
      <c r="G8" s="16" t="s">
        <v>44</v>
      </c>
      <c r="H8" s="16" t="s">
        <v>32</v>
      </c>
      <c r="I8" s="16">
        <f>IFERROR(IF(G8="Alta",3,IF(G8="Media",2,IF(G8="Baja",1,0)))*IF(H8="Alto",3,IF(H8="Medio",2,IF(H8="Bajo",1,0))),"")</f>
        <v>6</v>
      </c>
      <c r="J8" s="16" t="str">
        <f>IF(I8="","",IF(I8&gt;=9,"Crítico",IF(I8&gt;=6,"Alto",IF(I8&gt;=3,"Moderado","Bajo"))))</f>
        <v>Alto</v>
      </c>
      <c r="K8" s="16" t="s">
        <v>55</v>
      </c>
      <c r="L8" s="15" t="s">
        <v>56</v>
      </c>
      <c r="M8" s="15" t="s">
        <v>57</v>
      </c>
      <c r="N8" s="15" t="s">
        <v>36</v>
      </c>
      <c r="O8" s="15" t="s">
        <v>58</v>
      </c>
      <c r="P8" s="16" t="s">
        <v>38</v>
      </c>
      <c r="Q8" s="17">
        <v>46248</v>
      </c>
      <c r="R8" s="17">
        <v>46288</v>
      </c>
    </row>
    <row r="9" spans="2:18" ht="64" customHeight="1" x14ac:dyDescent="0.15">
      <c r="B9" s="18" t="s">
        <v>59</v>
      </c>
      <c r="C9" s="19" t="s">
        <v>60</v>
      </c>
      <c r="D9" s="19" t="s">
        <v>61</v>
      </c>
      <c r="E9" s="19" t="s">
        <v>62</v>
      </c>
      <c r="F9" s="19" t="s">
        <v>63</v>
      </c>
      <c r="G9" s="20" t="s">
        <v>44</v>
      </c>
      <c r="H9" s="20" t="s">
        <v>32</v>
      </c>
      <c r="I9" s="20">
        <f>IFERROR(IF(G9="Alta",3,IF(G9="Media",2,IF(G9="Baja",1,0)))*IF(H9="Alto",3,IF(H9="Medio",2,IF(H9="Bajo",1,0))),"")</f>
        <v>6</v>
      </c>
      <c r="J9" s="20" t="str">
        <f>IF(I9="","",IF(I9&gt;=9,"Crítico",IF(I9&gt;=6,"Alto",IF(I9&gt;=3,"Moderado","Bajo"))))</f>
        <v>Alto</v>
      </c>
      <c r="K9" s="20" t="s">
        <v>33</v>
      </c>
      <c r="L9" s="19" t="s">
        <v>64</v>
      </c>
      <c r="M9" s="19" t="s">
        <v>65</v>
      </c>
      <c r="N9" s="19" t="s">
        <v>47</v>
      </c>
      <c r="O9" s="19" t="s">
        <v>66</v>
      </c>
      <c r="P9" s="20" t="s">
        <v>49</v>
      </c>
      <c r="Q9" s="21">
        <v>46255</v>
      </c>
      <c r="R9" s="21">
        <v>46288</v>
      </c>
    </row>
    <row r="10" spans="2:18" ht="64" customHeight="1" x14ac:dyDescent="0.15">
      <c r="B10" s="14" t="s">
        <v>67</v>
      </c>
      <c r="C10" s="15" t="s">
        <v>68</v>
      </c>
      <c r="D10" s="15" t="s">
        <v>69</v>
      </c>
      <c r="E10" s="15" t="s">
        <v>70</v>
      </c>
      <c r="F10" s="15" t="s">
        <v>71</v>
      </c>
      <c r="G10" s="16" t="s">
        <v>31</v>
      </c>
      <c r="H10" s="16" t="s">
        <v>72</v>
      </c>
      <c r="I10" s="16">
        <f>IFERROR(IF(G10="Alta",3,IF(G10="Media",2,IF(G10="Baja",1,0)))*IF(H10="Alto",3,IF(H10="Medio",2,IF(H10="Bajo",1,0))),"")</f>
        <v>6</v>
      </c>
      <c r="J10" s="16" t="str">
        <f>IF(I10="","",IF(I10&gt;=9,"Crítico",IF(I10&gt;=6,"Alto",IF(I10&gt;=3,"Moderado","Bajo"))))</f>
        <v>Alto</v>
      </c>
      <c r="K10" s="16" t="s">
        <v>33</v>
      </c>
      <c r="L10" s="15" t="s">
        <v>73</v>
      </c>
      <c r="M10" s="15" t="s">
        <v>74</v>
      </c>
      <c r="N10" s="15" t="s">
        <v>342</v>
      </c>
      <c r="O10" s="15" t="s">
        <v>76</v>
      </c>
      <c r="P10" s="16" t="s">
        <v>38</v>
      </c>
      <c r="Q10" s="17">
        <v>46248</v>
      </c>
      <c r="R10" s="17">
        <v>46288</v>
      </c>
    </row>
    <row r="11" spans="2:18" ht="50" customHeight="1" x14ac:dyDescent="0.15">
      <c r="B11" s="18" t="s">
        <v>77</v>
      </c>
      <c r="C11" s="19" t="s">
        <v>68</v>
      </c>
      <c r="D11" s="19" t="s">
        <v>78</v>
      </c>
      <c r="E11" s="19" t="s">
        <v>79</v>
      </c>
      <c r="F11" s="19" t="s">
        <v>80</v>
      </c>
      <c r="G11" s="20" t="s">
        <v>31</v>
      </c>
      <c r="H11" s="20" t="s">
        <v>72</v>
      </c>
      <c r="I11" s="20">
        <f>IFERROR(IF(G11="Alta",3,IF(G11="Media",2,IF(G11="Baja",1,0)))*IF(H11="Alto",3,IF(H11="Medio",2,IF(H11="Bajo",1,0))),"")</f>
        <v>6</v>
      </c>
      <c r="J11" s="20" t="str">
        <f>IF(I11="","",IF(I11&gt;=9,"Crítico",IF(I11&gt;=6,"Alto",IF(I11&gt;=3,"Moderado","Bajo"))))</f>
        <v>Alto</v>
      </c>
      <c r="K11" s="20" t="s">
        <v>33</v>
      </c>
      <c r="L11" s="19" t="s">
        <v>81</v>
      </c>
      <c r="M11" s="19" t="s">
        <v>82</v>
      </c>
      <c r="N11" s="19" t="s">
        <v>75</v>
      </c>
      <c r="O11" s="19" t="s">
        <v>83</v>
      </c>
      <c r="P11" s="20" t="s">
        <v>84</v>
      </c>
      <c r="Q11" s="21">
        <v>46248</v>
      </c>
      <c r="R11" s="21">
        <v>46288</v>
      </c>
    </row>
    <row r="12" spans="2:18" ht="64" customHeight="1" x14ac:dyDescent="0.15">
      <c r="B12" s="14" t="s">
        <v>85</v>
      </c>
      <c r="C12" s="15" t="s">
        <v>86</v>
      </c>
      <c r="D12" s="15" t="s">
        <v>87</v>
      </c>
      <c r="E12" s="15" t="s">
        <v>88</v>
      </c>
      <c r="F12" s="15" t="s">
        <v>89</v>
      </c>
      <c r="G12" s="16" t="s">
        <v>44</v>
      </c>
      <c r="H12" s="16" t="s">
        <v>32</v>
      </c>
      <c r="I12" s="16">
        <f>IFERROR(IF(G12="Alta",3,IF(G12="Media",2,IF(G12="Baja",1,0)))*IF(H12="Alto",3,IF(H12="Medio",2,IF(H12="Bajo",1,0))),"")</f>
        <v>6</v>
      </c>
      <c r="J12" s="16" t="str">
        <f>IF(I12="","",IF(I12&gt;=9,"Crítico",IF(I12&gt;=6,"Alto",IF(I12&gt;=3,"Moderado","Bajo"))))</f>
        <v>Alto</v>
      </c>
      <c r="K12" s="16" t="s">
        <v>33</v>
      </c>
      <c r="L12" s="15" t="s">
        <v>90</v>
      </c>
      <c r="M12" s="15" t="s">
        <v>91</v>
      </c>
      <c r="N12" s="15" t="s">
        <v>343</v>
      </c>
      <c r="O12" s="15" t="s">
        <v>92</v>
      </c>
      <c r="P12" s="16" t="s">
        <v>38</v>
      </c>
      <c r="Q12" s="17">
        <v>46248</v>
      </c>
      <c r="R12" s="17">
        <v>46288</v>
      </c>
    </row>
    <row r="13" spans="2:18" ht="50" customHeight="1" x14ac:dyDescent="0.15">
      <c r="B13" s="18" t="s">
        <v>93</v>
      </c>
      <c r="C13" s="19" t="s">
        <v>94</v>
      </c>
      <c r="D13" s="19" t="s">
        <v>95</v>
      </c>
      <c r="E13" s="19" t="s">
        <v>96</v>
      </c>
      <c r="F13" s="19" t="s">
        <v>97</v>
      </c>
      <c r="G13" s="20" t="s">
        <v>44</v>
      </c>
      <c r="H13" s="20" t="s">
        <v>32</v>
      </c>
      <c r="I13" s="20">
        <f>IFERROR(IF(G13="Alta",3,IF(G13="Media",2,IF(G13="Baja",1,0)))*IF(H13="Alto",3,IF(H13="Medio",2,IF(H13="Bajo",1,0))),"")</f>
        <v>6</v>
      </c>
      <c r="J13" s="20" t="str">
        <f>IF(I13="","",IF(I13&gt;=9,"Crítico",IF(I13&gt;=6,"Alto",IF(I13&gt;=3,"Moderado","Bajo"))))</f>
        <v>Alto</v>
      </c>
      <c r="K13" s="20" t="s">
        <v>55</v>
      </c>
      <c r="L13" s="19" t="s">
        <v>98</v>
      </c>
      <c r="M13" s="19" t="s">
        <v>99</v>
      </c>
      <c r="N13" s="19" t="s">
        <v>36</v>
      </c>
      <c r="O13" s="19" t="s">
        <v>100</v>
      </c>
      <c r="P13" s="20" t="s">
        <v>38</v>
      </c>
      <c r="Q13" s="21">
        <v>46248</v>
      </c>
      <c r="R13" s="21">
        <v>46288</v>
      </c>
    </row>
    <row r="14" spans="2:18" ht="64" customHeight="1" x14ac:dyDescent="0.15">
      <c r="B14" s="14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44</v>
      </c>
      <c r="H14" s="16" t="s">
        <v>32</v>
      </c>
      <c r="I14" s="16">
        <f>IFERROR(IF(G14="Alta",3,IF(G14="Media",2,IF(G14="Baja",1,0)))*IF(H14="Alto",3,IF(H14="Medio",2,IF(H14="Bajo",1,0))),"")</f>
        <v>6</v>
      </c>
      <c r="J14" s="16" t="str">
        <f>IF(I14="","",IF(I14&gt;=9,"Crítico",IF(I14&gt;=6,"Alto",IF(I14&gt;=3,"Moderado","Bajo"))))</f>
        <v>Alto</v>
      </c>
      <c r="K14" s="16" t="s">
        <v>33</v>
      </c>
      <c r="L14" s="15" t="s">
        <v>106</v>
      </c>
      <c r="M14" s="15" t="s">
        <v>107</v>
      </c>
      <c r="N14" s="15" t="s">
        <v>47</v>
      </c>
      <c r="O14" s="15" t="s">
        <v>108</v>
      </c>
      <c r="P14" s="16" t="s">
        <v>49</v>
      </c>
      <c r="Q14" s="17">
        <v>46269</v>
      </c>
      <c r="R14" s="17">
        <v>46288</v>
      </c>
    </row>
    <row r="15" spans="2:18" ht="50" customHeight="1" x14ac:dyDescent="0.15">
      <c r="B15" s="18" t="s">
        <v>109</v>
      </c>
      <c r="C15" s="19" t="s">
        <v>40</v>
      </c>
      <c r="D15" s="19" t="s">
        <v>110</v>
      </c>
      <c r="E15" s="19" t="s">
        <v>111</v>
      </c>
      <c r="F15" s="19" t="s">
        <v>112</v>
      </c>
      <c r="G15" s="20" t="s">
        <v>44</v>
      </c>
      <c r="H15" s="20" t="s">
        <v>32</v>
      </c>
      <c r="I15" s="20">
        <f>IFERROR(IF(G15="Alta",3,IF(G15="Media",2,IF(G15="Baja",1,0)))*IF(H15="Alto",3,IF(H15="Medio",2,IF(H15="Bajo",1,0))),"")</f>
        <v>6</v>
      </c>
      <c r="J15" s="20" t="str">
        <f>IF(I15="","",IF(I15&gt;=9,"Crítico",IF(I15&gt;=6,"Alto",IF(I15&gt;=3,"Moderado","Bajo"))))</f>
        <v>Alto</v>
      </c>
      <c r="K15" s="20" t="s">
        <v>33</v>
      </c>
      <c r="L15" s="19" t="s">
        <v>113</v>
      </c>
      <c r="M15" s="19" t="s">
        <v>114</v>
      </c>
      <c r="N15" s="19" t="s">
        <v>47</v>
      </c>
      <c r="O15" s="19" t="s">
        <v>115</v>
      </c>
      <c r="P15" s="20" t="s">
        <v>49</v>
      </c>
      <c r="Q15" s="21">
        <v>46248</v>
      </c>
      <c r="R15" s="21">
        <v>46288</v>
      </c>
    </row>
    <row r="16" spans="2:18" ht="64" customHeight="1" x14ac:dyDescent="0.15">
      <c r="B16" s="14" t="s">
        <v>116</v>
      </c>
      <c r="C16" s="15" t="s">
        <v>117</v>
      </c>
      <c r="D16" s="15" t="s">
        <v>118</v>
      </c>
      <c r="E16" s="15" t="s">
        <v>119</v>
      </c>
      <c r="F16" s="15" t="s">
        <v>120</v>
      </c>
      <c r="G16" s="16" t="s">
        <v>44</v>
      </c>
      <c r="H16" s="16" t="s">
        <v>32</v>
      </c>
      <c r="I16" s="16">
        <f>IFERROR(IF(G16="Alta",3,IF(G16="Media",2,IF(G16="Baja",1,0)))*IF(H16="Alto",3,IF(H16="Medio",2,IF(H16="Bajo",1,0))),"")</f>
        <v>6</v>
      </c>
      <c r="J16" s="16" t="str">
        <f>IF(I16="","",IF(I16&gt;=9,"Crítico",IF(I16&gt;=6,"Alto",IF(I16&gt;=3,"Moderado","Bajo"))))</f>
        <v>Alto</v>
      </c>
      <c r="K16" s="16" t="s">
        <v>33</v>
      </c>
      <c r="L16" s="15" t="s">
        <v>121</v>
      </c>
      <c r="M16" s="15" t="s">
        <v>122</v>
      </c>
      <c r="N16" s="15" t="s">
        <v>75</v>
      </c>
      <c r="O16" s="15" t="s">
        <v>123</v>
      </c>
      <c r="P16" s="16" t="s">
        <v>49</v>
      </c>
      <c r="Q16" s="17">
        <v>46248</v>
      </c>
      <c r="R16" s="17">
        <v>46288</v>
      </c>
    </row>
    <row r="17" spans="2:18" ht="50" customHeight="1" x14ac:dyDescent="0.15">
      <c r="B17" s="18" t="s">
        <v>124</v>
      </c>
      <c r="C17" s="19" t="s">
        <v>125</v>
      </c>
      <c r="D17" s="19" t="s">
        <v>126</v>
      </c>
      <c r="E17" s="19" t="s">
        <v>127</v>
      </c>
      <c r="F17" s="19" t="s">
        <v>128</v>
      </c>
      <c r="G17" s="20" t="s">
        <v>44</v>
      </c>
      <c r="H17" s="20" t="s">
        <v>32</v>
      </c>
      <c r="I17" s="20">
        <f>IFERROR(IF(G17="Alta",3,IF(G17="Media",2,IF(G17="Baja",1,0)))*IF(H17="Alto",3,IF(H17="Medio",2,IF(H17="Bajo",1,0))),"")</f>
        <v>6</v>
      </c>
      <c r="J17" s="20" t="str">
        <f>IF(I17="","",IF(I17&gt;=9,"Crítico",IF(I17&gt;=6,"Alto",IF(I17&gt;=3,"Moderado","Bajo"))))</f>
        <v>Alto</v>
      </c>
      <c r="K17" s="20" t="s">
        <v>33</v>
      </c>
      <c r="L17" s="19" t="s">
        <v>129</v>
      </c>
      <c r="M17" s="19" t="s">
        <v>130</v>
      </c>
      <c r="N17" s="19" t="s">
        <v>75</v>
      </c>
      <c r="O17" s="19" t="s">
        <v>131</v>
      </c>
      <c r="P17" s="20" t="s">
        <v>49</v>
      </c>
      <c r="Q17" s="21">
        <v>46255</v>
      </c>
      <c r="R17" s="21">
        <v>46288</v>
      </c>
    </row>
    <row r="18" spans="2:18" ht="50" customHeight="1" x14ac:dyDescent="0.15">
      <c r="B18" s="14" t="s">
        <v>132</v>
      </c>
      <c r="C18" s="15" t="s">
        <v>133</v>
      </c>
      <c r="D18" s="15" t="s">
        <v>134</v>
      </c>
      <c r="E18" s="15" t="s">
        <v>135</v>
      </c>
      <c r="F18" s="15" t="s">
        <v>136</v>
      </c>
      <c r="G18" s="16" t="s">
        <v>44</v>
      </c>
      <c r="H18" s="16" t="s">
        <v>72</v>
      </c>
      <c r="I18" s="16">
        <f>IFERROR(IF(G18="Alta",3,IF(G18="Media",2,IF(G18="Baja",1,0)))*IF(H18="Alto",3,IF(H18="Medio",2,IF(H18="Bajo",1,0))),"")</f>
        <v>4</v>
      </c>
      <c r="J18" s="16" t="str">
        <f>IF(I18="","",IF(I18&gt;=9,"Crítico",IF(I18&gt;=6,"Alto",IF(I18&gt;=3,"Moderado","Bajo"))))</f>
        <v>Moderado</v>
      </c>
      <c r="K18" s="16" t="s">
        <v>33</v>
      </c>
      <c r="L18" s="15" t="s">
        <v>137</v>
      </c>
      <c r="M18" s="15" t="s">
        <v>138</v>
      </c>
      <c r="N18" s="15" t="s">
        <v>47</v>
      </c>
      <c r="O18" s="15" t="s">
        <v>139</v>
      </c>
      <c r="P18" s="16" t="s">
        <v>49</v>
      </c>
      <c r="Q18" s="17">
        <v>46248</v>
      </c>
      <c r="R18" s="17">
        <v>46288</v>
      </c>
    </row>
    <row r="19" spans="2:18" ht="50" customHeight="1" x14ac:dyDescent="0.15">
      <c r="B19" s="18" t="s">
        <v>140</v>
      </c>
      <c r="C19" s="19" t="s">
        <v>141</v>
      </c>
      <c r="D19" s="19" t="s">
        <v>142</v>
      </c>
      <c r="E19" s="19" t="s">
        <v>143</v>
      </c>
      <c r="F19" s="19" t="s">
        <v>144</v>
      </c>
      <c r="G19" s="20" t="s">
        <v>44</v>
      </c>
      <c r="H19" s="20" t="s">
        <v>72</v>
      </c>
      <c r="I19" s="20">
        <f>IFERROR(IF(G19="Alta",3,IF(G19="Media",2,IF(G19="Baja",1,0)))*IF(H19="Alto",3,IF(H19="Medio",2,IF(H19="Bajo",1,0))),"")</f>
        <v>4</v>
      </c>
      <c r="J19" s="20" t="str">
        <f>IF(I19="","",IF(I19&gt;=9,"Crítico",IF(I19&gt;=6,"Alto",IF(I19&gt;=3,"Moderado","Bajo"))))</f>
        <v>Moderado</v>
      </c>
      <c r="K19" s="20" t="s">
        <v>33</v>
      </c>
      <c r="L19" s="19" t="s">
        <v>145</v>
      </c>
      <c r="M19" s="19" t="s">
        <v>146</v>
      </c>
      <c r="N19" s="19" t="s">
        <v>342</v>
      </c>
      <c r="O19" s="19" t="s">
        <v>147</v>
      </c>
      <c r="P19" s="20" t="s">
        <v>38</v>
      </c>
      <c r="Q19" s="21">
        <v>46248</v>
      </c>
      <c r="R19" s="21">
        <v>46288</v>
      </c>
    </row>
    <row r="20" spans="2:18" ht="50" customHeight="1" x14ac:dyDescent="0.15">
      <c r="B20" s="14" t="s">
        <v>148</v>
      </c>
      <c r="C20" s="15" t="s">
        <v>149</v>
      </c>
      <c r="D20" s="15" t="s">
        <v>150</v>
      </c>
      <c r="E20" s="15" t="s">
        <v>151</v>
      </c>
      <c r="F20" s="15" t="s">
        <v>152</v>
      </c>
      <c r="G20" s="16" t="s">
        <v>153</v>
      </c>
      <c r="H20" s="16" t="s">
        <v>72</v>
      </c>
      <c r="I20" s="16">
        <f>IFERROR(IF(G20="Alta",3,IF(G20="Media",2,IF(G20="Baja",1,0)))*IF(H20="Alto",3,IF(H20="Medio",2,IF(H20="Bajo",1,0))),"")</f>
        <v>2</v>
      </c>
      <c r="J20" s="16" t="str">
        <f>IF(I20="","",IF(I20&gt;=9,"Crítico",IF(I20&gt;=6,"Alto",IF(I20&gt;=3,"Moderado","Bajo"))))</f>
        <v>Bajo</v>
      </c>
      <c r="K20" s="16" t="s">
        <v>33</v>
      </c>
      <c r="L20" s="15" t="s">
        <v>154</v>
      </c>
      <c r="M20" s="15" t="s">
        <v>155</v>
      </c>
      <c r="N20" s="15" t="s">
        <v>343</v>
      </c>
      <c r="O20" s="15" t="s">
        <v>156</v>
      </c>
      <c r="P20" s="16" t="s">
        <v>49</v>
      </c>
      <c r="Q20" s="17">
        <v>46269</v>
      </c>
      <c r="R20" s="17">
        <v>46288</v>
      </c>
    </row>
    <row r="21" spans="2:18" ht="13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18" ht="13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2:18" ht="13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ht="13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2:18" ht="13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2:18" ht="13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2:18" ht="13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2:18" ht="13" x14ac:dyDescent="0.1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2:18" ht="13" x14ac:dyDescent="0.1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2:18" ht="13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2:18" ht="13" x14ac:dyDescent="0.1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2:18" ht="13" x14ac:dyDescent="0.1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2:18" ht="13" x14ac:dyDescent="0.1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2:18" ht="13" x14ac:dyDescent="0.1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2:18" ht="13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 ht="13" x14ac:dyDescent="0.1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18" ht="13" x14ac:dyDescent="0.1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2:18" ht="13" x14ac:dyDescent="0.1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 ht="13" x14ac:dyDescent="0.1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ht="13" x14ac:dyDescent="0.1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ht="13" x14ac:dyDescent="0.1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2:18" ht="13" x14ac:dyDescent="0.1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2:18" ht="13" x14ac:dyDescent="0.1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2:18" ht="13" x14ac:dyDescent="0.1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2:18" ht="13" x14ac:dyDescent="0.1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2:18" ht="13" x14ac:dyDescent="0.1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2:18" ht="13" x14ac:dyDescent="0.1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 ht="13" x14ac:dyDescent="0.1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 ht="13" x14ac:dyDescent="0.1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2:18" ht="13" x14ac:dyDescent="0.1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</sheetData>
  <autoFilter ref="B5:R20" xr:uid="{F71206A5-91FB-EC45-8174-2A5B51C6FF74}"/>
  <mergeCells count="9">
    <mergeCell ref="L2:M2"/>
    <mergeCell ref="L3:M3"/>
    <mergeCell ref="B4:R4"/>
    <mergeCell ref="B2:E2"/>
    <mergeCell ref="B3:E3"/>
    <mergeCell ref="F2:H2"/>
    <mergeCell ref="F3:H3"/>
    <mergeCell ref="I2:J2"/>
    <mergeCell ref="I3:J3"/>
  </mergeCells>
  <conditionalFormatting sqref="J6:J200">
    <cfRule type="cellIs" dxfId="4" priority="1" operator="equal">
      <formula>"Crítico"</formula>
    </cfRule>
  </conditionalFormatting>
  <conditionalFormatting sqref="J6:J200">
    <cfRule type="cellIs" dxfId="3" priority="2" operator="equal">
      <formula>"Alto"</formula>
    </cfRule>
  </conditionalFormatting>
  <conditionalFormatting sqref="J6:J200">
    <cfRule type="cellIs" dxfId="2" priority="3" operator="equal">
      <formula>"Moderado"</formula>
    </cfRule>
  </conditionalFormatting>
  <conditionalFormatting sqref="J6:J200">
    <cfRule type="cellIs" dxfId="1" priority="4" operator="equal">
      <formula>"Bajo"</formula>
    </cfRule>
  </conditionalFormatting>
  <dataValidations count="6">
    <dataValidation type="list" allowBlank="1" showInputMessage="1" showErrorMessage="1" sqref="C6:C200" xr:uid="{C34D12D0-DECA-114A-9621-98E36A942F6D}">
      <formula1>"Alcance,Integración,Licenciamiento,Rendimiento,Requerimientos,Equipo,Seguridad,Datos,Calidad,Adopción,Tecnología,Organización,Metodología"</formula1>
    </dataValidation>
    <dataValidation type="list" allowBlank="1" showInputMessage="1" showErrorMessage="1" sqref="G6:G200" xr:uid="{F115F7A1-ED92-F44C-BE0E-58E32332CFC2}">
      <formula1>"Baja,Media,Alta"</formula1>
    </dataValidation>
    <dataValidation type="list" allowBlank="1" showInputMessage="1" showErrorMessage="1" sqref="H6:H200" xr:uid="{E6C236B0-5DED-3F40-9466-D4A5B0CD8895}">
      <formula1>"Bajo,Medio,Alto"</formula1>
    </dataValidation>
    <dataValidation type="list" allowBlank="1" showInputMessage="1" showErrorMessage="1" sqref="K6:K200" xr:uid="{8840D3BF-E200-2A4C-A129-4E4FD11C1EE3}">
      <formula1>"Evitar,Mitigar,Transferir,Aceptar"</formula1>
    </dataValidation>
    <dataValidation type="list" allowBlank="1" showInputMessage="1" showErrorMessage="1" sqref="P6:P200" xr:uid="{DAB3E0A7-1C80-1D4C-BEED-02E7D7193218}">
      <formula1>"Abierto,En seguimiento,Mitigado,Materializado,Cerrado"</formula1>
    </dataValidation>
    <dataValidation type="list" allowBlank="1" showInputMessage="1" showErrorMessage="1" sqref="N6:N200" xr:uid="{68B017C1-7793-7A43-B634-7404574FEE11}">
      <formula1>"Product Owner (rotativo),Scrum Master (rotativo),Matías Orellana,Millaray Espósito,Alexssander López,Equipo del proyecto,Jefatura de TI,Administrador SAP,Representante GGH"</formula1>
    </dataValidation>
  </dataValidations>
  <pageMargins left="0.7" right="0.7" top="0.75" bottom="0.75" header="0.3" footer="0.3"/>
  <pageSetup paperSize="0" fitToHeight="0" orientation="landscape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A901-D905-C74B-95D7-4F06D70E65B9}">
  <sheetPr>
    <pageSetUpPr fitToPage="1"/>
  </sheetPr>
  <dimension ref="B1:J50"/>
  <sheetViews>
    <sheetView showGridLines="0" workbookViewId="0">
      <pane ySplit="5" topLeftCell="A6" activePane="bottomLeft" state="frozen"/>
      <selection pane="bottomLeft"/>
    </sheetView>
  </sheetViews>
  <sheetFormatPr baseColWidth="10" defaultRowHeight="12" x14ac:dyDescent="0.15"/>
  <cols>
    <col min="1" max="1" width="1.6640625" style="1" customWidth="1"/>
    <col min="2" max="2" width="9.5" style="1" customWidth="1"/>
    <col min="3" max="3" width="16.83203125" style="1" customWidth="1"/>
    <col min="4" max="4" width="49.33203125" style="1" customWidth="1"/>
    <col min="5" max="5" width="30.5" style="1" customWidth="1"/>
    <col min="6" max="6" width="38.83203125" style="1" customWidth="1"/>
    <col min="7" max="7" width="45" style="1" customWidth="1"/>
    <col min="8" max="8" width="20" style="1" customWidth="1"/>
    <col min="9" max="9" width="14.6640625" style="1" customWidth="1"/>
    <col min="10" max="10" width="13.6640625" style="1" customWidth="1"/>
    <col min="11" max="16384" width="10.83203125" style="1"/>
  </cols>
  <sheetData>
    <row r="1" spans="2:10" ht="34" customHeight="1" thickBot="1" x14ac:dyDescent="0.2">
      <c r="B1" s="4" t="s">
        <v>157</v>
      </c>
      <c r="C1" s="2"/>
      <c r="D1" s="2"/>
      <c r="E1" s="2"/>
      <c r="F1" s="2"/>
      <c r="G1" s="2"/>
      <c r="H1" s="2"/>
      <c r="I1" s="2"/>
      <c r="J1" s="2"/>
    </row>
    <row r="2" spans="2:10" ht="17" customHeight="1" x14ac:dyDescent="0.2">
      <c r="B2" s="5" t="s">
        <v>1</v>
      </c>
      <c r="C2" s="5"/>
      <c r="D2" s="5"/>
      <c r="E2" s="5" t="s">
        <v>3</v>
      </c>
      <c r="F2" s="5"/>
      <c r="G2" s="6" t="s">
        <v>4</v>
      </c>
      <c r="H2" s="6" t="s">
        <v>5</v>
      </c>
      <c r="I2" s="5" t="s">
        <v>7</v>
      </c>
      <c r="J2" s="5"/>
    </row>
    <row r="3" spans="2:10" ht="24" customHeight="1" x14ac:dyDescent="0.15">
      <c r="B3" s="8" t="s">
        <v>2</v>
      </c>
      <c r="C3" s="8"/>
      <c r="D3" s="8"/>
      <c r="E3" s="8" t="s">
        <v>341</v>
      </c>
      <c r="F3" s="8"/>
      <c r="G3" s="22">
        <v>46288</v>
      </c>
      <c r="H3" s="10" t="s">
        <v>6</v>
      </c>
      <c r="I3" s="8">
        <f>COUNTA(B6:B50)</f>
        <v>13</v>
      </c>
      <c r="J3" s="8"/>
    </row>
    <row r="4" spans="2:10" ht="26" customHeight="1" x14ac:dyDescent="0.15">
      <c r="B4" s="12" t="s">
        <v>158</v>
      </c>
      <c r="C4" s="12"/>
      <c r="D4" s="12"/>
      <c r="E4" s="12"/>
      <c r="F4" s="12"/>
      <c r="G4" s="12"/>
      <c r="H4" s="12"/>
      <c r="I4" s="12"/>
      <c r="J4" s="12"/>
    </row>
    <row r="5" spans="2:10" ht="38" customHeight="1" x14ac:dyDescent="0.15">
      <c r="B5" s="13" t="s">
        <v>9</v>
      </c>
      <c r="C5" s="13" t="s">
        <v>159</v>
      </c>
      <c r="D5" s="13" t="s">
        <v>160</v>
      </c>
      <c r="E5" s="13" t="s">
        <v>161</v>
      </c>
      <c r="F5" s="13" t="s">
        <v>162</v>
      </c>
      <c r="G5" s="13" t="s">
        <v>163</v>
      </c>
      <c r="H5" s="13" t="s">
        <v>21</v>
      </c>
      <c r="I5" s="13" t="s">
        <v>164</v>
      </c>
      <c r="J5" s="13" t="s">
        <v>23</v>
      </c>
    </row>
    <row r="6" spans="2:10" ht="36" customHeight="1" x14ac:dyDescent="0.15">
      <c r="B6" s="14" t="s">
        <v>165</v>
      </c>
      <c r="C6" s="15" t="s">
        <v>166</v>
      </c>
      <c r="D6" s="15" t="s">
        <v>167</v>
      </c>
      <c r="E6" s="15" t="s">
        <v>168</v>
      </c>
      <c r="F6" s="15" t="s">
        <v>169</v>
      </c>
      <c r="G6" s="15" t="s">
        <v>170</v>
      </c>
      <c r="H6" s="15" t="s">
        <v>343</v>
      </c>
      <c r="I6" s="16" t="s">
        <v>171</v>
      </c>
      <c r="J6" s="16" t="s">
        <v>172</v>
      </c>
    </row>
    <row r="7" spans="2:10" ht="36" customHeight="1" x14ac:dyDescent="0.15">
      <c r="B7" s="18" t="s">
        <v>173</v>
      </c>
      <c r="C7" s="19" t="s">
        <v>174</v>
      </c>
      <c r="D7" s="19" t="s">
        <v>175</v>
      </c>
      <c r="E7" s="19" t="s">
        <v>176</v>
      </c>
      <c r="F7" s="19" t="s">
        <v>177</v>
      </c>
      <c r="G7" s="19" t="s">
        <v>178</v>
      </c>
      <c r="H7" s="19" t="s">
        <v>179</v>
      </c>
      <c r="I7" s="20" t="s">
        <v>180</v>
      </c>
      <c r="J7" s="20" t="s">
        <v>172</v>
      </c>
    </row>
    <row r="8" spans="2:10" ht="36" customHeight="1" x14ac:dyDescent="0.15">
      <c r="B8" s="14" t="s">
        <v>181</v>
      </c>
      <c r="C8" s="15" t="s">
        <v>27</v>
      </c>
      <c r="D8" s="15" t="s">
        <v>182</v>
      </c>
      <c r="E8" s="15" t="s">
        <v>183</v>
      </c>
      <c r="F8" s="15" t="s">
        <v>184</v>
      </c>
      <c r="G8" s="15" t="s">
        <v>185</v>
      </c>
      <c r="H8" s="15" t="s">
        <v>342</v>
      </c>
      <c r="I8" s="16" t="s">
        <v>26</v>
      </c>
      <c r="J8" s="16" t="s">
        <v>172</v>
      </c>
    </row>
    <row r="9" spans="2:10" ht="50" customHeight="1" x14ac:dyDescent="0.15">
      <c r="B9" s="18" t="s">
        <v>186</v>
      </c>
      <c r="C9" s="19" t="s">
        <v>187</v>
      </c>
      <c r="D9" s="19" t="s">
        <v>188</v>
      </c>
      <c r="E9" s="19" t="s">
        <v>189</v>
      </c>
      <c r="F9" s="19" t="s">
        <v>190</v>
      </c>
      <c r="G9" s="19" t="s">
        <v>191</v>
      </c>
      <c r="H9" s="19" t="s">
        <v>192</v>
      </c>
      <c r="I9" s="20" t="s">
        <v>50</v>
      </c>
      <c r="J9" s="20" t="s">
        <v>193</v>
      </c>
    </row>
    <row r="10" spans="2:10" ht="36" customHeight="1" x14ac:dyDescent="0.15">
      <c r="B10" s="14" t="s">
        <v>194</v>
      </c>
      <c r="C10" s="15" t="s">
        <v>195</v>
      </c>
      <c r="D10" s="15" t="s">
        <v>196</v>
      </c>
      <c r="E10" s="15" t="s">
        <v>197</v>
      </c>
      <c r="F10" s="15" t="s">
        <v>198</v>
      </c>
      <c r="G10" s="15" t="s">
        <v>199</v>
      </c>
      <c r="H10" s="15" t="s">
        <v>47</v>
      </c>
      <c r="I10" s="16" t="s">
        <v>101</v>
      </c>
      <c r="J10" s="16" t="s">
        <v>172</v>
      </c>
    </row>
    <row r="11" spans="2:10" ht="36" customHeight="1" x14ac:dyDescent="0.15">
      <c r="B11" s="18" t="s">
        <v>200</v>
      </c>
      <c r="C11" s="19" t="s">
        <v>195</v>
      </c>
      <c r="D11" s="19" t="s">
        <v>201</v>
      </c>
      <c r="E11" s="19" t="s">
        <v>202</v>
      </c>
      <c r="F11" s="19" t="s">
        <v>203</v>
      </c>
      <c r="G11" s="19" t="s">
        <v>204</v>
      </c>
      <c r="H11" s="19" t="s">
        <v>47</v>
      </c>
      <c r="I11" s="20" t="s">
        <v>59</v>
      </c>
      <c r="J11" s="20" t="s">
        <v>172</v>
      </c>
    </row>
    <row r="12" spans="2:10" ht="50" customHeight="1" x14ac:dyDescent="0.15">
      <c r="B12" s="14" t="s">
        <v>205</v>
      </c>
      <c r="C12" s="15" t="s">
        <v>206</v>
      </c>
      <c r="D12" s="15" t="s">
        <v>207</v>
      </c>
      <c r="E12" s="15" t="s">
        <v>208</v>
      </c>
      <c r="F12" s="15" t="s">
        <v>209</v>
      </c>
      <c r="G12" s="15" t="s">
        <v>210</v>
      </c>
      <c r="H12" s="15" t="s">
        <v>47</v>
      </c>
      <c r="I12" s="16" t="s">
        <v>132</v>
      </c>
      <c r="J12" s="16" t="s">
        <v>172</v>
      </c>
    </row>
    <row r="13" spans="2:10" ht="36" customHeight="1" x14ac:dyDescent="0.15">
      <c r="B13" s="18" t="s">
        <v>211</v>
      </c>
      <c r="C13" s="19" t="s">
        <v>212</v>
      </c>
      <c r="D13" s="19" t="s">
        <v>213</v>
      </c>
      <c r="E13" s="19" t="s">
        <v>214</v>
      </c>
      <c r="F13" s="19" t="s">
        <v>215</v>
      </c>
      <c r="G13" s="19" t="s">
        <v>216</v>
      </c>
      <c r="H13" s="19" t="s">
        <v>217</v>
      </c>
      <c r="I13" s="20" t="s">
        <v>93</v>
      </c>
      <c r="J13" s="20" t="s">
        <v>172</v>
      </c>
    </row>
    <row r="14" spans="2:10" ht="36" customHeight="1" x14ac:dyDescent="0.15">
      <c r="B14" s="14" t="s">
        <v>218</v>
      </c>
      <c r="C14" s="15" t="s">
        <v>219</v>
      </c>
      <c r="D14" s="15" t="s">
        <v>220</v>
      </c>
      <c r="E14" s="15" t="s">
        <v>221</v>
      </c>
      <c r="F14" s="15" t="s">
        <v>222</v>
      </c>
      <c r="G14" s="15" t="s">
        <v>223</v>
      </c>
      <c r="H14" s="15" t="s">
        <v>47</v>
      </c>
      <c r="I14" s="16" t="s">
        <v>39</v>
      </c>
      <c r="J14" s="16" t="s">
        <v>172</v>
      </c>
    </row>
    <row r="15" spans="2:10" ht="36" customHeight="1" x14ac:dyDescent="0.15">
      <c r="B15" s="18" t="s">
        <v>224</v>
      </c>
      <c r="C15" s="19" t="s">
        <v>225</v>
      </c>
      <c r="D15" s="19" t="s">
        <v>226</v>
      </c>
      <c r="E15" s="19" t="s">
        <v>227</v>
      </c>
      <c r="F15" s="19" t="s">
        <v>228</v>
      </c>
      <c r="G15" s="19" t="s">
        <v>229</v>
      </c>
      <c r="H15" s="19" t="s">
        <v>36</v>
      </c>
      <c r="I15" s="20" t="s">
        <v>93</v>
      </c>
      <c r="J15" s="20" t="s">
        <v>172</v>
      </c>
    </row>
    <row r="16" spans="2:10" ht="36" customHeight="1" x14ac:dyDescent="0.15">
      <c r="B16" s="14" t="s">
        <v>230</v>
      </c>
      <c r="C16" s="15" t="s">
        <v>94</v>
      </c>
      <c r="D16" s="15" t="s">
        <v>231</v>
      </c>
      <c r="E16" s="15" t="s">
        <v>227</v>
      </c>
      <c r="F16" s="15" t="s">
        <v>232</v>
      </c>
      <c r="G16" s="15" t="s">
        <v>233</v>
      </c>
      <c r="H16" s="15" t="s">
        <v>179</v>
      </c>
      <c r="I16" s="16" t="s">
        <v>93</v>
      </c>
      <c r="J16" s="16" t="s">
        <v>172</v>
      </c>
    </row>
    <row r="17" spans="2:10" ht="36" customHeight="1" x14ac:dyDescent="0.15">
      <c r="B17" s="18" t="s">
        <v>234</v>
      </c>
      <c r="C17" s="19" t="s">
        <v>235</v>
      </c>
      <c r="D17" s="19" t="s">
        <v>236</v>
      </c>
      <c r="E17" s="19" t="s">
        <v>237</v>
      </c>
      <c r="F17" s="19" t="s">
        <v>238</v>
      </c>
      <c r="G17" s="19" t="s">
        <v>239</v>
      </c>
      <c r="H17" s="19" t="s">
        <v>75</v>
      </c>
      <c r="I17" s="20" t="s">
        <v>93</v>
      </c>
      <c r="J17" s="20" t="s">
        <v>172</v>
      </c>
    </row>
    <row r="18" spans="2:10" ht="36" customHeight="1" x14ac:dyDescent="0.15">
      <c r="B18" s="14" t="s">
        <v>240</v>
      </c>
      <c r="C18" s="15" t="s">
        <v>241</v>
      </c>
      <c r="D18" s="15" t="s">
        <v>242</v>
      </c>
      <c r="E18" s="15" t="s">
        <v>243</v>
      </c>
      <c r="F18" s="15" t="s">
        <v>244</v>
      </c>
      <c r="G18" s="15" t="s">
        <v>245</v>
      </c>
      <c r="H18" s="15" t="s">
        <v>179</v>
      </c>
      <c r="I18" s="16" t="s">
        <v>246</v>
      </c>
      <c r="J18" s="16" t="s">
        <v>172</v>
      </c>
    </row>
    <row r="19" spans="2:10" ht="13" x14ac:dyDescent="0.15">
      <c r="B19" s="3"/>
      <c r="C19" s="3"/>
      <c r="D19" s="3"/>
      <c r="E19" s="3"/>
      <c r="F19" s="3"/>
      <c r="G19" s="3"/>
      <c r="H19" s="3"/>
      <c r="I19" s="3"/>
      <c r="J19" s="3"/>
    </row>
    <row r="20" spans="2:10" ht="13" x14ac:dyDescent="0.15">
      <c r="B20" s="3"/>
      <c r="C20" s="3"/>
      <c r="D20" s="3"/>
      <c r="E20" s="3"/>
      <c r="F20" s="3"/>
      <c r="G20" s="3"/>
      <c r="H20" s="3"/>
      <c r="I20" s="3"/>
      <c r="J20" s="3"/>
    </row>
    <row r="21" spans="2:10" ht="13" x14ac:dyDescent="0.15">
      <c r="B21" s="3"/>
      <c r="C21" s="3"/>
      <c r="D21" s="3"/>
      <c r="E21" s="3"/>
      <c r="F21" s="3"/>
      <c r="G21" s="3"/>
      <c r="H21" s="3"/>
      <c r="I21" s="3"/>
      <c r="J21" s="3"/>
    </row>
    <row r="22" spans="2:10" ht="13" x14ac:dyDescent="0.15">
      <c r="B22" s="3"/>
      <c r="C22" s="3"/>
      <c r="D22" s="3"/>
      <c r="E22" s="3"/>
      <c r="F22" s="3"/>
      <c r="G22" s="3"/>
      <c r="H22" s="3"/>
      <c r="I22" s="3"/>
      <c r="J22" s="3"/>
    </row>
    <row r="23" spans="2:10" ht="13" x14ac:dyDescent="0.15">
      <c r="B23" s="3"/>
      <c r="C23" s="3"/>
      <c r="D23" s="3"/>
      <c r="E23" s="3"/>
      <c r="F23" s="3"/>
      <c r="G23" s="3"/>
      <c r="H23" s="3"/>
      <c r="I23" s="3"/>
      <c r="J23" s="3"/>
    </row>
    <row r="24" spans="2:10" ht="13" x14ac:dyDescent="0.15">
      <c r="B24" s="3"/>
      <c r="C24" s="3"/>
      <c r="D24" s="3"/>
      <c r="E24" s="3"/>
      <c r="F24" s="3"/>
      <c r="G24" s="3"/>
      <c r="H24" s="3"/>
      <c r="I24" s="3"/>
      <c r="J24" s="3"/>
    </row>
    <row r="25" spans="2:10" ht="13" x14ac:dyDescent="0.15">
      <c r="B25" s="3"/>
      <c r="C25" s="3"/>
      <c r="D25" s="3"/>
      <c r="E25" s="3"/>
      <c r="F25" s="3"/>
      <c r="G25" s="3"/>
      <c r="H25" s="3"/>
      <c r="I25" s="3"/>
      <c r="J25" s="3"/>
    </row>
    <row r="26" spans="2:10" ht="13" x14ac:dyDescent="0.15">
      <c r="B26" s="3"/>
      <c r="C26" s="3"/>
      <c r="D26" s="3"/>
      <c r="E26" s="3"/>
      <c r="F26" s="3"/>
      <c r="G26" s="3"/>
      <c r="H26" s="3"/>
      <c r="I26" s="3"/>
      <c r="J26" s="3"/>
    </row>
    <row r="27" spans="2:10" ht="13" x14ac:dyDescent="0.15">
      <c r="B27" s="3"/>
      <c r="C27" s="3"/>
      <c r="D27" s="3"/>
      <c r="E27" s="3"/>
      <c r="F27" s="3"/>
      <c r="G27" s="3"/>
      <c r="H27" s="3"/>
      <c r="I27" s="3"/>
      <c r="J27" s="3"/>
    </row>
    <row r="28" spans="2:10" ht="13" x14ac:dyDescent="0.15">
      <c r="B28" s="3"/>
      <c r="C28" s="3"/>
      <c r="D28" s="3"/>
      <c r="E28" s="3"/>
      <c r="F28" s="3"/>
      <c r="G28" s="3"/>
      <c r="H28" s="3"/>
      <c r="I28" s="3"/>
      <c r="J28" s="3"/>
    </row>
    <row r="29" spans="2:10" ht="13" x14ac:dyDescent="0.15">
      <c r="B29" s="3"/>
      <c r="C29" s="3"/>
      <c r="D29" s="3"/>
      <c r="E29" s="3"/>
      <c r="F29" s="3"/>
      <c r="G29" s="3"/>
      <c r="H29" s="3"/>
      <c r="I29" s="3"/>
      <c r="J29" s="3"/>
    </row>
    <row r="30" spans="2:10" ht="13" x14ac:dyDescent="0.15">
      <c r="B30" s="3"/>
      <c r="C30" s="3"/>
      <c r="D30" s="3"/>
      <c r="E30" s="3"/>
      <c r="F30" s="3"/>
      <c r="G30" s="3"/>
      <c r="H30" s="3"/>
      <c r="I30" s="3"/>
      <c r="J30" s="3"/>
    </row>
    <row r="31" spans="2:10" ht="13" x14ac:dyDescent="0.15">
      <c r="B31" s="3"/>
      <c r="C31" s="3"/>
      <c r="D31" s="3"/>
      <c r="E31" s="3"/>
      <c r="F31" s="3"/>
      <c r="G31" s="3"/>
      <c r="H31" s="3"/>
      <c r="I31" s="3"/>
      <c r="J31" s="3"/>
    </row>
    <row r="32" spans="2:10" ht="13" x14ac:dyDescent="0.15">
      <c r="B32" s="3"/>
      <c r="C32" s="3"/>
      <c r="D32" s="3"/>
      <c r="E32" s="3"/>
      <c r="F32" s="3"/>
      <c r="G32" s="3"/>
      <c r="H32" s="3"/>
      <c r="I32" s="3"/>
      <c r="J32" s="3"/>
    </row>
    <row r="33" spans="2:10" ht="13" x14ac:dyDescent="0.15">
      <c r="B33" s="3"/>
      <c r="C33" s="3"/>
      <c r="D33" s="3"/>
      <c r="E33" s="3"/>
      <c r="F33" s="3"/>
      <c r="G33" s="3"/>
      <c r="H33" s="3"/>
      <c r="I33" s="3"/>
      <c r="J33" s="3"/>
    </row>
    <row r="34" spans="2:10" ht="13" x14ac:dyDescent="0.15">
      <c r="B34" s="3"/>
      <c r="C34" s="3"/>
      <c r="D34" s="3"/>
      <c r="E34" s="3"/>
      <c r="F34" s="3"/>
      <c r="G34" s="3"/>
      <c r="H34" s="3"/>
      <c r="I34" s="3"/>
      <c r="J34" s="3"/>
    </row>
    <row r="35" spans="2:10" ht="13" x14ac:dyDescent="0.15">
      <c r="B35" s="3"/>
      <c r="C35" s="3"/>
      <c r="D35" s="3"/>
      <c r="E35" s="3"/>
      <c r="F35" s="3"/>
      <c r="G35" s="3"/>
      <c r="H35" s="3"/>
      <c r="I35" s="3"/>
      <c r="J35" s="3"/>
    </row>
    <row r="36" spans="2:10" ht="13" x14ac:dyDescent="0.15">
      <c r="B36" s="3"/>
      <c r="C36" s="3"/>
      <c r="D36" s="3"/>
      <c r="E36" s="3"/>
      <c r="F36" s="3"/>
      <c r="G36" s="3"/>
      <c r="H36" s="3"/>
      <c r="I36" s="3"/>
      <c r="J36" s="3"/>
    </row>
    <row r="37" spans="2:10" ht="13" x14ac:dyDescent="0.15">
      <c r="B37" s="3"/>
      <c r="C37" s="3"/>
      <c r="D37" s="3"/>
      <c r="E37" s="3"/>
      <c r="F37" s="3"/>
      <c r="G37" s="3"/>
      <c r="H37" s="3"/>
      <c r="I37" s="3"/>
      <c r="J37" s="3"/>
    </row>
    <row r="38" spans="2:10" ht="13" x14ac:dyDescent="0.15">
      <c r="B38" s="3"/>
      <c r="C38" s="3"/>
      <c r="D38" s="3"/>
      <c r="E38" s="3"/>
      <c r="F38" s="3"/>
      <c r="G38" s="3"/>
      <c r="H38" s="3"/>
      <c r="I38" s="3"/>
      <c r="J38" s="3"/>
    </row>
    <row r="39" spans="2:10" ht="13" x14ac:dyDescent="0.15">
      <c r="B39" s="3"/>
      <c r="C39" s="3"/>
      <c r="D39" s="3"/>
      <c r="E39" s="3"/>
      <c r="F39" s="3"/>
      <c r="G39" s="3"/>
      <c r="H39" s="3"/>
      <c r="I39" s="3"/>
      <c r="J39" s="3"/>
    </row>
    <row r="40" spans="2:10" ht="13" x14ac:dyDescent="0.15">
      <c r="B40" s="3"/>
      <c r="C40" s="3"/>
      <c r="D40" s="3"/>
      <c r="E40" s="3"/>
      <c r="F40" s="3"/>
      <c r="G40" s="3"/>
      <c r="H40" s="3"/>
      <c r="I40" s="3"/>
      <c r="J40" s="3"/>
    </row>
    <row r="41" spans="2:10" ht="13" x14ac:dyDescent="0.15">
      <c r="B41" s="3"/>
      <c r="C41" s="3"/>
      <c r="D41" s="3"/>
      <c r="E41" s="3"/>
      <c r="F41" s="3"/>
      <c r="G41" s="3"/>
      <c r="H41" s="3"/>
      <c r="I41" s="3"/>
      <c r="J41" s="3"/>
    </row>
    <row r="42" spans="2:10" ht="13" x14ac:dyDescent="0.15">
      <c r="B42" s="3"/>
      <c r="C42" s="3"/>
      <c r="D42" s="3"/>
      <c r="E42" s="3"/>
      <c r="F42" s="3"/>
      <c r="G42" s="3"/>
      <c r="H42" s="3"/>
      <c r="I42" s="3"/>
      <c r="J42" s="3"/>
    </row>
    <row r="43" spans="2:10" ht="13" x14ac:dyDescent="0.15">
      <c r="B43" s="3"/>
      <c r="C43" s="3"/>
      <c r="D43" s="3"/>
      <c r="E43" s="3"/>
      <c r="F43" s="3"/>
      <c r="G43" s="3"/>
      <c r="H43" s="3"/>
      <c r="I43" s="3"/>
      <c r="J43" s="3"/>
    </row>
    <row r="44" spans="2:10" ht="13" x14ac:dyDescent="0.15">
      <c r="B44" s="3"/>
      <c r="C44" s="3"/>
      <c r="D44" s="3"/>
      <c r="E44" s="3"/>
      <c r="F44" s="3"/>
      <c r="G44" s="3"/>
      <c r="H44" s="3"/>
      <c r="I44" s="3"/>
      <c r="J44" s="3"/>
    </row>
    <row r="45" spans="2:10" ht="13" x14ac:dyDescent="0.15">
      <c r="B45" s="3"/>
      <c r="C45" s="3"/>
      <c r="D45" s="3"/>
      <c r="E45" s="3"/>
      <c r="F45" s="3"/>
      <c r="G45" s="3"/>
      <c r="H45" s="3"/>
      <c r="I45" s="3"/>
      <c r="J45" s="3"/>
    </row>
    <row r="46" spans="2:10" ht="13" x14ac:dyDescent="0.15">
      <c r="B46" s="3"/>
      <c r="C46" s="3"/>
      <c r="D46" s="3"/>
      <c r="E46" s="3"/>
      <c r="F46" s="3"/>
      <c r="G46" s="3"/>
      <c r="H46" s="3"/>
      <c r="I46" s="3"/>
      <c r="J46" s="3"/>
    </row>
    <row r="47" spans="2:10" ht="13" x14ac:dyDescent="0.15">
      <c r="B47" s="3"/>
      <c r="C47" s="3"/>
      <c r="D47" s="3"/>
      <c r="E47" s="3"/>
      <c r="F47" s="3"/>
      <c r="G47" s="3"/>
      <c r="H47" s="3"/>
      <c r="I47" s="3"/>
      <c r="J47" s="3"/>
    </row>
    <row r="48" spans="2:10" ht="13" x14ac:dyDescent="0.15">
      <c r="B48" s="3"/>
      <c r="C48" s="3"/>
      <c r="D48" s="3"/>
      <c r="E48" s="3"/>
      <c r="F48" s="3"/>
      <c r="G48" s="3"/>
      <c r="H48" s="3"/>
      <c r="I48" s="3"/>
      <c r="J48" s="3"/>
    </row>
    <row r="49" spans="2:10" ht="13" x14ac:dyDescent="0.15">
      <c r="B49" s="3"/>
      <c r="C49" s="3"/>
      <c r="D49" s="3"/>
      <c r="E49" s="3"/>
      <c r="F49" s="3"/>
      <c r="G49" s="3"/>
      <c r="H49" s="3"/>
      <c r="I49" s="3"/>
      <c r="J49" s="3"/>
    </row>
    <row r="50" spans="2:10" ht="13" x14ac:dyDescent="0.15">
      <c r="B50" s="3"/>
      <c r="C50" s="3"/>
      <c r="D50" s="3"/>
      <c r="E50" s="3"/>
      <c r="F50" s="3"/>
      <c r="G50" s="3"/>
      <c r="H50" s="3"/>
      <c r="I50" s="3"/>
      <c r="J50" s="3"/>
    </row>
  </sheetData>
  <autoFilter ref="B5:J18" xr:uid="{4614A901-D905-C74B-95D7-4F06D70E65B9}"/>
  <mergeCells count="7">
    <mergeCell ref="B4:J4"/>
    <mergeCell ref="B2:D2"/>
    <mergeCell ref="B3:D3"/>
    <mergeCell ref="E2:F2"/>
    <mergeCell ref="E3:F3"/>
    <mergeCell ref="I2:J2"/>
    <mergeCell ref="I3:J3"/>
  </mergeCells>
  <dataValidations count="1">
    <dataValidation type="list" allowBlank="1" showInputMessage="1" showErrorMessage="1" sqref="J6:J200" xr:uid="{DFAFCEDD-D5EF-8C44-A652-F710788DD1B6}">
      <formula1>"Vigente,Por validar,Levantada"</formula1>
    </dataValidation>
  </dataValidations>
  <pageMargins left="0.7" right="0.7" top="0.75" bottom="0.75" header="0.3" footer="0.3"/>
  <pageSetup paperSize="0" fitToHeight="0" orientation="landscape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DA2C-2A0C-994F-A675-53137F2100CA}">
  <sheetPr>
    <pageSetUpPr fitToPage="1"/>
  </sheetPr>
  <dimension ref="B1:L50"/>
  <sheetViews>
    <sheetView showGridLines="0" tabSelected="1" workbookViewId="0">
      <pane ySplit="5" topLeftCell="A9" activePane="bottomLeft" state="frozen"/>
      <selection pane="bottomLeft" activeCell="J11" sqref="J11"/>
    </sheetView>
  </sheetViews>
  <sheetFormatPr baseColWidth="10" defaultRowHeight="12" x14ac:dyDescent="0.15"/>
  <cols>
    <col min="1" max="1" width="1.6640625" style="1" customWidth="1"/>
    <col min="2" max="2" width="9.5" style="1" customWidth="1"/>
    <col min="3" max="3" width="13.6640625" style="1" customWidth="1"/>
    <col min="4" max="4" width="20" style="1" customWidth="1"/>
    <col min="5" max="5" width="43" style="1" customWidth="1"/>
    <col min="6" max="6" width="34.5" style="1" customWidth="1"/>
    <col min="7" max="7" width="53.33203125" style="1" customWidth="1"/>
    <col min="8" max="8" width="32.5" style="1" customWidth="1"/>
    <col min="9" max="9" width="18.83203125" style="1" customWidth="1"/>
    <col min="10" max="10" width="20" style="1" customWidth="1"/>
    <col min="11" max="11" width="15.6640625" style="1" customWidth="1"/>
    <col min="12" max="12" width="14.6640625" style="1" customWidth="1"/>
    <col min="13" max="16384" width="10.83203125" style="1"/>
  </cols>
  <sheetData>
    <row r="1" spans="2:12" ht="34" customHeight="1" thickBot="1" x14ac:dyDescent="0.2">
      <c r="B1" s="4" t="s">
        <v>247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17" customHeight="1" x14ac:dyDescent="0.2">
      <c r="B2" s="5" t="s">
        <v>1</v>
      </c>
      <c r="C2" s="5"/>
      <c r="D2" s="5"/>
      <c r="E2" s="5"/>
      <c r="F2" s="5" t="s">
        <v>3</v>
      </c>
      <c r="G2" s="5"/>
      <c r="H2" s="6" t="s">
        <v>4</v>
      </c>
      <c r="I2" s="6" t="s">
        <v>5</v>
      </c>
      <c r="J2" s="5" t="s">
        <v>7</v>
      </c>
      <c r="K2" s="5"/>
      <c r="L2" s="7"/>
    </row>
    <row r="3" spans="2:12" ht="24" customHeight="1" x14ac:dyDescent="0.15">
      <c r="B3" s="8" t="s">
        <v>2</v>
      </c>
      <c r="C3" s="8"/>
      <c r="D3" s="8"/>
      <c r="E3" s="8"/>
      <c r="F3" s="8" t="s">
        <v>341</v>
      </c>
      <c r="G3" s="8"/>
      <c r="H3" s="22">
        <v>46288</v>
      </c>
      <c r="I3" s="10" t="s">
        <v>6</v>
      </c>
      <c r="J3" s="8">
        <f>COUNTA(B6:B50)</f>
        <v>12</v>
      </c>
      <c r="K3" s="8"/>
      <c r="L3" s="11"/>
    </row>
    <row r="4" spans="2:12" ht="26" customHeight="1" x14ac:dyDescent="0.15">
      <c r="B4" s="12" t="s">
        <v>248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2:12" ht="38" customHeight="1" x14ac:dyDescent="0.15">
      <c r="B5" s="13" t="s">
        <v>9</v>
      </c>
      <c r="C5" s="13" t="s">
        <v>4</v>
      </c>
      <c r="D5" s="13" t="s">
        <v>249</v>
      </c>
      <c r="E5" s="13" t="s">
        <v>250</v>
      </c>
      <c r="F5" s="13" t="s">
        <v>251</v>
      </c>
      <c r="G5" s="13" t="s">
        <v>252</v>
      </c>
      <c r="H5" s="13" t="s">
        <v>162</v>
      </c>
      <c r="I5" s="13" t="s">
        <v>21</v>
      </c>
      <c r="J5" s="13" t="s">
        <v>253</v>
      </c>
      <c r="K5" s="13" t="s">
        <v>254</v>
      </c>
      <c r="L5" s="13" t="s">
        <v>23</v>
      </c>
    </row>
    <row r="6" spans="2:12" ht="50" customHeight="1" x14ac:dyDescent="0.15">
      <c r="B6" s="14" t="s">
        <v>255</v>
      </c>
      <c r="C6" s="17">
        <v>46248</v>
      </c>
      <c r="D6" s="15" t="s">
        <v>256</v>
      </c>
      <c r="E6" s="15" t="s">
        <v>257</v>
      </c>
      <c r="F6" s="15" t="s">
        <v>258</v>
      </c>
      <c r="G6" s="15" t="s">
        <v>259</v>
      </c>
      <c r="H6" s="15" t="s">
        <v>260</v>
      </c>
      <c r="I6" s="15" t="s">
        <v>179</v>
      </c>
      <c r="J6" s="15" t="s">
        <v>192</v>
      </c>
      <c r="K6" s="16" t="s">
        <v>261</v>
      </c>
      <c r="L6" s="16" t="s">
        <v>262</v>
      </c>
    </row>
    <row r="7" spans="2:12" ht="78" customHeight="1" x14ac:dyDescent="0.15">
      <c r="B7" s="18" t="s">
        <v>263</v>
      </c>
      <c r="C7" s="21">
        <v>46276</v>
      </c>
      <c r="D7" s="19" t="s">
        <v>264</v>
      </c>
      <c r="E7" s="19" t="s">
        <v>265</v>
      </c>
      <c r="F7" s="19" t="s">
        <v>266</v>
      </c>
      <c r="G7" s="19" t="s">
        <v>267</v>
      </c>
      <c r="H7" s="19" t="s">
        <v>268</v>
      </c>
      <c r="I7" s="19" t="s">
        <v>179</v>
      </c>
      <c r="J7" s="19" t="s">
        <v>179</v>
      </c>
      <c r="K7" s="20" t="s">
        <v>270</v>
      </c>
      <c r="L7" s="20" t="s">
        <v>271</v>
      </c>
    </row>
    <row r="8" spans="2:12" ht="64" customHeight="1" x14ac:dyDescent="0.15">
      <c r="B8" s="14" t="s">
        <v>272</v>
      </c>
      <c r="C8" s="17">
        <v>46255</v>
      </c>
      <c r="D8" s="15" t="s">
        <v>273</v>
      </c>
      <c r="E8" s="15" t="s">
        <v>274</v>
      </c>
      <c r="F8" s="15" t="s">
        <v>275</v>
      </c>
      <c r="G8" s="15" t="s">
        <v>276</v>
      </c>
      <c r="H8" s="15" t="s">
        <v>277</v>
      </c>
      <c r="I8" s="15" t="s">
        <v>47</v>
      </c>
      <c r="J8" s="15" t="s">
        <v>217</v>
      </c>
      <c r="K8" s="16" t="s">
        <v>278</v>
      </c>
      <c r="L8" s="16" t="s">
        <v>262</v>
      </c>
    </row>
    <row r="9" spans="2:12" ht="50" customHeight="1" x14ac:dyDescent="0.15">
      <c r="B9" s="18" t="s">
        <v>279</v>
      </c>
      <c r="C9" s="21">
        <v>46255</v>
      </c>
      <c r="D9" s="19" t="s">
        <v>280</v>
      </c>
      <c r="E9" s="19" t="s">
        <v>281</v>
      </c>
      <c r="F9" s="19" t="s">
        <v>282</v>
      </c>
      <c r="G9" s="19" t="s">
        <v>283</v>
      </c>
      <c r="H9" s="19" t="s">
        <v>284</v>
      </c>
      <c r="I9" s="19" t="s">
        <v>36</v>
      </c>
      <c r="J9" s="19" t="s">
        <v>179</v>
      </c>
      <c r="K9" s="20" t="s">
        <v>285</v>
      </c>
      <c r="L9" s="20" t="s">
        <v>271</v>
      </c>
    </row>
    <row r="10" spans="2:12" ht="50" customHeight="1" x14ac:dyDescent="0.15">
      <c r="B10" s="14" t="s">
        <v>286</v>
      </c>
      <c r="C10" s="17">
        <v>46248</v>
      </c>
      <c r="D10" s="15" t="s">
        <v>287</v>
      </c>
      <c r="E10" s="15" t="s">
        <v>288</v>
      </c>
      <c r="F10" s="15" t="s">
        <v>289</v>
      </c>
      <c r="G10" s="15" t="s">
        <v>290</v>
      </c>
      <c r="H10" s="15" t="s">
        <v>291</v>
      </c>
      <c r="I10" s="15" t="s">
        <v>179</v>
      </c>
      <c r="J10" s="15" t="s">
        <v>192</v>
      </c>
      <c r="K10" s="16" t="s">
        <v>292</v>
      </c>
      <c r="L10" s="16" t="s">
        <v>262</v>
      </c>
    </row>
    <row r="11" spans="2:12" ht="64" customHeight="1" x14ac:dyDescent="0.15">
      <c r="B11" s="18" t="s">
        <v>293</v>
      </c>
      <c r="C11" s="21">
        <v>46248</v>
      </c>
      <c r="D11" s="19" t="s">
        <v>149</v>
      </c>
      <c r="E11" s="19" t="s">
        <v>344</v>
      </c>
      <c r="F11" s="19" t="s">
        <v>294</v>
      </c>
      <c r="G11" s="19" t="s">
        <v>345</v>
      </c>
      <c r="H11" s="19" t="s">
        <v>346</v>
      </c>
      <c r="I11" s="19" t="s">
        <v>179</v>
      </c>
      <c r="J11" s="19" t="s">
        <v>269</v>
      </c>
      <c r="K11" s="20" t="s">
        <v>295</v>
      </c>
      <c r="L11" s="20" t="s">
        <v>271</v>
      </c>
    </row>
    <row r="12" spans="2:12" ht="50" customHeight="1" x14ac:dyDescent="0.15">
      <c r="B12" s="14" t="s">
        <v>296</v>
      </c>
      <c r="C12" s="17">
        <v>46262</v>
      </c>
      <c r="D12" s="15" t="s">
        <v>297</v>
      </c>
      <c r="E12" s="15" t="s">
        <v>298</v>
      </c>
      <c r="F12" s="15" t="s">
        <v>299</v>
      </c>
      <c r="G12" s="15" t="s">
        <v>300</v>
      </c>
      <c r="H12" s="15" t="s">
        <v>301</v>
      </c>
      <c r="I12" s="15" t="s">
        <v>47</v>
      </c>
      <c r="J12" s="15" t="s">
        <v>179</v>
      </c>
      <c r="K12" s="16" t="s">
        <v>101</v>
      </c>
      <c r="L12" s="16" t="s">
        <v>271</v>
      </c>
    </row>
    <row r="13" spans="2:12" ht="50" customHeight="1" x14ac:dyDescent="0.15">
      <c r="B13" s="18" t="s">
        <v>302</v>
      </c>
      <c r="C13" s="21">
        <v>46269</v>
      </c>
      <c r="D13" s="19" t="s">
        <v>303</v>
      </c>
      <c r="E13" s="19" t="s">
        <v>304</v>
      </c>
      <c r="F13" s="19" t="s">
        <v>305</v>
      </c>
      <c r="G13" s="19" t="s">
        <v>306</v>
      </c>
      <c r="H13" s="19" t="s">
        <v>307</v>
      </c>
      <c r="I13" s="19" t="s">
        <v>47</v>
      </c>
      <c r="J13" s="19" t="s">
        <v>179</v>
      </c>
      <c r="K13" s="20" t="s">
        <v>101</v>
      </c>
      <c r="L13" s="20" t="s">
        <v>271</v>
      </c>
    </row>
    <row r="14" spans="2:12" ht="36" customHeight="1" x14ac:dyDescent="0.15">
      <c r="B14" s="14" t="s">
        <v>308</v>
      </c>
      <c r="C14" s="17">
        <v>46255</v>
      </c>
      <c r="D14" s="15" t="s">
        <v>309</v>
      </c>
      <c r="E14" s="15" t="s">
        <v>310</v>
      </c>
      <c r="F14" s="15" t="s">
        <v>311</v>
      </c>
      <c r="G14" s="15" t="s">
        <v>312</v>
      </c>
      <c r="H14" s="15" t="s">
        <v>313</v>
      </c>
      <c r="I14" s="15" t="s">
        <v>36</v>
      </c>
      <c r="J14" s="15" t="s">
        <v>217</v>
      </c>
      <c r="K14" s="16" t="s">
        <v>314</v>
      </c>
      <c r="L14" s="16" t="s">
        <v>271</v>
      </c>
    </row>
    <row r="15" spans="2:12" ht="36" customHeight="1" x14ac:dyDescent="0.15">
      <c r="B15" s="18" t="s">
        <v>315</v>
      </c>
      <c r="C15" s="21">
        <v>46262</v>
      </c>
      <c r="D15" s="19" t="s">
        <v>316</v>
      </c>
      <c r="E15" s="19" t="s">
        <v>317</v>
      </c>
      <c r="F15" s="19" t="s">
        <v>318</v>
      </c>
      <c r="G15" s="19" t="s">
        <v>319</v>
      </c>
      <c r="H15" s="19" t="s">
        <v>320</v>
      </c>
      <c r="I15" s="19" t="s">
        <v>47</v>
      </c>
      <c r="J15" s="19" t="s">
        <v>179</v>
      </c>
      <c r="K15" s="20" t="s">
        <v>93</v>
      </c>
      <c r="L15" s="20" t="s">
        <v>271</v>
      </c>
    </row>
    <row r="16" spans="2:12" ht="50" customHeight="1" x14ac:dyDescent="0.15">
      <c r="B16" s="14" t="s">
        <v>321</v>
      </c>
      <c r="C16" s="17">
        <v>46248</v>
      </c>
      <c r="D16" s="15" t="s">
        <v>322</v>
      </c>
      <c r="E16" s="15" t="s">
        <v>323</v>
      </c>
      <c r="F16" s="15" t="s">
        <v>324</v>
      </c>
      <c r="G16" s="15" t="s">
        <v>325</v>
      </c>
      <c r="H16" s="15" t="s">
        <v>326</v>
      </c>
      <c r="I16" s="15" t="s">
        <v>75</v>
      </c>
      <c r="J16" s="15" t="s">
        <v>192</v>
      </c>
      <c r="K16" s="16" t="s">
        <v>327</v>
      </c>
      <c r="L16" s="16" t="s">
        <v>262</v>
      </c>
    </row>
    <row r="17" spans="2:12" ht="50" customHeight="1" x14ac:dyDescent="0.15">
      <c r="B17" s="18" t="s">
        <v>328</v>
      </c>
      <c r="C17" s="21">
        <v>46255</v>
      </c>
      <c r="D17" s="19" t="s">
        <v>329</v>
      </c>
      <c r="E17" s="19" t="s">
        <v>330</v>
      </c>
      <c r="F17" s="19" t="s">
        <v>331</v>
      </c>
      <c r="G17" s="19" t="s">
        <v>332</v>
      </c>
      <c r="H17" s="19" t="s">
        <v>333</v>
      </c>
      <c r="I17" s="19" t="s">
        <v>36</v>
      </c>
      <c r="J17" s="19" t="s">
        <v>269</v>
      </c>
      <c r="K17" s="20" t="s">
        <v>246</v>
      </c>
      <c r="L17" s="20" t="s">
        <v>262</v>
      </c>
    </row>
    <row r="18" spans="2:12" ht="13" x14ac:dyDescent="0.1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13" x14ac:dyDescent="0.1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ht="13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ht="13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ht="13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ht="13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3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2" ht="13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3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ht="13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ht="13" x14ac:dyDescent="0.1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ht="13" x14ac:dyDescent="0.1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ht="13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2:12" ht="13" x14ac:dyDescent="0.1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2:12" ht="13" x14ac:dyDescent="0.1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ht="13" x14ac:dyDescent="0.1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 ht="13" x14ac:dyDescent="0.1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ht="13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 ht="13" x14ac:dyDescent="0.1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 ht="13" x14ac:dyDescent="0.1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 ht="13" x14ac:dyDescent="0.1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 ht="13" x14ac:dyDescent="0.1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3" x14ac:dyDescent="0.1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3" x14ac:dyDescent="0.1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3" x14ac:dyDescent="0.1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ht="13" x14ac:dyDescent="0.1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 ht="13" x14ac:dyDescent="0.1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ht="13" x14ac:dyDescent="0.1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2:12" ht="13" x14ac:dyDescent="0.1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ht="13" x14ac:dyDescent="0.1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2" ht="13" x14ac:dyDescent="0.1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ht="13" x14ac:dyDescent="0.1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ht="13" x14ac:dyDescent="0.1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autoFilter ref="B5:L17" xr:uid="{B185DA2C-2A0C-994F-A675-53137F2100CA}"/>
  <mergeCells count="7">
    <mergeCell ref="B4:L4"/>
    <mergeCell ref="B2:E2"/>
    <mergeCell ref="B3:E3"/>
    <mergeCell ref="F2:G2"/>
    <mergeCell ref="F3:G3"/>
    <mergeCell ref="J2:K2"/>
    <mergeCell ref="J3:K3"/>
  </mergeCells>
  <dataValidations count="1">
    <dataValidation type="list" allowBlank="1" showInputMessage="1" showErrorMessage="1" sqref="L6:L200" xr:uid="{9AC6C3AB-2188-1942-86F8-6269B4EFBCBE}">
      <formula1>"Propuesta,Aprobada,Implementada,Revisada,Descartada"</formula1>
    </dataValidation>
  </dataValidations>
  <pageMargins left="0.7" right="0.7" top="0.75" bottom="0.75" header="0.3" footer="0.3"/>
  <pageSetup paperSize="0" fitToHeight="0" orientation="landscape" horizontalDpi="0" verticalDpi="0" copie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2D6D-AB12-CB40-911F-7E7A6BB28A87}">
  <sheetPr>
    <pageSetUpPr fitToPage="1"/>
  </sheetPr>
  <dimension ref="A1:Z60"/>
  <sheetViews>
    <sheetView showGridLines="0" workbookViewId="0">
      <selection activeCell="G15" sqref="G15"/>
    </sheetView>
  </sheetViews>
  <sheetFormatPr baseColWidth="10" defaultRowHeight="12" x14ac:dyDescent="0.15"/>
  <cols>
    <col min="1" max="1" width="1.6640625" style="1" customWidth="1"/>
    <col min="2" max="2" width="4.33203125" style="1" customWidth="1"/>
    <col min="3" max="3" width="15.83203125" style="1" customWidth="1"/>
    <col min="4" max="6" width="17.5" style="1" customWidth="1"/>
    <col min="7" max="7" width="11.6640625" style="1" customWidth="1"/>
    <col min="8" max="8" width="2.6640625" style="1" customWidth="1"/>
    <col min="9" max="11" width="25" style="1" customWidth="1"/>
    <col min="12" max="16384" width="10.83203125" style="1"/>
  </cols>
  <sheetData>
    <row r="1" spans="1:26" ht="34" customHeight="1" thickBot="1" x14ac:dyDescent="0.2">
      <c r="A1" s="3"/>
      <c r="B1" s="4" t="s">
        <v>334</v>
      </c>
      <c r="C1" s="23"/>
      <c r="D1" s="23"/>
      <c r="E1" s="23"/>
      <c r="F1" s="23"/>
      <c r="G1" s="23"/>
      <c r="H1" s="23"/>
      <c r="I1" s="23"/>
      <c r="J1" s="23"/>
      <c r="K1" s="2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" customHeight="1" x14ac:dyDescent="0.15">
      <c r="A2" s="3"/>
      <c r="B2" s="24" t="s">
        <v>347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0" customHeight="1" thickBo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" customHeight="1" thickBot="1" x14ac:dyDescent="0.2">
      <c r="A4" s="3"/>
      <c r="B4" s="3"/>
      <c r="C4" s="36"/>
      <c r="D4" s="37" t="s">
        <v>348</v>
      </c>
      <c r="E4" s="37"/>
      <c r="F4" s="37"/>
      <c r="G4" s="36"/>
      <c r="H4" s="3"/>
      <c r="I4" s="37" t="s">
        <v>349</v>
      </c>
      <c r="J4" s="37"/>
      <c r="K4" s="3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" customHeight="1" thickBot="1" x14ac:dyDescent="0.2">
      <c r="A5" s="3"/>
      <c r="B5" s="3"/>
      <c r="C5" s="43" t="s">
        <v>14</v>
      </c>
      <c r="D5" s="43" t="s">
        <v>340</v>
      </c>
      <c r="E5" s="43" t="s">
        <v>72</v>
      </c>
      <c r="F5" s="43" t="s">
        <v>32</v>
      </c>
      <c r="G5" s="43" t="s">
        <v>335</v>
      </c>
      <c r="H5" s="3"/>
      <c r="I5" s="43" t="s">
        <v>340</v>
      </c>
      <c r="J5" s="43" t="s">
        <v>72</v>
      </c>
      <c r="K5" s="43" t="s">
        <v>32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58" customHeight="1" thickTop="1" thickBot="1" x14ac:dyDescent="0.2">
      <c r="A6" s="3"/>
      <c r="B6" s="35" t="s">
        <v>350</v>
      </c>
      <c r="C6" s="38" t="s">
        <v>31</v>
      </c>
      <c r="D6" s="39">
        <f>COUNTIFS(Riesgos!$G$6:$G$200,$C6,Riesgos!$H$6:$H$200,D$5)</f>
        <v>0</v>
      </c>
      <c r="E6" s="40">
        <f>COUNTIFS(Riesgos!$G$6:$G$200,$C6,Riesgos!$H$6:$H$200,E$5)</f>
        <v>2</v>
      </c>
      <c r="F6" s="41">
        <f>COUNTIFS(Riesgos!$G$6:$G$200,$C6,Riesgos!$H$6:$H$200,F$5)</f>
        <v>1</v>
      </c>
      <c r="G6" s="42">
        <f>SUM(D6:F6)</f>
        <v>3</v>
      </c>
      <c r="H6" s="3"/>
      <c r="I6" s="44" t="str" cm="1">
        <f t="array" ref="I6">IF(D6=0,"—",_xlfn.TEXTJOIN(", ",TRUE,IF((Riesgos!$G$6:$G$200=$C6)*(Riesgos!$H$6:$H$200=I$5),Riesgos!$B$6:$B$200,"")))</f>
        <v>—</v>
      </c>
      <c r="J6" s="45" t="str" cm="1">
        <f t="array" ref="J6">IF(E6=0,"—",_xlfn.TEXTJOIN(", ",TRUE,IF((Riesgos!$G$6:$G$200=$C6)*(Riesgos!$H$6:$H$200=J$5),Riesgos!$B$6:$B$200,"")))</f>
        <v>R-05, R-06</v>
      </c>
      <c r="K6" s="46" t="str" cm="1">
        <f t="array" ref="K6">IF(F6=0,"—",_xlfn.TEXTJOIN(", ",TRUE,IF((Riesgos!$G$6:$G$200=$C6)*(Riesgos!$H$6:$H$200=K$5),Riesgos!$B$6:$B$200,"")))</f>
        <v>R-01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8" customHeight="1" thickBot="1" x14ac:dyDescent="0.2">
      <c r="A7" s="3"/>
      <c r="B7" s="35"/>
      <c r="C7" s="25" t="s">
        <v>44</v>
      </c>
      <c r="D7" s="28">
        <f>COUNTIFS(Riesgos!$G$6:$G$200,$C7,Riesgos!$H$6:$H$200,D$5)</f>
        <v>0</v>
      </c>
      <c r="E7" s="26">
        <f>COUNTIFS(Riesgos!$G$6:$G$200,$C7,Riesgos!$H$6:$H$200,E$5)</f>
        <v>2</v>
      </c>
      <c r="F7" s="27">
        <f>COUNTIFS(Riesgos!$G$6:$G$200,$C7,Riesgos!$H$6:$H$200,F$5)</f>
        <v>9</v>
      </c>
      <c r="G7" s="31">
        <f>SUM(D7:F7)</f>
        <v>11</v>
      </c>
      <c r="H7" s="3"/>
      <c r="I7" s="34" t="str" cm="1">
        <f t="array" ref="I7">IF(D7=0,"—",_xlfn.TEXTJOIN(", ",TRUE,IF((Riesgos!$G$6:$G$200=$C7)*(Riesgos!$H$6:$H$200=I$5),Riesgos!$B$6:$B$200,"")))</f>
        <v>—</v>
      </c>
      <c r="J7" s="33" t="str" cm="1">
        <f t="array" ref="J7">IF(E7=0,"—",_xlfn.TEXTJOIN(", ",TRUE,IF((Riesgos!$G$6:$G$200=$C7)*(Riesgos!$H$6:$H$200=J$5),Riesgos!$B$6:$B$200,"")))</f>
        <v>R-13, R-14</v>
      </c>
      <c r="K7" s="32" t="str" cm="1">
        <f t="array" ref="K7">IF(F7=0,"—",_xlfn.TEXTJOIN(", ",TRUE,IF((Riesgos!$G$6:$G$200=$C7)*(Riesgos!$H$6:$H$200=K$5),Riesgos!$B$6:$B$200,"")))</f>
        <v>R-02, R-03, R-04, R-07, R-08, R-09, R-10, R-11, R-12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8" customHeight="1" thickBot="1" x14ac:dyDescent="0.2">
      <c r="A8" s="3"/>
      <c r="B8" s="35"/>
      <c r="C8" s="25" t="s">
        <v>153</v>
      </c>
      <c r="D8" s="28">
        <f>COUNTIFS(Riesgos!$G$6:$G$200,$C8,Riesgos!$H$6:$H$200,D$5)</f>
        <v>0</v>
      </c>
      <c r="E8" s="28">
        <f>COUNTIFS(Riesgos!$G$6:$G$200,$C8,Riesgos!$H$6:$H$200,E$5)</f>
        <v>1</v>
      </c>
      <c r="F8" s="26">
        <f>COUNTIFS(Riesgos!$G$6:$G$200,$C8,Riesgos!$H$6:$H$200,F$5)</f>
        <v>0</v>
      </c>
      <c r="G8" s="31">
        <f>SUM(D8:F8)</f>
        <v>1</v>
      </c>
      <c r="H8" s="3"/>
      <c r="I8" s="34" t="str" cm="1">
        <f t="array" ref="I8">IF(D8=0,"—",_xlfn.TEXTJOIN(", ",TRUE,IF((Riesgos!$G$6:$G$200=$C8)*(Riesgos!$H$6:$H$200=I$5),Riesgos!$B$6:$B$200,"")))</f>
        <v>—</v>
      </c>
      <c r="J8" s="34" t="str" cm="1">
        <f t="array" ref="J8">IF(E8=0,"—",_xlfn.TEXTJOIN(", ",TRUE,IF((Riesgos!$G$6:$G$200=$C8)*(Riesgos!$H$6:$H$200=J$5),Riesgos!$B$6:$B$200,"")))</f>
        <v>R-15</v>
      </c>
      <c r="K8" s="33" t="str" cm="1">
        <f t="array" ref="K8">IF(F8=0,"—",_xlfn.TEXTJOIN(", ",TRUE,IF((Riesgos!$G$6:$G$200=$C8)*(Riesgos!$H$6:$H$200=K$5),Riesgos!$B$6:$B$200,"")))</f>
        <v>—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6" customHeight="1" thickBot="1" x14ac:dyDescent="0.2">
      <c r="A9" s="3"/>
      <c r="B9" s="3"/>
      <c r="C9" s="30" t="s">
        <v>335</v>
      </c>
      <c r="D9" s="29">
        <f>SUM(D6:D8)</f>
        <v>0</v>
      </c>
      <c r="E9" s="29">
        <f>SUM(E6:E8)</f>
        <v>5</v>
      </c>
      <c r="F9" s="29">
        <f>SUM(F6:F8)</f>
        <v>10</v>
      </c>
      <c r="G9" s="30">
        <f>SUM(G6:G8)</f>
        <v>15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15">
      <c r="A11" s="3"/>
      <c r="B11" s="3"/>
      <c r="C11" s="47" t="s">
        <v>351</v>
      </c>
      <c r="D11" s="48" t="s">
        <v>352</v>
      </c>
      <c r="E11" s="49" t="s">
        <v>353</v>
      </c>
      <c r="F11" s="50" t="s">
        <v>354</v>
      </c>
      <c r="G11" s="51" t="s">
        <v>355</v>
      </c>
      <c r="H11" s="3"/>
      <c r="I11" s="52" t="s">
        <v>356</v>
      </c>
      <c r="J11" s="52"/>
      <c r="K11" s="5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 thickBot="1" x14ac:dyDescent="0.25">
      <c r="A13" s="3"/>
      <c r="B13" s="3"/>
      <c r="C13" s="53" t="s">
        <v>357</v>
      </c>
      <c r="D13" s="54"/>
      <c r="E13" s="54"/>
      <c r="F13" s="5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6" customHeight="1" thickBot="1" x14ac:dyDescent="0.2">
      <c r="A14" s="3"/>
      <c r="B14" s="3"/>
      <c r="C14" s="69" t="s">
        <v>17</v>
      </c>
      <c r="D14" s="69" t="s">
        <v>336</v>
      </c>
      <c r="E14" s="69" t="s">
        <v>337</v>
      </c>
      <c r="F14" s="69" t="s">
        <v>358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2" customHeight="1" thickTop="1" x14ac:dyDescent="0.15">
      <c r="A15" s="3"/>
      <c r="B15" s="3"/>
      <c r="C15" s="65" t="s">
        <v>338</v>
      </c>
      <c r="D15" s="66">
        <f>COUNTIF(Riesgos!$J$6:$J$200,$C15)</f>
        <v>1</v>
      </c>
      <c r="E15" s="67">
        <f>IF($D$19=0,0,D15/$D$19)</f>
        <v>6.6666666666666666E-2</v>
      </c>
      <c r="F15" s="68">
        <f>E15</f>
        <v>6.6666666666666666E-2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2" customHeight="1" x14ac:dyDescent="0.15">
      <c r="A16" s="3"/>
      <c r="B16" s="3"/>
      <c r="C16" s="59" t="s">
        <v>32</v>
      </c>
      <c r="D16" s="55">
        <f>COUNTIF(Riesgos!$J$6:$J$200,$C16)</f>
        <v>11</v>
      </c>
      <c r="E16" s="56">
        <f>IF($D$19=0,0,D16/$D$19)</f>
        <v>0.73333333333333328</v>
      </c>
      <c r="F16" s="63">
        <f>E16</f>
        <v>0.73333333333333328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2" customHeight="1" x14ac:dyDescent="0.15">
      <c r="A17" s="3"/>
      <c r="B17" s="3"/>
      <c r="C17" s="60" t="s">
        <v>339</v>
      </c>
      <c r="D17" s="55">
        <f>COUNTIF(Riesgos!$J$6:$J$200,$C17)</f>
        <v>2</v>
      </c>
      <c r="E17" s="56">
        <f>IF($D$19=0,0,D17/$D$19)</f>
        <v>0.13333333333333333</v>
      </c>
      <c r="F17" s="63">
        <f>E17</f>
        <v>0.13333333333333333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2" customHeight="1" x14ac:dyDescent="0.15">
      <c r="A18" s="3"/>
      <c r="B18" s="3"/>
      <c r="C18" s="61" t="s">
        <v>340</v>
      </c>
      <c r="D18" s="55">
        <f>COUNTIF(Riesgos!$J$6:$J$200,$C18)</f>
        <v>1</v>
      </c>
      <c r="E18" s="56">
        <f>IF($D$19=0,0,D18/$D$19)</f>
        <v>6.6666666666666666E-2</v>
      </c>
      <c r="F18" s="63">
        <f>E18</f>
        <v>6.6666666666666666E-2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2" customHeight="1" x14ac:dyDescent="0.15">
      <c r="A19" s="3"/>
      <c r="B19" s="3"/>
      <c r="C19" s="62" t="s">
        <v>335</v>
      </c>
      <c r="D19" s="57">
        <f>SUM(D15:D18)</f>
        <v>15</v>
      </c>
      <c r="E19" s="58">
        <f>SUM(E15:E18)</f>
        <v>0.99999999999999989</v>
      </c>
      <c r="F19" s="6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</sheetData>
  <mergeCells count="4">
    <mergeCell ref="D4:F4"/>
    <mergeCell ref="I4:K4"/>
    <mergeCell ref="B6:B8"/>
    <mergeCell ref="I11:K11"/>
  </mergeCells>
  <conditionalFormatting sqref="D6:F8">
    <cfRule type="cellIs" dxfId="0" priority="1" operator="equal">
      <formula>0</formula>
    </cfRule>
  </conditionalFormatting>
  <conditionalFormatting sqref="F15:F18">
    <cfRule type="dataBar" priority="2">
      <dataBar showValue="0">
        <cfvo type="num" val="0"/>
        <cfvo type="num" val="1"/>
        <color rgb="FF4470B8"/>
      </dataBar>
      <extLst>
        <ext xmlns:x14="http://schemas.microsoft.com/office/spreadsheetml/2009/9/main" uri="{B025F937-C7B1-47D3-B67F-A62EFF666E3E}">
          <x14:id>{4082B7E4-F0C9-CE40-85A3-05B17E6BF390}</x14:id>
        </ext>
      </extLst>
    </cfRule>
  </conditionalFormatting>
  <printOptions horizontalCentered="1"/>
  <pageMargins left="0.7" right="0.7" top="0.75" bottom="0.75" header="0.3" footer="0.3"/>
  <pageSetup paperSize="0" orientation="landscape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82B7E4-F0C9-CE40-85A3-05B17E6BF390}">
            <x14:dataBar minLength="0" maxLength="100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F15:F18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Riesgos</vt:lpstr>
      <vt:lpstr>Restricciones</vt:lpstr>
      <vt:lpstr>Decisiones</vt:lpstr>
      <vt:lpstr>Matriz de calor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Orellana</dc:creator>
  <cp:lastModifiedBy>Matías Orellana</cp:lastModifiedBy>
  <dcterms:created xsi:type="dcterms:W3CDTF">2026-09-23T18:33:28Z</dcterms:created>
  <dcterms:modified xsi:type="dcterms:W3CDTF">2026-09-23T19:12:42Z</dcterms:modified>
</cp:coreProperties>
</file>